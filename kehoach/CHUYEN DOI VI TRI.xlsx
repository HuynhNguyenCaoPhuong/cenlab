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Tool\cenlab\kehoach\"/>
    </mc:Choice>
  </mc:AlternateContent>
  <xr:revisionPtr revIDLastSave="0" documentId="13_ncr:1_{25E62AB2-C8A6-4B89-BDED-0D8D8AC08A2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S2" sheetId="1" r:id="rId1"/>
    <sheet name="CS3" sheetId="2" r:id="rId2"/>
    <sheet name="CS2 NEW" sheetId="3" r:id="rId3"/>
    <sheet name="CS3 NEW" sheetId="4" r:id="rId4"/>
    <sheet name="TONG HOP DIA DIEM" sheetId="5" r:id="rId5"/>
    <sheet name="TONG HOP DIA DIEM (3 MAU TRANG)" sheetId="6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1" i="4" l="1"/>
  <c r="K31" i="4" s="1"/>
  <c r="G30" i="4"/>
  <c r="K30" i="4" s="1"/>
  <c r="F31" i="4"/>
  <c r="F30" i="4"/>
  <c r="L30" i="4" s="1"/>
  <c r="M119" i="3"/>
  <c r="F134" i="3"/>
  <c r="L134" i="3" s="1"/>
  <c r="F133" i="3"/>
  <c r="L133" i="3" s="1"/>
  <c r="F132" i="3"/>
  <c r="L132" i="3" s="1"/>
  <c r="F131" i="3"/>
  <c r="L131" i="3" s="1"/>
  <c r="F130" i="3"/>
  <c r="L130" i="3" s="1"/>
  <c r="F129" i="3"/>
  <c r="L129" i="3" s="1"/>
  <c r="F128" i="3"/>
  <c r="L128" i="3" s="1"/>
  <c r="F127" i="3"/>
  <c r="L127" i="3" s="1"/>
  <c r="F126" i="3"/>
  <c r="L126" i="3" s="1"/>
  <c r="F125" i="3"/>
  <c r="L125" i="3" s="1"/>
  <c r="F124" i="3"/>
  <c r="L124" i="3" s="1"/>
  <c r="F123" i="3"/>
  <c r="L123" i="3" s="1"/>
  <c r="F122" i="3"/>
  <c r="L122" i="3" s="1"/>
  <c r="F121" i="3"/>
  <c r="L121" i="3" s="1"/>
  <c r="F120" i="3"/>
  <c r="L120" i="3" s="1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L31" i="4" l="1"/>
  <c r="M29" i="4" l="1"/>
  <c r="L29" i="4" s="1"/>
  <c r="M28" i="4"/>
  <c r="L28" i="4" s="1"/>
  <c r="M27" i="4"/>
  <c r="L27" i="4" s="1"/>
  <c r="M26" i="4"/>
  <c r="L26" i="4" s="1"/>
  <c r="M25" i="4"/>
  <c r="L25" i="4" s="1"/>
  <c r="M24" i="4"/>
  <c r="L24" i="4" s="1"/>
  <c r="M23" i="4"/>
  <c r="L23" i="4" s="1"/>
  <c r="M22" i="4"/>
  <c r="L22" i="4" s="1"/>
  <c r="M21" i="4"/>
  <c r="L21" i="4" s="1"/>
  <c r="M20" i="4"/>
  <c r="L20" i="4" s="1"/>
  <c r="M19" i="4"/>
  <c r="L19" i="4" s="1"/>
  <c r="M18" i="4"/>
  <c r="L18" i="4" s="1"/>
  <c r="M17" i="4"/>
  <c r="L17" i="4" s="1"/>
  <c r="M16" i="4"/>
  <c r="L16" i="4" s="1"/>
  <c r="M15" i="4"/>
  <c r="L15" i="4" s="1"/>
  <c r="M14" i="4"/>
  <c r="L14" i="4" s="1"/>
  <c r="M13" i="4"/>
  <c r="L13" i="4" s="1"/>
  <c r="M12" i="4"/>
  <c r="L12" i="4" s="1"/>
  <c r="M11" i="4"/>
  <c r="L11" i="4" s="1"/>
  <c r="M10" i="4"/>
  <c r="L10" i="4" s="1"/>
  <c r="M9" i="4"/>
  <c r="L9" i="4" s="1"/>
  <c r="M8" i="4"/>
  <c r="L8" i="4" s="1"/>
  <c r="M7" i="4"/>
  <c r="L7" i="4" s="1"/>
  <c r="M6" i="4"/>
  <c r="L6" i="4" s="1"/>
  <c r="M5" i="4"/>
  <c r="L5" i="4" s="1"/>
  <c r="M4" i="4"/>
  <c r="L4" i="4" s="1"/>
  <c r="M3" i="4"/>
  <c r="L3" i="4" s="1"/>
  <c r="M2" i="4"/>
  <c r="L2" i="4" s="1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L119" i="3"/>
  <c r="M118" i="3"/>
  <c r="L118" i="3" s="1"/>
  <c r="M117" i="3"/>
  <c r="L117" i="3" s="1"/>
  <c r="M116" i="3"/>
  <c r="L116" i="3" s="1"/>
  <c r="M115" i="3"/>
  <c r="L115" i="3" s="1"/>
  <c r="M114" i="3"/>
  <c r="L114" i="3" s="1"/>
  <c r="M113" i="3"/>
  <c r="L113" i="3" s="1"/>
  <c r="M112" i="3"/>
  <c r="L112" i="3" s="1"/>
  <c r="M111" i="3"/>
  <c r="L111" i="3" s="1"/>
  <c r="M110" i="3"/>
  <c r="L110" i="3" s="1"/>
  <c r="M109" i="3"/>
  <c r="L109" i="3" s="1"/>
  <c r="M108" i="3"/>
  <c r="L108" i="3" s="1"/>
  <c r="M107" i="3"/>
  <c r="L107" i="3" s="1"/>
  <c r="M106" i="3"/>
  <c r="L106" i="3" s="1"/>
  <c r="M105" i="3"/>
  <c r="L105" i="3" s="1"/>
  <c r="M104" i="3"/>
  <c r="L104" i="3" s="1"/>
  <c r="M103" i="3"/>
  <c r="L103" i="3" s="1"/>
  <c r="M102" i="3"/>
  <c r="L102" i="3" s="1"/>
  <c r="M101" i="3"/>
  <c r="L101" i="3" s="1"/>
  <c r="M100" i="3"/>
  <c r="L100" i="3" s="1"/>
  <c r="M99" i="3"/>
  <c r="L99" i="3" s="1"/>
  <c r="M98" i="3"/>
  <c r="L98" i="3" s="1"/>
  <c r="M97" i="3"/>
  <c r="L97" i="3" s="1"/>
  <c r="M96" i="3"/>
  <c r="L96" i="3" s="1"/>
  <c r="M95" i="3"/>
  <c r="L95" i="3" s="1"/>
  <c r="M94" i="3"/>
  <c r="L94" i="3" s="1"/>
  <c r="M93" i="3"/>
  <c r="L93" i="3" s="1"/>
  <c r="M92" i="3"/>
  <c r="L92" i="3" s="1"/>
  <c r="M91" i="3"/>
  <c r="L91" i="3" s="1"/>
  <c r="M90" i="3"/>
  <c r="L90" i="3" s="1"/>
  <c r="M89" i="3"/>
  <c r="L89" i="3" s="1"/>
  <c r="M88" i="3"/>
  <c r="L88" i="3" s="1"/>
  <c r="M87" i="3"/>
  <c r="L87" i="3" s="1"/>
  <c r="M86" i="3"/>
  <c r="L86" i="3" s="1"/>
  <c r="M85" i="3"/>
  <c r="L85" i="3" s="1"/>
  <c r="M84" i="3"/>
  <c r="L84" i="3" s="1"/>
  <c r="M83" i="3"/>
  <c r="L83" i="3" s="1"/>
  <c r="M82" i="3"/>
  <c r="L82" i="3" s="1"/>
  <c r="M81" i="3"/>
  <c r="L81" i="3" s="1"/>
  <c r="M80" i="3"/>
  <c r="L80" i="3" s="1"/>
  <c r="M79" i="3"/>
  <c r="L79" i="3" s="1"/>
  <c r="M78" i="3"/>
  <c r="L78" i="3" s="1"/>
  <c r="M77" i="3"/>
  <c r="L77" i="3" s="1"/>
  <c r="M76" i="3"/>
  <c r="L76" i="3" s="1"/>
  <c r="M75" i="3"/>
  <c r="L75" i="3" s="1"/>
  <c r="M74" i="3"/>
  <c r="L74" i="3" s="1"/>
  <c r="M73" i="3"/>
  <c r="L73" i="3" s="1"/>
  <c r="M72" i="3"/>
  <c r="L72" i="3" s="1"/>
  <c r="M71" i="3"/>
  <c r="L71" i="3" s="1"/>
  <c r="M70" i="3"/>
  <c r="L70" i="3" s="1"/>
  <c r="M69" i="3"/>
  <c r="L69" i="3" s="1"/>
  <c r="M68" i="3"/>
  <c r="L68" i="3" s="1"/>
  <c r="M67" i="3"/>
  <c r="L67" i="3" s="1"/>
  <c r="M66" i="3"/>
  <c r="L66" i="3" s="1"/>
  <c r="M65" i="3"/>
  <c r="L65" i="3" s="1"/>
  <c r="M64" i="3"/>
  <c r="L64" i="3" s="1"/>
  <c r="M63" i="3"/>
  <c r="L63" i="3" s="1"/>
  <c r="M62" i="3"/>
  <c r="L62" i="3" s="1"/>
  <c r="M61" i="3"/>
  <c r="L61" i="3" s="1"/>
  <c r="M60" i="3"/>
  <c r="L60" i="3" s="1"/>
  <c r="M59" i="3"/>
  <c r="L59" i="3" s="1"/>
  <c r="M58" i="3"/>
  <c r="L58" i="3" s="1"/>
  <c r="M57" i="3"/>
  <c r="L57" i="3" s="1"/>
  <c r="M56" i="3"/>
  <c r="L56" i="3" s="1"/>
  <c r="M55" i="3"/>
  <c r="L55" i="3" s="1"/>
  <c r="M54" i="3"/>
  <c r="L54" i="3" s="1"/>
  <c r="M53" i="3"/>
  <c r="L53" i="3" s="1"/>
  <c r="M52" i="3"/>
  <c r="L52" i="3" s="1"/>
  <c r="M51" i="3"/>
  <c r="L51" i="3" s="1"/>
  <c r="M50" i="3"/>
  <c r="L50" i="3" s="1"/>
  <c r="M49" i="3"/>
  <c r="L49" i="3" s="1"/>
  <c r="M48" i="3"/>
  <c r="L48" i="3" s="1"/>
  <c r="M47" i="3"/>
  <c r="L47" i="3" s="1"/>
  <c r="M46" i="3"/>
  <c r="L46" i="3" s="1"/>
  <c r="M45" i="3"/>
  <c r="L45" i="3" s="1"/>
  <c r="M44" i="3"/>
  <c r="L44" i="3" s="1"/>
  <c r="M43" i="3"/>
  <c r="L43" i="3" s="1"/>
  <c r="M42" i="3"/>
  <c r="L42" i="3" s="1"/>
  <c r="M41" i="3"/>
  <c r="L41" i="3" s="1"/>
  <c r="M40" i="3"/>
  <c r="L40" i="3" s="1"/>
  <c r="M39" i="3"/>
  <c r="L39" i="3" s="1"/>
  <c r="M38" i="3"/>
  <c r="L38" i="3" s="1"/>
  <c r="M37" i="3"/>
  <c r="L37" i="3" s="1"/>
  <c r="M36" i="3"/>
  <c r="L36" i="3" s="1"/>
  <c r="M35" i="3"/>
  <c r="L35" i="3" s="1"/>
  <c r="M34" i="3"/>
  <c r="L34" i="3" s="1"/>
  <c r="M33" i="3"/>
  <c r="L33" i="3" s="1"/>
  <c r="M32" i="3"/>
  <c r="L32" i="3" s="1"/>
  <c r="M31" i="3"/>
  <c r="L31" i="3" s="1"/>
  <c r="M30" i="3"/>
  <c r="L30" i="3" s="1"/>
  <c r="M29" i="3"/>
  <c r="L29" i="3" s="1"/>
  <c r="M28" i="3"/>
  <c r="L28" i="3" s="1"/>
  <c r="M27" i="3"/>
  <c r="L27" i="3" s="1"/>
  <c r="M26" i="3"/>
  <c r="L26" i="3" s="1"/>
  <c r="M25" i="3"/>
  <c r="L25" i="3" s="1"/>
  <c r="M24" i="3"/>
  <c r="L24" i="3" s="1"/>
  <c r="M23" i="3"/>
  <c r="L23" i="3" s="1"/>
  <c r="M22" i="3"/>
  <c r="L22" i="3" s="1"/>
  <c r="M21" i="3"/>
  <c r="L21" i="3" s="1"/>
  <c r="M20" i="3"/>
  <c r="L20" i="3" s="1"/>
  <c r="M19" i="3"/>
  <c r="L19" i="3" s="1"/>
  <c r="M18" i="3"/>
  <c r="L18" i="3" s="1"/>
  <c r="M17" i="3"/>
  <c r="L17" i="3" s="1"/>
  <c r="M16" i="3"/>
  <c r="L16" i="3" s="1"/>
  <c r="M15" i="3"/>
  <c r="L15" i="3" s="1"/>
  <c r="M14" i="3"/>
  <c r="L14" i="3" s="1"/>
  <c r="M13" i="3"/>
  <c r="L13" i="3" s="1"/>
  <c r="M12" i="3"/>
  <c r="L12" i="3" s="1"/>
  <c r="M11" i="3"/>
  <c r="L11" i="3" s="1"/>
  <c r="M10" i="3"/>
  <c r="L10" i="3" s="1"/>
  <c r="M9" i="3"/>
  <c r="L9" i="3" s="1"/>
  <c r="M8" i="3"/>
  <c r="L8" i="3" s="1"/>
  <c r="M7" i="3"/>
  <c r="L7" i="3" s="1"/>
  <c r="M6" i="3"/>
  <c r="L6" i="3" s="1"/>
  <c r="M5" i="3"/>
  <c r="L5" i="3" s="1"/>
  <c r="M4" i="3"/>
  <c r="L4" i="3" s="1"/>
  <c r="M3" i="3"/>
  <c r="L3" i="3" s="1"/>
  <c r="M2" i="3"/>
  <c r="L2" i="3" s="1"/>
  <c r="L29" i="2" l="1" a="1"/>
  <c r="L29" i="2" s="1"/>
  <c r="L28" i="2" a="1"/>
  <c r="L28" i="2" s="1"/>
  <c r="L27" i="2" a="1"/>
  <c r="L27" i="2" s="1"/>
  <c r="L26" i="2" a="1"/>
  <c r="L26" i="2" s="1"/>
  <c r="L25" i="2" a="1"/>
  <c r="L25" i="2" s="1"/>
  <c r="L24" i="2" a="1"/>
  <c r="L24" i="2" s="1"/>
  <c r="L23" i="2" a="1"/>
  <c r="L23" i="2" s="1"/>
  <c r="L22" i="2" a="1"/>
  <c r="L22" i="2" s="1"/>
  <c r="L21" i="2" a="1"/>
  <c r="L21" i="2" s="1"/>
  <c r="L20" i="2" a="1"/>
  <c r="L20" i="2" s="1"/>
  <c r="L19" i="2" a="1"/>
  <c r="L19" i="2" s="1"/>
  <c r="L18" i="2" a="1"/>
  <c r="L18" i="2" s="1"/>
  <c r="L17" i="2" a="1"/>
  <c r="L17" i="2" s="1"/>
  <c r="L16" i="2" a="1"/>
  <c r="L16" i="2" s="1"/>
  <c r="L15" i="2" a="1"/>
  <c r="L15" i="2" s="1"/>
  <c r="L14" i="2" a="1"/>
  <c r="L14" i="2" s="1"/>
  <c r="L13" i="2" a="1"/>
  <c r="L13" i="2" s="1"/>
  <c r="L12" i="2" a="1"/>
  <c r="L12" i="2" s="1"/>
  <c r="L11" i="2" a="1"/>
  <c r="L11" i="2" s="1"/>
  <c r="L10" i="2" a="1"/>
  <c r="L10" i="2" s="1"/>
  <c r="L9" i="2" a="1"/>
  <c r="L9" i="2" s="1"/>
  <c r="L8" i="2" a="1"/>
  <c r="L8" i="2" s="1"/>
  <c r="L7" i="2" a="1"/>
  <c r="L7" i="2" s="1"/>
  <c r="L6" i="2" a="1"/>
  <c r="L6" i="2" s="1"/>
  <c r="L5" i="2" a="1"/>
  <c r="L5" i="2" s="1"/>
  <c r="L4" i="2" a="1"/>
  <c r="L4" i="2" s="1"/>
  <c r="L3" i="2" a="1"/>
  <c r="L3" i="2" s="1"/>
  <c r="L2" i="2" a="1"/>
  <c r="L2" i="2" s="1"/>
  <c r="L173" i="1" a="1"/>
  <c r="L173" i="1" s="1"/>
  <c r="L172" i="1" a="1"/>
  <c r="L172" i="1" s="1"/>
  <c r="L171" i="1" a="1"/>
  <c r="L171" i="1" s="1"/>
  <c r="L170" i="1" a="1"/>
  <c r="L170" i="1" s="1"/>
  <c r="L169" i="1" a="1"/>
  <c r="L169" i="1" s="1"/>
  <c r="L168" i="1" a="1"/>
  <c r="L168" i="1" s="1"/>
  <c r="L167" i="1" a="1"/>
  <c r="L167" i="1" s="1"/>
  <c r="L166" i="1" a="1"/>
  <c r="L166" i="1" s="1"/>
  <c r="L165" i="1" a="1"/>
  <c r="L165" i="1" s="1"/>
  <c r="L164" i="1" a="1"/>
  <c r="L164" i="1" s="1"/>
  <c r="L163" i="1" a="1"/>
  <c r="L163" i="1" s="1"/>
  <c r="L162" i="1" a="1"/>
  <c r="L162" i="1" s="1"/>
  <c r="L161" i="1" a="1"/>
  <c r="L161" i="1" s="1"/>
  <c r="L160" i="1" a="1"/>
  <c r="L160" i="1" s="1"/>
  <c r="L159" i="1" a="1"/>
  <c r="L159" i="1" s="1"/>
  <c r="L158" i="1" a="1"/>
  <c r="L158" i="1" s="1"/>
  <c r="L157" i="1" a="1"/>
  <c r="L157" i="1" s="1"/>
  <c r="L156" i="1" a="1"/>
  <c r="L156" i="1" s="1"/>
  <c r="L155" i="1" a="1"/>
  <c r="L155" i="1" s="1"/>
  <c r="L154" i="1" a="1"/>
  <c r="L154" i="1" s="1"/>
  <c r="L153" i="1" a="1"/>
  <c r="L153" i="1" s="1"/>
  <c r="L152" i="1" a="1"/>
  <c r="L152" i="1" s="1"/>
  <c r="L151" i="1" a="1"/>
  <c r="L151" i="1" s="1"/>
  <c r="L150" i="1" a="1"/>
  <c r="L150" i="1" s="1"/>
  <c r="L149" i="1" a="1"/>
  <c r="L149" i="1" s="1"/>
  <c r="L148" i="1" a="1"/>
  <c r="L148" i="1" s="1"/>
  <c r="L147" i="1" a="1"/>
  <c r="L147" i="1" s="1"/>
  <c r="L146" i="1" a="1"/>
  <c r="L146" i="1" s="1"/>
  <c r="L145" i="1" a="1"/>
  <c r="L145" i="1" s="1"/>
  <c r="L144" i="1" a="1"/>
  <c r="L144" i="1" s="1"/>
  <c r="L143" i="1" a="1"/>
  <c r="L143" i="1" s="1"/>
  <c r="L142" i="1" a="1"/>
  <c r="L142" i="1" s="1"/>
  <c r="L141" i="1" a="1"/>
  <c r="L141" i="1" s="1"/>
  <c r="L140" i="1" a="1"/>
  <c r="L140" i="1" s="1"/>
  <c r="L139" i="1" a="1"/>
  <c r="L139" i="1" s="1"/>
  <c r="L138" i="1" a="1"/>
  <c r="L138" i="1" s="1"/>
  <c r="L137" i="1" a="1"/>
  <c r="L137" i="1" s="1"/>
  <c r="L136" i="1" a="1"/>
  <c r="L136" i="1" s="1"/>
  <c r="L135" i="1" a="1"/>
  <c r="L135" i="1" s="1"/>
  <c r="L134" i="1" a="1"/>
  <c r="L134" i="1" s="1"/>
  <c r="L133" i="1" a="1"/>
  <c r="L133" i="1" s="1"/>
  <c r="L132" i="1" a="1"/>
  <c r="L132" i="1" s="1"/>
  <c r="L131" i="1" a="1"/>
  <c r="L131" i="1" s="1"/>
  <c r="L130" i="1" a="1"/>
  <c r="L130" i="1" s="1"/>
  <c r="L129" i="1" a="1"/>
  <c r="L129" i="1" s="1"/>
  <c r="L128" i="1" a="1"/>
  <c r="L128" i="1" s="1"/>
  <c r="L127" i="1" a="1"/>
  <c r="L127" i="1" s="1"/>
  <c r="L126" i="1" a="1"/>
  <c r="L126" i="1" s="1"/>
  <c r="L125" i="1" a="1"/>
  <c r="L125" i="1" s="1"/>
  <c r="L124" i="1" a="1"/>
  <c r="L124" i="1" s="1"/>
  <c r="L123" i="1" a="1"/>
  <c r="L123" i="1" s="1"/>
  <c r="L122" i="1" a="1"/>
  <c r="L122" i="1" s="1"/>
  <c r="L121" i="1" a="1"/>
  <c r="L121" i="1" s="1"/>
  <c r="L120" i="1" a="1"/>
  <c r="L120" i="1" s="1"/>
  <c r="L119" i="1" a="1"/>
  <c r="L119" i="1" s="1"/>
  <c r="L118" i="1" a="1"/>
  <c r="L118" i="1" s="1"/>
  <c r="L117" i="1" a="1"/>
  <c r="L117" i="1" s="1"/>
  <c r="L116" i="1" a="1"/>
  <c r="L116" i="1" s="1"/>
  <c r="L115" i="1" a="1"/>
  <c r="L115" i="1" s="1"/>
  <c r="L114" i="1" a="1"/>
  <c r="L114" i="1" s="1"/>
  <c r="L113" i="1" a="1"/>
  <c r="L113" i="1" s="1"/>
  <c r="L112" i="1" a="1"/>
  <c r="L112" i="1" s="1"/>
  <c r="L111" i="1" a="1"/>
  <c r="L111" i="1" s="1"/>
  <c r="L110" i="1" a="1"/>
  <c r="L110" i="1" s="1"/>
  <c r="L109" i="1" a="1"/>
  <c r="L109" i="1" s="1"/>
  <c r="L108" i="1" a="1"/>
  <c r="L108" i="1" s="1"/>
  <c r="L107" i="1" a="1"/>
  <c r="L107" i="1" s="1"/>
  <c r="L106" i="1" a="1"/>
  <c r="L106" i="1" s="1"/>
  <c r="L105" i="1" a="1"/>
  <c r="L105" i="1" s="1"/>
  <c r="L104" i="1" a="1"/>
  <c r="L104" i="1" s="1"/>
  <c r="L103" i="1" a="1"/>
  <c r="L103" i="1" s="1"/>
  <c r="L102" i="1" a="1"/>
  <c r="L102" i="1" s="1"/>
  <c r="L101" i="1" a="1"/>
  <c r="L101" i="1" s="1"/>
  <c r="L100" i="1" a="1"/>
  <c r="L100" i="1" s="1"/>
  <c r="L99" i="1" a="1"/>
  <c r="L99" i="1" s="1"/>
  <c r="L98" i="1" a="1"/>
  <c r="L98" i="1" s="1"/>
  <c r="L97" i="1" a="1"/>
  <c r="L97" i="1" s="1"/>
  <c r="L96" i="1" a="1"/>
  <c r="L96" i="1" s="1"/>
  <c r="L95" i="1" a="1"/>
  <c r="L95" i="1" s="1"/>
  <c r="L94" i="1" a="1"/>
  <c r="L94" i="1" s="1"/>
  <c r="L93" i="1" a="1"/>
  <c r="L93" i="1" s="1"/>
  <c r="L92" i="1" a="1"/>
  <c r="L92" i="1" s="1"/>
  <c r="L91" i="1" a="1"/>
  <c r="L91" i="1" s="1"/>
  <c r="L90" i="1" a="1"/>
  <c r="L90" i="1" s="1"/>
  <c r="L89" i="1" a="1"/>
  <c r="L89" i="1" s="1"/>
  <c r="L88" i="1" a="1"/>
  <c r="L88" i="1" s="1"/>
  <c r="L87" i="1" a="1"/>
  <c r="L87" i="1" s="1"/>
  <c r="L86" i="1" a="1"/>
  <c r="L86" i="1" s="1"/>
  <c r="L85" i="1" a="1"/>
  <c r="L85" i="1" s="1"/>
  <c r="L84" i="1" a="1"/>
  <c r="L84" i="1" s="1"/>
  <c r="L83" i="1" a="1"/>
  <c r="L83" i="1" s="1"/>
  <c r="L82" i="1" a="1"/>
  <c r="L82" i="1" s="1"/>
  <c r="L81" i="1" a="1"/>
  <c r="L81" i="1" s="1"/>
  <c r="L80" i="1" a="1"/>
  <c r="L80" i="1" s="1"/>
  <c r="L79" i="1" a="1"/>
  <c r="L79" i="1" s="1"/>
  <c r="L78" i="1" a="1"/>
  <c r="L78" i="1" s="1"/>
  <c r="L77" i="1" a="1"/>
  <c r="L77" i="1" s="1"/>
  <c r="L76" i="1" a="1"/>
  <c r="L76" i="1" s="1"/>
  <c r="L75" i="1" a="1"/>
  <c r="L75" i="1" s="1"/>
  <c r="L74" i="1" a="1"/>
  <c r="L74" i="1" s="1"/>
  <c r="L73" i="1" a="1"/>
  <c r="L73" i="1" s="1"/>
  <c r="L72" i="1" a="1"/>
  <c r="L72" i="1" s="1"/>
  <c r="L71" i="1" a="1"/>
  <c r="L71" i="1" s="1"/>
  <c r="L70" i="1" a="1"/>
  <c r="L70" i="1" s="1"/>
  <c r="L69" i="1" a="1"/>
  <c r="L69" i="1" s="1"/>
  <c r="L68" i="1" a="1"/>
  <c r="L68" i="1" s="1"/>
  <c r="L67" i="1" a="1"/>
  <c r="L67" i="1" s="1"/>
  <c r="L66" i="1" a="1"/>
  <c r="L66" i="1" s="1"/>
  <c r="L65" i="1" a="1"/>
  <c r="L65" i="1" s="1"/>
  <c r="L64" i="1" a="1"/>
  <c r="L64" i="1" s="1"/>
  <c r="L63" i="1" a="1"/>
  <c r="L63" i="1" s="1"/>
  <c r="L62" i="1" a="1"/>
  <c r="L62" i="1" s="1"/>
  <c r="L61" i="1" a="1"/>
  <c r="L61" i="1" s="1"/>
  <c r="L60" i="1" a="1"/>
  <c r="L60" i="1" s="1"/>
  <c r="L59" i="1" a="1"/>
  <c r="L59" i="1" s="1"/>
  <c r="L58" i="1" a="1"/>
  <c r="L58" i="1" s="1"/>
  <c r="L57" i="1" a="1"/>
  <c r="L57" i="1" s="1"/>
  <c r="L56" i="1" a="1"/>
  <c r="L56" i="1" s="1"/>
  <c r="L55" i="1" a="1"/>
  <c r="L55" i="1" s="1"/>
  <c r="L54" i="1" a="1"/>
  <c r="L54" i="1" s="1"/>
  <c r="L53" i="1" a="1"/>
  <c r="L53" i="1" s="1"/>
  <c r="L52" i="1" a="1"/>
  <c r="L52" i="1" s="1"/>
  <c r="L51" i="1" a="1"/>
  <c r="L51" i="1" s="1"/>
  <c r="L50" i="1" a="1"/>
  <c r="L50" i="1" s="1"/>
  <c r="L49" i="1" a="1"/>
  <c r="L49" i="1" s="1"/>
  <c r="L48" i="1" a="1"/>
  <c r="L48" i="1" s="1"/>
  <c r="L47" i="1" a="1"/>
  <c r="L47" i="1" s="1"/>
  <c r="L46" i="1" a="1"/>
  <c r="L46" i="1" s="1"/>
  <c r="L45" i="1" a="1"/>
  <c r="L45" i="1" s="1"/>
  <c r="L44" i="1" a="1"/>
  <c r="L44" i="1" s="1"/>
  <c r="L43" i="1" a="1"/>
  <c r="L43" i="1" s="1"/>
  <c r="L42" i="1" a="1"/>
  <c r="L42" i="1" s="1"/>
  <c r="L41" i="1" a="1"/>
  <c r="L41" i="1" s="1"/>
  <c r="L40" i="1" a="1"/>
  <c r="L40" i="1" s="1"/>
  <c r="L39" i="1" a="1"/>
  <c r="L39" i="1" s="1"/>
  <c r="L38" i="1" a="1"/>
  <c r="L38" i="1" s="1"/>
  <c r="L37" i="1" a="1"/>
  <c r="L37" i="1" s="1"/>
  <c r="L36" i="1" a="1"/>
  <c r="L36" i="1" s="1"/>
  <c r="L35" i="1" a="1"/>
  <c r="L35" i="1" s="1"/>
  <c r="L34" i="1" a="1"/>
  <c r="L34" i="1" s="1"/>
  <c r="L33" i="1" a="1"/>
  <c r="L33" i="1" s="1"/>
  <c r="L32" i="1" a="1"/>
  <c r="L32" i="1" s="1"/>
  <c r="L31" i="1" a="1"/>
  <c r="L31" i="1" s="1"/>
  <c r="L30" i="1" a="1"/>
  <c r="L30" i="1" s="1"/>
  <c r="L29" i="1" a="1"/>
  <c r="L29" i="1" s="1"/>
  <c r="L28" i="1" a="1"/>
  <c r="L28" i="1" s="1"/>
  <c r="L27" i="1" a="1"/>
  <c r="L27" i="1" s="1"/>
  <c r="L26" i="1" a="1"/>
  <c r="L26" i="1" s="1"/>
  <c r="L25" i="1" a="1"/>
  <c r="L25" i="1" s="1"/>
  <c r="L24" i="1" a="1"/>
  <c r="L24" i="1" s="1"/>
  <c r="L23" i="1" a="1"/>
  <c r="L23" i="1" s="1"/>
  <c r="L22" i="1" a="1"/>
  <c r="L22" i="1" s="1"/>
  <c r="L21" i="1" a="1"/>
  <c r="L21" i="1" s="1"/>
  <c r="L20" i="1" a="1"/>
  <c r="L20" i="1" s="1"/>
  <c r="L19" i="1" a="1"/>
  <c r="L19" i="1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L4" i="1" a="1"/>
  <c r="L4" i="1" s="1"/>
  <c r="L3" i="1" a="1"/>
  <c r="L3" i="1" s="1"/>
  <c r="L2" i="1" a="1"/>
  <c r="L2" i="1" s="1"/>
</calcChain>
</file>

<file path=xl/sharedStrings.xml><?xml version="1.0" encoding="utf-8"?>
<sst xmlns="http://schemas.openxmlformats.org/spreadsheetml/2006/main" count="5927" uniqueCount="1940">
  <si>
    <t>Cầu số 1</t>
  </si>
  <si>
    <t>Triều Lên</t>
  </si>
  <si>
    <t>HCM_NM_CS1_L</t>
  </si>
  <si>
    <t>Lê Văn Sỹ</t>
  </si>
  <si>
    <t>HCM_NM_LVS_L</t>
  </si>
  <si>
    <t>Hải Đức</t>
  </si>
  <si>
    <t>HCM_NM_HĐ_L</t>
  </si>
  <si>
    <t>Điện Biên Phủ</t>
  </si>
  <si>
    <t>HCM_NM_ĐBP_L</t>
  </si>
  <si>
    <t>Bùi Đình Túy</t>
  </si>
  <si>
    <t>HCM_NM_BĐT_L</t>
  </si>
  <si>
    <t>Cầu Đỏ</t>
  </si>
  <si>
    <t>HCM_NM_CĐ_L</t>
  </si>
  <si>
    <t>Thị Nghè 2</t>
  </si>
  <si>
    <t>HCM_NM_TN2_L</t>
  </si>
  <si>
    <t>Bùi Hữu Nghĩa</t>
  </si>
  <si>
    <t>HCM_NM_BHN_L</t>
  </si>
  <si>
    <t>Cầu Văn Thánh</t>
  </si>
  <si>
    <t>HCM_NM_RVT_L</t>
  </si>
  <si>
    <t>Cầu Văn Thánh 2</t>
  </si>
  <si>
    <t>HCM_NM_RVT2_L</t>
  </si>
  <si>
    <t>Triều Xuống</t>
  </si>
  <si>
    <t>HCM_NM_CS1_X</t>
  </si>
  <si>
    <t>HCM_NM_LVS_X</t>
  </si>
  <si>
    <t>HCM_NM_HĐ_X</t>
  </si>
  <si>
    <t>HCM_NM_ĐBP_X</t>
  </si>
  <si>
    <t>HCM_NM_BĐT_X</t>
  </si>
  <si>
    <t>HCM_NM_CĐ_X</t>
  </si>
  <si>
    <t>HCM_NM_TN2_X</t>
  </si>
  <si>
    <t>HCM_NM_BHN_X</t>
  </si>
  <si>
    <t>HCM_NM_RVT_X</t>
  </si>
  <si>
    <t>HCM_NM_RVT2_X</t>
  </si>
  <si>
    <t>TBNM15</t>
  </si>
  <si>
    <t>HCM_NM_TBNM15_L</t>
  </si>
  <si>
    <t>TBNM5</t>
  </si>
  <si>
    <t>HCM_NM_TBNM5_L</t>
  </si>
  <si>
    <t>Cầu Tân Thái</t>
  </si>
  <si>
    <t>HCM_NM_CTT_L</t>
  </si>
  <si>
    <t>TBNM14</t>
  </si>
  <si>
    <t>HCM_NM_TBNM14_L</t>
  </si>
  <si>
    <t>TBNM9</t>
  </si>
  <si>
    <t>HCM_NM_TBNM9_L</t>
  </si>
  <si>
    <t>TBNM11</t>
  </si>
  <si>
    <t>HCM_NM_TBNM11_L</t>
  </si>
  <si>
    <t>TBNM1</t>
  </si>
  <si>
    <t>HCM_NM_TBNM1_L</t>
  </si>
  <si>
    <t>Thầy Cai</t>
  </si>
  <si>
    <t>HCM_NM_TCa_L</t>
  </si>
  <si>
    <t>HCM_NM_TBNM15_X</t>
  </si>
  <si>
    <t>HCM_NM_TBNM5_X</t>
  </si>
  <si>
    <t>HCM_NM_CTT_X</t>
  </si>
  <si>
    <t>HCM_NM_TBNM14_X</t>
  </si>
  <si>
    <t>HCM_NM_TBNM9_X</t>
  </si>
  <si>
    <t>HCM_NM_TBNM11_X</t>
  </si>
  <si>
    <t>HCM_NM_TBNM1_X</t>
  </si>
  <si>
    <t>HCM_NM_TCa_X</t>
  </si>
  <si>
    <t>Kênh N46</t>
  </si>
  <si>
    <t>HCM_NM_N46_L</t>
  </si>
  <si>
    <t>Tân Phú Trung</t>
  </si>
  <si>
    <t>HCM_NM_TPT_L</t>
  </si>
  <si>
    <t>TC18A</t>
  </si>
  <si>
    <t>HCM_NM_TC18A_L</t>
  </si>
  <si>
    <t>An Hạ 1</t>
  </si>
  <si>
    <t>HCM_NM_AH1_L</t>
  </si>
  <si>
    <t>Cầu TL9</t>
  </si>
  <si>
    <t>HCM_NM_CTL9_L</t>
  </si>
  <si>
    <t>Xuân Thới Sơn</t>
  </si>
  <si>
    <t>HCM_NM_XTS_L</t>
  </si>
  <si>
    <t>Cầu Lớn</t>
  </si>
  <si>
    <t>HCM_NM_CLo_L</t>
  </si>
  <si>
    <t>An Hạ</t>
  </si>
  <si>
    <t>HCM_NM_AH_L</t>
  </si>
  <si>
    <t>Rau Răm</t>
  </si>
  <si>
    <t>HCM_NM_RR_L</t>
  </si>
  <si>
    <t>HCM_NM_N46_X</t>
  </si>
  <si>
    <t>HCM_NM_TPT_X</t>
  </si>
  <si>
    <t>HCM_NM_TC18A_X</t>
  </si>
  <si>
    <t>HCM_NM_AH1_X</t>
  </si>
  <si>
    <t>HCM_NM_CTL9_X</t>
  </si>
  <si>
    <t>HCM_NM_XTS_X</t>
  </si>
  <si>
    <t>HCM_NM_CLo_X</t>
  </si>
  <si>
    <t>HCM_NM_AH_X</t>
  </si>
  <si>
    <t>HCM_NM_RR_X</t>
  </si>
  <si>
    <t>Cầu Mống</t>
  </si>
  <si>
    <t>HCM_NM_CMo_L</t>
  </si>
  <si>
    <t>Tân Thuận</t>
  </si>
  <si>
    <t>HCM_NM_TThu_L</t>
  </si>
  <si>
    <t>Kênh Tẻ</t>
  </si>
  <si>
    <t>HCM_NM_KT_L</t>
  </si>
  <si>
    <t>Cầu Chữ Y</t>
  </si>
  <si>
    <t>HCM_NM_CCY_L</t>
  </si>
  <si>
    <t>Chà Và</t>
  </si>
  <si>
    <t>HCM_NM_CV_L</t>
  </si>
  <si>
    <t>Chánh Hưng</t>
  </si>
  <si>
    <t>HCM_NM_CH_L</t>
  </si>
  <si>
    <t>Nhị Thiên Đường</t>
  </si>
  <si>
    <t>HCM_NM_NTĐ_L</t>
  </si>
  <si>
    <t>HCM_NM_CMo_X</t>
  </si>
  <si>
    <t>HCM_NM_TThu_X</t>
  </si>
  <si>
    <t>HCM_NM_KT_X</t>
  </si>
  <si>
    <t>HCM_NM_CCY_X</t>
  </si>
  <si>
    <t>HCM_NM_CV_X</t>
  </si>
  <si>
    <t>HCM_NM_CH_X</t>
  </si>
  <si>
    <t>HCM_NM_NTĐ_X</t>
  </si>
  <si>
    <t>Hòa Bình</t>
  </si>
  <si>
    <t>HCM_NM_HB_L</t>
  </si>
  <si>
    <t>Ông Buông</t>
  </si>
  <si>
    <t>HCM_NM_OB_L</t>
  </si>
  <si>
    <t>Rạch Ngựa</t>
  </si>
  <si>
    <t>HCM_NM_RN_L</t>
  </si>
  <si>
    <t>Phú Định</t>
  </si>
  <si>
    <t>HCM_NM_PĐ_L</t>
  </si>
  <si>
    <t>Hồ Ngọc Lãm</t>
  </si>
  <si>
    <t>HCM_NM_HNL_L</t>
  </si>
  <si>
    <t>Bình Ðiền</t>
  </si>
  <si>
    <t>HCM_NM_BĐ_L</t>
  </si>
  <si>
    <t>Chợ Đệm</t>
  </si>
  <si>
    <t>HCM_NM_CĐe_L</t>
  </si>
  <si>
    <t>HCM_NM_HB_X</t>
  </si>
  <si>
    <t>HCM_NM_OB_X</t>
  </si>
  <si>
    <t>HCM_NM_RN_X</t>
  </si>
  <si>
    <t>HCM_NM_PĐ_X</t>
  </si>
  <si>
    <t>HCM_NM_HNL_X</t>
  </si>
  <si>
    <t>HCM_NM_BĐ_X</t>
  </si>
  <si>
    <t>HCM_NM_CĐe_X</t>
  </si>
  <si>
    <t>Cầu Rạch Ngang</t>
  </si>
  <si>
    <t>HCM_NM_CRN_L</t>
  </si>
  <si>
    <t>Xóm Củi</t>
  </si>
  <si>
    <t>HCM_NM_XC_L</t>
  </si>
  <si>
    <t>Ông Lớn</t>
  </si>
  <si>
    <t>HCM_NM_OL_L</t>
  </si>
  <si>
    <t>Cần Giuộc</t>
  </si>
  <si>
    <t>HCM_NM_CG_L</t>
  </si>
  <si>
    <t>Bà Lào</t>
  </si>
  <si>
    <t>HCM_NM_BLa_L</t>
  </si>
  <si>
    <t>Long Hậu Tân Kim</t>
  </si>
  <si>
    <t>HCM_NM_LHTK_L</t>
  </si>
  <si>
    <t>Hiệp Phước</t>
  </si>
  <si>
    <t>HCM_NM_HPh_L</t>
  </si>
  <si>
    <t>HCM_NM_CRN_X</t>
  </si>
  <si>
    <t>HCM_NM_XC_X</t>
  </si>
  <si>
    <t>HCM_NM_OL_X</t>
  </si>
  <si>
    <t>HCM_NM_CG_X</t>
  </si>
  <si>
    <t>HCM_NM_BLa_X</t>
  </si>
  <si>
    <t>HCM_NM_LHTK_X</t>
  </si>
  <si>
    <t>HCM_NM_HPh_X</t>
  </si>
  <si>
    <t>Cống Vàm Thuật</t>
  </si>
  <si>
    <t>HCM_NM_VT_L</t>
  </si>
  <si>
    <t>An Lộc</t>
  </si>
  <si>
    <t>HCM_NM_AL_L</t>
  </si>
  <si>
    <t>Bến Cát</t>
  </si>
  <si>
    <t>HCM_NM_BCa_L</t>
  </si>
  <si>
    <t>Trường Đai</t>
  </si>
  <si>
    <t>HCM_NM_TĐ_L</t>
  </si>
  <si>
    <t>Chợ Cầu</t>
  </si>
  <si>
    <t>HCM_NM_CC_L</t>
  </si>
  <si>
    <t>Tham Lương</t>
  </si>
  <si>
    <t>HCM_NM_TL_L</t>
  </si>
  <si>
    <t>Cầu Bưng</t>
  </si>
  <si>
    <t>HCM_NM_CB_L</t>
  </si>
  <si>
    <t>CN1</t>
  </si>
  <si>
    <t>HCM_NM_CN1_L</t>
  </si>
  <si>
    <t>HCM_NM_VT_X</t>
  </si>
  <si>
    <t>HCM_NM_AL_X</t>
  </si>
  <si>
    <t>HCM_NM_BCa_X</t>
  </si>
  <si>
    <t>HCM_NM_TĐ_X</t>
  </si>
  <si>
    <t>HCM_NM_CC_X</t>
  </si>
  <si>
    <t>HCM_NM_TL_X</t>
  </si>
  <si>
    <t>HCM_NM_CB_X</t>
  </si>
  <si>
    <t>HCM_NM_CN1_X</t>
  </si>
  <si>
    <t>GCNM2</t>
  </si>
  <si>
    <t>HCM_NM_GCNM2_L</t>
  </si>
  <si>
    <t>GCNM3</t>
  </si>
  <si>
    <t>HCM_NM_GCNM3_L</t>
  </si>
  <si>
    <t>Cầu Bình Thuận</t>
  </si>
  <si>
    <t>HCM_NM_BT2_L</t>
  </si>
  <si>
    <t>Nước Đen</t>
  </si>
  <si>
    <t>HCM_NM_NĐ_L</t>
  </si>
  <si>
    <t>Cầu Sông Chùa</t>
  </si>
  <si>
    <t>HCM_NM_CSC_L</t>
  </si>
  <si>
    <t>Cầu Đường A</t>
  </si>
  <si>
    <t>HCM_NM_CĐA_L</t>
  </si>
  <si>
    <t>Trung Tâm</t>
  </si>
  <si>
    <t>HCM_NM_TrT_L</t>
  </si>
  <si>
    <t>Nước Lên</t>
  </si>
  <si>
    <t>HCM_NM_NL_L</t>
  </si>
  <si>
    <t>Lương Bèo</t>
  </si>
  <si>
    <t>HCM_NM_LB_L</t>
  </si>
  <si>
    <t>HCM_NM_GCNM2_X</t>
  </si>
  <si>
    <t>HCM_NM_GCNM3_X</t>
  </si>
  <si>
    <t>HCM_NM_BT2_X</t>
  </si>
  <si>
    <t>HCM_NM_NĐ_X</t>
  </si>
  <si>
    <t>HCM_NM_CSC_X</t>
  </si>
  <si>
    <t>HCM_NM_CĐA_X</t>
  </si>
  <si>
    <t>HCM_NM_TrT_X</t>
  </si>
  <si>
    <t>HCM_NM_NL_X</t>
  </si>
  <si>
    <t>HCM_NM_LB_X</t>
  </si>
  <si>
    <t>Cầu Bà Tri</t>
  </si>
  <si>
    <t>HCM_NM_CBT_L</t>
  </si>
  <si>
    <t>Tân Tạo</t>
  </si>
  <si>
    <t>HCM_NM_TTa_L</t>
  </si>
  <si>
    <t>Kênh C</t>
  </si>
  <si>
    <t>HCM_NM_KC_L</t>
  </si>
  <si>
    <t>Kênh C6</t>
  </si>
  <si>
    <t>HCM_NM_KC6_L</t>
  </si>
  <si>
    <t>Kênh C8</t>
  </si>
  <si>
    <t>HCM_NM_KC8_L</t>
  </si>
  <si>
    <t>ĐPNM1</t>
  </si>
  <si>
    <t>HCM_NM_ĐPNM1_L</t>
  </si>
  <si>
    <t>ĐPNM4</t>
  </si>
  <si>
    <t>HCM_NM_ĐPNM4_L</t>
  </si>
  <si>
    <t>ĐPNM5</t>
  </si>
  <si>
    <t>HCM_NM_ĐPNM5_L</t>
  </si>
  <si>
    <t>ĐPNM8</t>
  </si>
  <si>
    <t>HCM_NM_ĐPNM8_L</t>
  </si>
  <si>
    <t>HCM_NM_CBT_X</t>
  </si>
  <si>
    <t>HCM_NM_TTa_X</t>
  </si>
  <si>
    <t>HCM_NM_KC_X</t>
  </si>
  <si>
    <t>HCM_NM_KC6_X</t>
  </si>
  <si>
    <t>HCM_NM_KC8_X</t>
  </si>
  <si>
    <t>HCM_NM_ĐPNM1_X</t>
  </si>
  <si>
    <t>HCM_NM_ĐPNM4_X</t>
  </si>
  <si>
    <t>HCM_NM_ĐPNM5_X</t>
  </si>
  <si>
    <t>HCM_NM_ĐPNM8_X</t>
  </si>
  <si>
    <t>Phú Xuân</t>
  </si>
  <si>
    <t>HCM_NM_PX_L</t>
  </si>
  <si>
    <t>HCM_NM_PX_X</t>
  </si>
  <si>
    <t>Cầu Gò Công</t>
  </si>
  <si>
    <t>HCM_NM_CGC_L</t>
  </si>
  <si>
    <t>HCM_NM_CGC_X</t>
  </si>
  <si>
    <t>Bình Lợi</t>
  </si>
  <si>
    <t>HCM_NM_BL_L</t>
  </si>
  <si>
    <t>Sài Gòn</t>
  </si>
  <si>
    <t>HCM_NM_SG_L</t>
  </si>
  <si>
    <t>Phú Mỹ</t>
  </si>
  <si>
    <t>HCM_NM_PM_L</t>
  </si>
  <si>
    <t>Mũi Đèn Đỏ</t>
  </si>
  <si>
    <t>HCM_NM_MĐĐ_L</t>
  </si>
  <si>
    <t>Nhà Bè</t>
  </si>
  <si>
    <t>HCM_NM_NB_L</t>
  </si>
  <si>
    <t>HCM_NM_BL_X</t>
  </si>
  <si>
    <t>HCM_NM_SG_X</t>
  </si>
  <si>
    <t>HCM_NM_PM_X</t>
  </si>
  <si>
    <t>HCM_NM_MĐĐ_X</t>
  </si>
  <si>
    <t>HCM_NM_NB_X</t>
  </si>
  <si>
    <t>Long Phước</t>
  </si>
  <si>
    <t>HCM_NM_LP_L</t>
  </si>
  <si>
    <t>Cát Lái</t>
  </si>
  <si>
    <t>HCM_NM_CL_L</t>
  </si>
  <si>
    <t>Lòng Tàu</t>
  </si>
  <si>
    <t>HCM_NM_LT_L</t>
  </si>
  <si>
    <t>Tam Thôn Hiệp</t>
  </si>
  <si>
    <t>HCM_NM_TTH_L</t>
  </si>
  <si>
    <t>Đồng Tranh 1</t>
  </si>
  <si>
    <t>HCM_NM_ĐT1_L</t>
  </si>
  <si>
    <t>HCM_NM_LP_X</t>
  </si>
  <si>
    <t>HCM_NM_CL_X</t>
  </si>
  <si>
    <t>HCM_NM_LT_X</t>
  </si>
  <si>
    <t>HCM_NM_TTH_X</t>
  </si>
  <si>
    <t>HCM_NM_ĐT1_X</t>
  </si>
  <si>
    <t>Lòng Tàu 1</t>
  </si>
  <si>
    <t>HCM_NM_LT1_L</t>
  </si>
  <si>
    <t>Ngã Bảy</t>
  </si>
  <si>
    <t>HCM_NM_N7_L</t>
  </si>
  <si>
    <t>Vàm Sát</t>
  </si>
  <si>
    <t>HCM_NM_VS_L</t>
  </si>
  <si>
    <t>Đồng Tranh</t>
  </si>
  <si>
    <t>HCM_NM_ĐT_L</t>
  </si>
  <si>
    <t>HCM_NM_LT1_X</t>
  </si>
  <si>
    <t>HCM_NM_N7_X</t>
  </si>
  <si>
    <t>HCM_NM_VS_X</t>
  </si>
  <si>
    <t>HCM_NM_ĐT_X</t>
  </si>
  <si>
    <t>Nơi thực hiện</t>
  </si>
  <si>
    <t>Vị trí quan trắc</t>
  </si>
  <si>
    <t>Số lượng mẫu</t>
  </si>
  <si>
    <t>Số lượng mẫu QC</t>
  </si>
  <si>
    <t>Ngày</t>
  </si>
  <si>
    <t>Ký hiệu</t>
  </si>
  <si>
    <t>ĐPNM1 - HCM_NM_ĐPNM1 - 01</t>
  </si>
  <si>
    <t>ĐPNM1 - 01</t>
  </si>
  <si>
    <t>ĐPNM4 - HCM_NM_ĐPNM4 - 01</t>
  </si>
  <si>
    <t>ĐPNM4 - 01</t>
  </si>
  <si>
    <t>ĐPNM5 - HCM_NM_ĐPNM5 - 01</t>
  </si>
  <si>
    <t>ĐPNM5 - 01</t>
  </si>
  <si>
    <t>ĐPNM8 - HCM_NM_ĐPNM8 - 01</t>
  </si>
  <si>
    <t>ĐPNM8 - 01</t>
  </si>
  <si>
    <t>ĐPNM1 - HCM_NM_ĐPNM1 - 02</t>
  </si>
  <si>
    <t>ĐPNM1 - 02</t>
  </si>
  <si>
    <t>ĐPNM4 - HCM_NM_ĐPNM4 - 02</t>
  </si>
  <si>
    <t>ĐPNM4 - 02</t>
  </si>
  <si>
    <t>ĐPNM5 - HCM_NM_ĐPNM5 - 02</t>
  </si>
  <si>
    <t>ĐPNM5 - 02</t>
  </si>
  <si>
    <t>ĐPNM8 - HCM_NM_ĐPNM8 - 02</t>
  </si>
  <si>
    <t>ĐPNM8 - 02</t>
  </si>
  <si>
    <t>Bà Lào - HCM_NM_BLa - Triều Lên</t>
  </si>
  <si>
    <t>Bà Lào - Triều Lên</t>
  </si>
  <si>
    <t>Long Hậu Tân Kim - HCM_NM_LHTK - Triều Lên</t>
  </si>
  <si>
    <t>Long Hậu Tân Kim - Triều Lên</t>
  </si>
  <si>
    <t>Phú Xuân - HCM_NM_PX - Triều Lên</t>
  </si>
  <si>
    <t>Phú Xuân - Triều Lên</t>
  </si>
  <si>
    <t>Hiệp Phước - HCM_NM_HPh - Triều Lên</t>
  </si>
  <si>
    <t>Hiệp Phước - Triều Lên</t>
  </si>
  <si>
    <t>Bà Lào - HCM_NM_BLa - Triều Xuống</t>
  </si>
  <si>
    <t>Bà Lào - Triều Xuống</t>
  </si>
  <si>
    <t>Long Hậu Tân Kim - HCM_NM_LHTK - Triều Xuống</t>
  </si>
  <si>
    <t>Long Hậu Tân Kim - Triều Xuống</t>
  </si>
  <si>
    <t>Phú Xuân - HCM_NM_PX - Triều Xuống</t>
  </si>
  <si>
    <t>Phú Xuân - Triều Xuống</t>
  </si>
  <si>
    <t>Hiệp Phước - HCM_NM_HPh - Triều Xuống</t>
  </si>
  <si>
    <t>Hiệp Phước - Triều Xuống</t>
  </si>
  <si>
    <t>Cầu số 1 - HCM_NM_CS1 - Triều Lên</t>
  </si>
  <si>
    <t>Cầu số 1 - Triều Lên</t>
  </si>
  <si>
    <t>Lê Văn Sỹ - HCM_NM_LVS - Triều Lên</t>
  </si>
  <si>
    <t>Lê Văn Sỹ - Triều Lên</t>
  </si>
  <si>
    <t>Hải Đức - HCM_NM_HĐ - Triều Lên</t>
  </si>
  <si>
    <t>Hải Đức - Triều Lên</t>
  </si>
  <si>
    <t>Điện Biên Phủ - HCM_NM_ĐBP - Triều Lên</t>
  </si>
  <si>
    <t>Điện Biên Phủ - Triều Lên</t>
  </si>
  <si>
    <t>Bùi Hữu Nghĩa - HCM_NM_BHN - Triều Lên</t>
  </si>
  <si>
    <t>Bùi Hữu Nghĩa - Triều Lên</t>
  </si>
  <si>
    <t>Cầu số 1 - HCM_NM_CS1 - Triều Xuống</t>
  </si>
  <si>
    <t>Cầu số 1 - Triều Xuống</t>
  </si>
  <si>
    <t>Lê Văn Sỹ - HCM_NM_LVS - Triều Xuống</t>
  </si>
  <si>
    <t>Lê Văn Sỹ - Triều Xuống</t>
  </si>
  <si>
    <t>Hải Đức - HCM_NM_HĐ - Triều Xuống</t>
  </si>
  <si>
    <t>Hải Đức - Triều Xuống</t>
  </si>
  <si>
    <t>Điện Biên Phủ - HCM_NM_ĐBP - Triều Xuống</t>
  </si>
  <si>
    <t>Điện Biên Phủ - Triều Xuống</t>
  </si>
  <si>
    <t>Bùi Hữu Nghĩa - HCM_NM_BHN - Triều Xuống</t>
  </si>
  <si>
    <t>Bùi Hữu Nghĩa - Triều Xuống</t>
  </si>
  <si>
    <t>Cầu Đỏ - HCM_NM_CĐ - Triều Lên</t>
  </si>
  <si>
    <t>Cầu Đỏ - Triều Lên</t>
  </si>
  <si>
    <t>Thị Nghè 2 - HCM_NM_TN2 - Triều Lên</t>
  </si>
  <si>
    <t>Thị Nghè 2 - Triều Lên</t>
  </si>
  <si>
    <t>Bùi Đình Túy - HCM_NM_BĐT - Triều Lên</t>
  </si>
  <si>
    <t>Bùi Đình Túy - Triều Lên</t>
  </si>
  <si>
    <t>Cầu Văn Thánh - HCM_NM_RVT - Triều Lên</t>
  </si>
  <si>
    <t>Cầu Văn Thánh - Triều Lên</t>
  </si>
  <si>
    <t>Cầu Văn Thánh 2 - HCM_NM_RVT2 - Triều Lên</t>
  </si>
  <si>
    <t>Cầu Văn Thánh 2 - Triều Lên</t>
  </si>
  <si>
    <t>Cầu Đỏ - HCM_NM_CĐ - Triều Xuống</t>
  </si>
  <si>
    <t>Cầu Đỏ - Triều Xuống</t>
  </si>
  <si>
    <t>Thị Nghè 2 - HCM_NM_TN2 - Triều Xuống</t>
  </si>
  <si>
    <t>Thị Nghè 2 - Triều Xuống</t>
  </si>
  <si>
    <t>Bùi Đình Túy - HCM_NM_BĐT - Triều Xuống</t>
  </si>
  <si>
    <t>Bùi Đình Túy - Triều Xuống</t>
  </si>
  <si>
    <t>Cầu Văn Thánh - HCM_NM_RVT - Triều Xuống</t>
  </si>
  <si>
    <t>Cầu Văn Thánh - Triều Xuống</t>
  </si>
  <si>
    <t>Cầu Văn Thánh 2 - HCM_NM_RVT2 - Triều Xuống</t>
  </si>
  <si>
    <t>Cầu Văn Thánh 2 - Triều Xuống</t>
  </si>
  <si>
    <t>Cầu TL9 - HCM_NM_CTL9 - Triều Lên</t>
  </si>
  <si>
    <t>Cầu TL9 - Triều Lên</t>
  </si>
  <si>
    <t>Xuân Thới Sơn - HCM_NM_XTS - Triều Lên</t>
  </si>
  <si>
    <t>Xuân Thới Sơn - Triều Lên</t>
  </si>
  <si>
    <t>Cầu Lớn - HCM_NM_CLo - Triều Lên</t>
  </si>
  <si>
    <t>Cầu Lớn - Triều Lên</t>
  </si>
  <si>
    <t>An Hạ - HCM_NM_AH - Triều Lên</t>
  </si>
  <si>
    <t>An Hạ - Triều Lên</t>
  </si>
  <si>
    <t>Rau Răm - HCM_NM_RR - Triều Lên</t>
  </si>
  <si>
    <t>Rau Răm - Triều Lên</t>
  </si>
  <si>
    <t>Cầu TL9 - HCM_NM_CTL9 - Triều Xuống</t>
  </si>
  <si>
    <t>Cầu TL9 - Triều Xuống</t>
  </si>
  <si>
    <t>Xuân Thới Sơn - HCM_NM_XTS - Triều Xuống</t>
  </si>
  <si>
    <t>Xuân Thới Sơn - Triều Xuống</t>
  </si>
  <si>
    <t>Cầu Lớn - HCM_NM_CLo - Triều Xuống</t>
  </si>
  <si>
    <t>Cầu Lớn - Triều Xuống</t>
  </si>
  <si>
    <t>An Hạ - HCM_NM_AH - Triều Xuống</t>
  </si>
  <si>
    <t>An Hạ - Triều Xuống</t>
  </si>
  <si>
    <t>Rau Răm - HCM_NM_RR - Triều Xuống</t>
  </si>
  <si>
    <t>Rau Răm - Triều Xuống</t>
  </si>
  <si>
    <t>Cống Vàm Thuật - HCM_NM_VT - Triều Lên</t>
  </si>
  <si>
    <t>Cống Vàm Thuật - Triều Lên</t>
  </si>
  <si>
    <t>An Lộc - HCM_NM_AL - Triều Lên</t>
  </si>
  <si>
    <t>An Lộc - Triều Lên</t>
  </si>
  <si>
    <t>Bến Cát - HCM_NM_BCa - Triều Lên</t>
  </si>
  <si>
    <t>Bến Cát - Triều Lên</t>
  </si>
  <si>
    <t>Trường Đai - HCM_NM_TĐ - Triều Lên</t>
  </si>
  <si>
    <t>Trường Đai - Triều Lên</t>
  </si>
  <si>
    <t>Cống Vàm Thuật - HCM_NM_VT - Triều Xuống</t>
  </si>
  <si>
    <t>Cống Vàm Thuật - Triều Xuống</t>
  </si>
  <si>
    <t>An Lộc - HCM_NM_AL - Triều Xuống</t>
  </si>
  <si>
    <t>An Lộc - Triều Xuống</t>
  </si>
  <si>
    <t>Bến Cát - HCM_NM_BCa - Triều Xuống</t>
  </si>
  <si>
    <t>Bến Cát - Triều Xuống</t>
  </si>
  <si>
    <t>Trường Đai - HCM_NM_TĐ - Triều Xuống</t>
  </si>
  <si>
    <t>Trường Đai - Triều Xuống</t>
  </si>
  <si>
    <t>Chợ Cầu - HCM_NM_CC - Triều Lên</t>
  </si>
  <si>
    <t>Chợ Cầu - Triều Lên</t>
  </si>
  <si>
    <t>Tham Lương - HCM_NM_TL - Triều Lên</t>
  </si>
  <si>
    <t>Tham Lương - Triều Lên</t>
  </si>
  <si>
    <t>Cầu Bưng - HCM_NM_CB - Triều Lên</t>
  </si>
  <si>
    <t>Cầu Bưng - Triều Lên</t>
  </si>
  <si>
    <t>CN1 - HCM_NM_CN1 - Triều Lên</t>
  </si>
  <si>
    <t>CN1 - Triều Lên</t>
  </si>
  <si>
    <t>Chợ Cầu - HCM_NM_CC - Triều Xuống</t>
  </si>
  <si>
    <t>Chợ Cầu - Triều Xuống</t>
  </si>
  <si>
    <t>Tham Lương - HCM_NM_TL - Triều Xuống</t>
  </si>
  <si>
    <t>Tham Lương - Triều Xuống</t>
  </si>
  <si>
    <t>Cầu Bưng - HCM_NM_CB - Triều Xuống</t>
  </si>
  <si>
    <t>Cầu Bưng - Triều Xuống</t>
  </si>
  <si>
    <t>CN1 - HCM_NM_CN1 - Triều Xuống</t>
  </si>
  <si>
    <t>CN1 - Triều Xuống</t>
  </si>
  <si>
    <t>GCNM2 - HCM_NM_GCNM2 - 01</t>
  </si>
  <si>
    <t>GCNM2 - 01</t>
  </si>
  <si>
    <t>GCNM3 - HCM_NM_GCNM3 - 01</t>
  </si>
  <si>
    <t>GCNM3 - 01</t>
  </si>
  <si>
    <t>Cầu Bình Thuận - HCM_NM_BT2 - Triều Lên</t>
  </si>
  <si>
    <t>Cầu Bình Thuận - Triều Lên</t>
  </si>
  <si>
    <t>Nước Đen - HCM_NM_NĐ - Triều Lên</t>
  </si>
  <si>
    <t>Nước Đen - Triều Lên</t>
  </si>
  <si>
    <t>Cầu Sông Chùa - HCM_NM_CSC - Triều Lên</t>
  </si>
  <si>
    <t>Cầu Sông Chùa - Triều Lên</t>
  </si>
  <si>
    <t>GCNM2 - HCM_NM_GCNM2 - 02</t>
  </si>
  <si>
    <t>GCNM2 - 02</t>
  </si>
  <si>
    <t>GCNM3 - HCM_NM_GCNM3 - 02</t>
  </si>
  <si>
    <t>GCNM3 - 02</t>
  </si>
  <si>
    <t>Cầu Bình Thuận - HCM_NM_BT2 - Triều Xuống</t>
  </si>
  <si>
    <t>Cầu Bình Thuận - Triều Xuống</t>
  </si>
  <si>
    <t>Nước Đen - HCM_NM_NĐ - Triều Xuống</t>
  </si>
  <si>
    <t>Nước Đen - Triều Xuống</t>
  </si>
  <si>
    <t>Cầu Sông Chùa - HCM_NM_CSC - Triều Xuống</t>
  </si>
  <si>
    <t>Cầu Sông Chùa - Triều Xuống</t>
  </si>
  <si>
    <t>Cầu Bà Tri - HCM_NM_CBT - Triều Lên</t>
  </si>
  <si>
    <t>Cầu Bà Tri - Triều Lên</t>
  </si>
  <si>
    <t>Tân Tạo - HCM_NM_TTa - Triều Lên</t>
  </si>
  <si>
    <t>Tân Tạo - Triều Lên</t>
  </si>
  <si>
    <t>Kênh C - HCM_NM_KC - Triều Lên</t>
  </si>
  <si>
    <t>Kênh C - Triều Lên</t>
  </si>
  <si>
    <t>Kênh C6 - HCM_NM_KC6 - Triều Lên</t>
  </si>
  <si>
    <t>Kênh C6 - Triều Lên</t>
  </si>
  <si>
    <t>Kênh C8 - HCM_NM_KC8 - Triều Lên</t>
  </si>
  <si>
    <t>Kênh C8 - Triều Lên</t>
  </si>
  <si>
    <t>Cầu Bà Tri - HCM_NM_CBT - Triều Xuống</t>
  </si>
  <si>
    <t>Cầu Bà Tri - Triều Xuống</t>
  </si>
  <si>
    <t>Tân Tạo - HCM_NM_TTa - Triều Xuống</t>
  </si>
  <si>
    <t>Tân Tạo - Triều Xuống</t>
  </si>
  <si>
    <t>Kênh C - HCM_NM_KC - Triều Xuống</t>
  </si>
  <si>
    <t>Kênh C - Triều Xuống</t>
  </si>
  <si>
    <t>Kênh C6 - HCM_NM_KC6 - Triều Xuống</t>
  </si>
  <si>
    <t>Kênh C6 - Triều Xuống</t>
  </si>
  <si>
    <t>Kênh C8 - HCM_NM_KC8 - Triều Xuống</t>
  </si>
  <si>
    <t>Kênh C8 - Triều Xuống</t>
  </si>
  <si>
    <t>Cầu Rạch Ngang - HCM_NM_CRN - Triều Lên</t>
  </si>
  <si>
    <t>Cầu Rạch Ngang - Triều Lên</t>
  </si>
  <si>
    <t>Xóm Củi - HCM_NM_XC - Triều Lên</t>
  </si>
  <si>
    <t>Xóm Củi - Triều Lên</t>
  </si>
  <si>
    <t>Ông Lớn - HCM_NM_OL - Triều Lên</t>
  </si>
  <si>
    <t>Ông Lớn - Triều Lên</t>
  </si>
  <si>
    <t>Cần Giuộc - HCM_NM_CG - Triều Lên</t>
  </si>
  <si>
    <t>Cần Giuộc - Triều Lên</t>
  </si>
  <si>
    <t>Cầu Rạch Ngang - HCM_NM_CRN - Triều Xuống</t>
  </si>
  <si>
    <t>Cầu Rạch Ngang - Triều Xuống</t>
  </si>
  <si>
    <t>Xóm Củi - HCM_NM_XC - Triều Xuống</t>
  </si>
  <si>
    <t>Xóm Củi - Triều Xuống</t>
  </si>
  <si>
    <t>Ông Lớn - HCM_NM_OL - Triều Xuống</t>
  </si>
  <si>
    <t>Ông Lớn - Triều Xuống</t>
  </si>
  <si>
    <t>Cần Giuộc - HCM_NM_CG - Triều Xuống</t>
  </si>
  <si>
    <t>Cần Giuộc - Triều Xuống</t>
  </si>
  <si>
    <t>Cầu Gò Công - HCM_NM_CGC - Triều Lên</t>
  </si>
  <si>
    <t>Cầu Gò Công - Triều Lên</t>
  </si>
  <si>
    <t>Cầu Gò Công - HCM_NM_CGC - Triều Xuống</t>
  </si>
  <si>
    <t>Cầu Gò Công - Triều Xuống</t>
  </si>
  <si>
    <t>Hồ Ngọc Lãm - HCM_NM_HNL - Triều Lên</t>
  </si>
  <si>
    <t>Hồ Ngọc Lãm - Triều Lên</t>
  </si>
  <si>
    <t>Bình Ðiền - HCM_NM_BĐ - Triều Lên</t>
  </si>
  <si>
    <t>Bình Ðiền - Triều Lên</t>
  </si>
  <si>
    <t>Chợ Đệm - HCM_NM_CĐe - Triều Lên</t>
  </si>
  <si>
    <t>Chợ Đệm - Triều Lên</t>
  </si>
  <si>
    <t>Hồ Ngọc Lãm - HCM_NM_HNL - Triều Xuống</t>
  </si>
  <si>
    <t>Hồ Ngọc Lãm - Triều Xuống</t>
  </si>
  <si>
    <t>Bình Ðiền - HCM_NM_BĐ - Triều Xuống</t>
  </si>
  <si>
    <t>Bình Ðiền - Triều Xuống</t>
  </si>
  <si>
    <t>Chợ Đệm - HCM_NM_CĐe - Triều Xuống</t>
  </si>
  <si>
    <t>Chợ Đệm - Triều Xuống</t>
  </si>
  <si>
    <t>TBNM15 - HCM_NM_TBNM15 - 01</t>
  </si>
  <si>
    <t>TBNM15 - 01</t>
  </si>
  <si>
    <t>TBNM5 - HCM_NM_TBNM5 - 01</t>
  </si>
  <si>
    <t>TBNM5 - 01</t>
  </si>
  <si>
    <t>TBNM14 - HCM_NM_TBNM14 - 01</t>
  </si>
  <si>
    <t>TBNM14 - 01</t>
  </si>
  <si>
    <t>TBNM9 - HCM_NM_TBNM9 - 01</t>
  </si>
  <si>
    <t>TBNM9 - 01</t>
  </si>
  <si>
    <t>TBNM11 - HCM_NM_TBNM11 - 01</t>
  </si>
  <si>
    <t>TBNM11 - 01</t>
  </si>
  <si>
    <t>TBNM1 - HCM_NM_TBNM1 - 01</t>
  </si>
  <si>
    <t>TBNM1 - 01</t>
  </si>
  <si>
    <t>TBNM15 - HCM_NM_TBNM15 - 02</t>
  </si>
  <si>
    <t>TBNM15 - 02</t>
  </si>
  <si>
    <t>TBNM5 - HCM_NM_TBNM5 - 02</t>
  </si>
  <si>
    <t>TBNM5 - 02</t>
  </si>
  <si>
    <t>TBNM14 - HCM_NM_TBNM14 - 02</t>
  </si>
  <si>
    <t>TBNM14 - 02</t>
  </si>
  <si>
    <t>TBNM9 - HCM_NM_TBNM9 - 02</t>
  </si>
  <si>
    <t>TBNM9 - 02</t>
  </si>
  <si>
    <t>TBNM11 - HCM_NM_TBNM11 - 02</t>
  </si>
  <si>
    <t>TBNM11 - 02</t>
  </si>
  <si>
    <t>TBNM1 - HCM_NM_TBNM1 - 02</t>
  </si>
  <si>
    <t>TBNM1 - 02</t>
  </si>
  <si>
    <t>Địa điểm quan trắc</t>
  </si>
  <si>
    <t>Triều</t>
  </si>
  <si>
    <t>Tên viết tắt</t>
  </si>
  <si>
    <t>Địa chỉ</t>
  </si>
  <si>
    <t>Tên nơi lấy mẫu</t>
  </si>
  <si>
    <t>Tên vị trí</t>
  </si>
  <si>
    <t>Tên vị trí mẫu lặp</t>
  </si>
  <si>
    <t>Tên vị trí mẫu trắng hiện trường</t>
  </si>
  <si>
    <t>Tên vị trí mẫu trắng vận chuyển</t>
  </si>
  <si>
    <t>Tên vị trí mẫu trắng thiết bị</t>
  </si>
  <si>
    <t>HCM_NM_CS1</t>
  </si>
  <si>
    <t>Khu vực Cầu số 1, đầu tuyến kênh Nhiêu Lộc – Thị Nghè</t>
  </si>
  <si>
    <t>Cầu số 1 - Triều Lên (QC - Mẫu lặp hiện trường)</t>
  </si>
  <si>
    <t>Cầu số 1 - Triều Lên (QC - Mẫu trắng hiện trường)</t>
  </si>
  <si>
    <t>Cầu số 1 - Triều Lên (QC - Mẫu trắng vận chuyển)</t>
  </si>
  <si>
    <t>Cầu số 1 - Triều Lên (QC - Mẫu trắng thiết bị)</t>
  </si>
  <si>
    <t>HCM_NM_LVS</t>
  </si>
  <si>
    <t>Khu vực cầu Lê Văn Sỹ, nối đường Lê Văn Sỹ và đường Trần Quốc Thảo</t>
  </si>
  <si>
    <t>Lê Văn Sỹ - Triều Lên (QC - Mẫu lặp hiện trường)</t>
  </si>
  <si>
    <t>Lê Văn Sỹ - Triều Lên (QC - Mẫu trắng hiện trường)</t>
  </si>
  <si>
    <t>Lê Văn Sỹ - Triều Lên (QC - Mẫu trắng vận chuyển)</t>
  </si>
  <si>
    <t>Lê Văn Sỹ - Triều Lên (QC - Mẫu trắng thiết bị)</t>
  </si>
  <si>
    <t>HCM_NM_HĐ</t>
  </si>
  <si>
    <t>Đoạn kênh khu vực gần Chùa Hải Đức, phường Cầu Kiệu</t>
  </si>
  <si>
    <t>Hải Đức - Triều Lên (QC - Mẫu lặp hiện trường)</t>
  </si>
  <si>
    <t>Hải Đức - Triều Lên (QC - Mẫu trắng hiện trường)</t>
  </si>
  <si>
    <t>Hải Đức - Triều Lên (QC - Mẫu trắng vận chuyển)</t>
  </si>
  <si>
    <t>Hải Đức - Triều Lên (QC - Mẫu trắng thiết bị)</t>
  </si>
  <si>
    <t>HCM_NM_ĐBP</t>
  </si>
  <si>
    <t>Khu vực cầu Điện Biên Phủ, gần Vòng xoay Điện Biên Phủ</t>
  </si>
  <si>
    <t>Điện Biên Phủ - Triều Lên (QC - Mẫu lặp hiện trường)</t>
  </si>
  <si>
    <t>Điện Biên Phủ - Triều Lên (QC - Mẫu trắng hiện trường)</t>
  </si>
  <si>
    <t>Điện Biên Phủ - Triều Lên (QC - Mẫu trắng vận chuyển)</t>
  </si>
  <si>
    <t>Điện Biên Phủ - Triều Lên (QC - Mẫu trắng thiết bị)</t>
  </si>
  <si>
    <t>HCM_NM_BĐT</t>
  </si>
  <si>
    <t>Khu vực gần công viên đường số 4, giáp bờ sông, gần đường Chu Văn An, phường Bình Thạnh</t>
  </si>
  <si>
    <t>Bùi Đình Túy - Triều Lên (QC - Mẫu lặp hiện trường)</t>
  </si>
  <si>
    <t>Bùi Đình Túy - Triều Lên (QC - Mẫu trắng hiện trường)</t>
  </si>
  <si>
    <t>Bùi Đình Túy - Triều Lên (QC - Mẫu trắng vận chuyển)</t>
  </si>
  <si>
    <t>Bùi Đình Túy - Triều Lên (QC - Mẫu trắng thiết bị)</t>
  </si>
  <si>
    <t>HCM_NM_CĐ</t>
  </si>
  <si>
    <t>Khu vực Cầu Đỏ trên đường Nguyễn Xí, đoạn qua rạch Cầu Sơn</t>
  </si>
  <si>
    <t>Cầu Đỏ - Triều Lên (QC - Mẫu lặp hiện trường)</t>
  </si>
  <si>
    <t>Cầu Đỏ - Triều Lên (QC - Mẫu trắng hiện trường)</t>
  </si>
  <si>
    <t>Cầu Đỏ - Triều Lên (QC - Mẫu trắng vận chuyển)</t>
  </si>
  <si>
    <t>Cầu Đỏ - Triều Lên (QC - Mẫu trắng thiết bị)</t>
  </si>
  <si>
    <t>HCM_NM_TN2</t>
  </si>
  <si>
    <t>Khu vực cầu Thị Nghè 2 trên đường Nguyễn Hữu Cảnh, gần Thảo Cầm Viên</t>
  </si>
  <si>
    <t>Thị Nghè 2 - Triều Lên (QC - Mẫu lặp hiện trường)</t>
  </si>
  <si>
    <t>Thị Nghè 2 - Triều Lên (QC - Mẫu trắng hiện trường)</t>
  </si>
  <si>
    <t>Thị Nghè 2 - Triều Lên (QC - Mẫu trắng vận chuyển)</t>
  </si>
  <si>
    <t>Thị Nghè 2 - Triều Lên (QC - Mẫu trắng thiết bị)</t>
  </si>
  <si>
    <t>HCM_NM_BHN</t>
  </si>
  <si>
    <t>Khu vực cầu Bùi Hữu Nghĩa, đoạn rạch Cầu Bông đổ ra kênh Nhiêu Lộc – Thị Nghè</t>
  </si>
  <si>
    <t>Bùi Hữu Nghĩa - Triều Lên (QC - Mẫu lặp hiện trường)</t>
  </si>
  <si>
    <t>Bùi Hữu Nghĩa - Triều Lên (QC - Mẫu trắng hiện trường)</t>
  </si>
  <si>
    <t>Bùi Hữu Nghĩa - Triều Lên (QC - Mẫu trắng vận chuyển)</t>
  </si>
  <si>
    <t>Bùi Hữu Nghĩa - Triều Lên (QC - Mẫu trắng thiết bị)</t>
  </si>
  <si>
    <t>HCM_NM_RVT</t>
  </si>
  <si>
    <t>Khu vực cầu Văn Thánh trên đường Điện Biên Phủ</t>
  </si>
  <si>
    <t>Cầu Văn Thánh - Triều Lên (QC - Mẫu lặp hiện trường)</t>
  </si>
  <si>
    <t>Cầu Văn Thánh - Triều Lên (QC - Mẫu trắng hiện trường)</t>
  </si>
  <si>
    <t>Cầu Văn Thánh - Triều Lên (QC - Mẫu trắng vận chuyển)</t>
  </si>
  <si>
    <t>Cầu Văn Thánh - Triều Lên (QC - Mẫu trắng thiết bị)</t>
  </si>
  <si>
    <t>HCM_NM_RVT2</t>
  </si>
  <si>
    <t>Khu vực cầu Văn Thánh 2 trên đường Nguyễn Hữu Cảnh, đoạn qua rạch Văn Thánh</t>
  </si>
  <si>
    <t>Cầu Văn Thánh 2 - Triều Lên (QC - Mẫu lặp hiện trường)</t>
  </si>
  <si>
    <t>Cầu Văn Thánh 2 - Triều Lên (QC - Mẫu trắng hiện trường)</t>
  </si>
  <si>
    <t>Cầu Văn Thánh 2 - Triều Lên (QC - Mẫu trắng vận chuyển)</t>
  </si>
  <si>
    <t>Cầu Văn Thánh 2 - Triều Lên (QC - Mẫu trắng thiết bị)</t>
  </si>
  <si>
    <t>Cầu số 1 - Triều Xuống (QC - Mẫu lặp hiện trường)</t>
  </si>
  <si>
    <t>Cầu số 1 - Triều Xuống (QC - Mẫu trắng hiện trường)</t>
  </si>
  <si>
    <t>Cầu số 1 - Triều Xuống (QC - Mẫu trắng vận chuyển)</t>
  </si>
  <si>
    <t>Cầu số 1 - Triều Xuống (QC - Mẫu trắng thiết bị)</t>
  </si>
  <si>
    <t>Lê Văn Sỹ - Triều Xuống (QC - Mẫu lặp hiện trường)</t>
  </si>
  <si>
    <t>Lê Văn Sỹ - Triều Xuống (QC - Mẫu trắng hiện trường)</t>
  </si>
  <si>
    <t>Lê Văn Sỹ - Triều Xuống (QC - Mẫu trắng vận chuyển)</t>
  </si>
  <si>
    <t>Lê Văn Sỹ - Triều Xuống (QC - Mẫu trắng thiết bị)</t>
  </si>
  <si>
    <t>Hải Đức - Triều Xuống (QC - Mẫu lặp hiện trường)</t>
  </si>
  <si>
    <t>Hải Đức - Triều Xuống (QC - Mẫu trắng hiện trường)</t>
  </si>
  <si>
    <t>Hải Đức - Triều Xuống (QC - Mẫu trắng vận chuyển)</t>
  </si>
  <si>
    <t>Hải Đức - Triều Xuống (QC - Mẫu trắng thiết bị)</t>
  </si>
  <si>
    <t>Điện Biên Phủ - Triều Xuống (QC - Mẫu lặp hiện trường)</t>
  </si>
  <si>
    <t>Điện Biên Phủ - Triều Xuống (QC - Mẫu trắng hiện trường)</t>
  </si>
  <si>
    <t>Điện Biên Phủ - Triều Xuống (QC - Mẫu trắng vận chuyển)</t>
  </si>
  <si>
    <t>Điện Biên Phủ - Triều Xuống (QC - Mẫu trắng thiết bị)</t>
  </si>
  <si>
    <t>Bùi Đình Túy - Triều Xuống (QC - Mẫu lặp hiện trường)</t>
  </si>
  <si>
    <t>Bùi Đình Túy - Triều Xuống (QC - Mẫu trắng hiện trường)</t>
  </si>
  <si>
    <t>Bùi Đình Túy - Triều Xuống (QC - Mẫu trắng vận chuyển)</t>
  </si>
  <si>
    <t>Bùi Đình Túy - Triều Xuống (QC - Mẫu trắng thiết bị)</t>
  </si>
  <si>
    <t>Cầu Đỏ - Triều Xuống (QC - Mẫu lặp hiện trường)</t>
  </si>
  <si>
    <t>Cầu Đỏ - Triều Xuống (QC - Mẫu trắng hiện trường)</t>
  </si>
  <si>
    <t>Cầu Đỏ - Triều Xuống (QC - Mẫu trắng vận chuyển)</t>
  </si>
  <si>
    <t>Cầu Đỏ - Triều Xuống (QC - Mẫu trắng thiết bị)</t>
  </si>
  <si>
    <t>Thị Nghè 2 - Triều Xuống (QC - Mẫu lặp hiện trường)</t>
  </si>
  <si>
    <t>Thị Nghè 2 - Triều Xuống (QC - Mẫu trắng hiện trường)</t>
  </si>
  <si>
    <t>Thị Nghè 2 - Triều Xuống (QC - Mẫu trắng vận chuyển)</t>
  </si>
  <si>
    <t>Thị Nghè 2 - Triều Xuống (QC - Mẫu trắng thiết bị)</t>
  </si>
  <si>
    <t>Bùi Hữu Nghĩa - Triều Xuống (QC - Mẫu lặp hiện trường)</t>
  </si>
  <si>
    <t>Bùi Hữu Nghĩa - Triều Xuống (QC - Mẫu trắng hiện trường)</t>
  </si>
  <si>
    <t>Bùi Hữu Nghĩa - Triều Xuống (QC - Mẫu trắng vận chuyển)</t>
  </si>
  <si>
    <t>Bùi Hữu Nghĩa - Triều Xuống (QC - Mẫu trắng thiết bị)</t>
  </si>
  <si>
    <t>Cầu Văn Thánh - Triều Xuống (QC - Mẫu lặp hiện trường)</t>
  </si>
  <si>
    <t>Cầu Văn Thánh - Triều Xuống (QC - Mẫu trắng hiện trường)</t>
  </si>
  <si>
    <t>Cầu Văn Thánh - Triều Xuống (QC - Mẫu trắng vận chuyển)</t>
  </si>
  <si>
    <t>Cầu Văn Thánh - Triều Xuống (QC - Mẫu trắng thiết bị)</t>
  </si>
  <si>
    <t>Cầu Văn Thánh 2 - Triều Xuống (QC - Mẫu lặp hiện trường)</t>
  </si>
  <si>
    <t>Cầu Văn Thánh 2 - Triều Xuống (QC - Mẫu trắng hiện trường)</t>
  </si>
  <si>
    <t>Cầu Văn Thánh 2 - Triều Xuống (QC - Mẫu trắng vận chuyển)</t>
  </si>
  <si>
    <t>Cầu Văn Thánh 2 - Triều Xuống (QC - Mẫu trắng thiết bị)</t>
  </si>
  <si>
    <t>01</t>
  </si>
  <si>
    <t>HCM_NM_TBNM15</t>
  </si>
  <si>
    <t>HCM_NM_TBNM15_01</t>
  </si>
  <si>
    <t>Kênh 18 – Cách nhà máy Vietstar 300m về hướng ngược dòng chảy.</t>
  </si>
  <si>
    <t>TBNM15 - 01 (QC - Mẫu lặp hiện trường)</t>
  </si>
  <si>
    <t>TBNM15 - 01 (QC - Mẫu trắng hiện trường)</t>
  </si>
  <si>
    <t>TBNM15 - 01 (QC - Mẫu trắng vận chuyển)</t>
  </si>
  <si>
    <t>TBNM15 - 01 (QC - Mẫu trắng thiết bị)</t>
  </si>
  <si>
    <t>HCM_NM_TBNM5</t>
  </si>
  <si>
    <t>HCM_NM_TBNM5_01</t>
  </si>
  <si>
    <t>Kênh Thầy Cai – cách kênh 18 khoảng 500 m, hướng về phía thượng nguồn.</t>
  </si>
  <si>
    <t>TBNM5 - 01 (QC - Mẫu lặp hiện trường)</t>
  </si>
  <si>
    <t>TBNM5 - 01 (QC - Mẫu trắng hiện trường)</t>
  </si>
  <si>
    <t>TBNM5 - 01 (QC - Mẫu trắng vận chuyển)</t>
  </si>
  <si>
    <t>TBNM5 - 01 (QC - Mẫu trắng thiết bị)</t>
  </si>
  <si>
    <t>HCM_NM_CTT</t>
  </si>
  <si>
    <t>Cầu Tân Thái, TL 822, ranh giới giữa Phường Thái Mỹ và tỉnh Tây Ninh</t>
  </si>
  <si>
    <t>Cầu Tân Thái - HCM_NM_CTT - Triều Lên</t>
  </si>
  <si>
    <t>Cầu Tân Thái - Triều Lên</t>
  </si>
  <si>
    <t>Cầu Tân Thái - Triều Lên (QC - Mẫu lặp hiện trường)</t>
  </si>
  <si>
    <t>Cầu Tân Thái - Triều Lên (QC - Mẫu trắng hiện trường)</t>
  </si>
  <si>
    <t>Cầu Tân Thái - Triều Lên (QC - Mẫu trắng vận chuyển)</t>
  </si>
  <si>
    <t>Cầu Tân Thái - Triều Lên (QC - Mẫu trắng thiết bị)</t>
  </si>
  <si>
    <t>HCM_NM_TBNM14</t>
  </si>
  <si>
    <t>HCM_NM_TBNM14_01</t>
  </si>
  <si>
    <t>Kênh 17 – Đầu kênh</t>
  </si>
  <si>
    <t>TBNM14 - 01 (QC - Mẫu lặp hiện trường)</t>
  </si>
  <si>
    <t>TBNM14 - 01 (QC - Mẫu trắng hiện trường)</t>
  </si>
  <si>
    <t>TBNM14 - 01 (QC - Mẫu trắng vận chuyển)</t>
  </si>
  <si>
    <t>TBNM14 - 01 (QC - Mẫu trắng thiết bị)</t>
  </si>
  <si>
    <t>HCM_NM_TBNM9</t>
  </si>
  <si>
    <t>HCM_NM_TBNM9_01</t>
  </si>
  <si>
    <t>Kênh 15 – Thượng nguồn - Cách bãi số 3 khoảng 500 m ngược hướng dòng chảy</t>
  </si>
  <si>
    <t>TBNM9 - 01 (QC - Mẫu lặp hiện trường)</t>
  </si>
  <si>
    <t>TBNM9 - 01 (QC - Mẫu trắng hiện trường)</t>
  </si>
  <si>
    <t>TBNM9 - 01 (QC - Mẫu trắng vận chuyển)</t>
  </si>
  <si>
    <t>TBNM9 - 01 (QC - Mẫu trắng thiết bị)</t>
  </si>
  <si>
    <t>HCM_NM_TBNM11</t>
  </si>
  <si>
    <t>HCM_NM_TBNM11_01</t>
  </si>
  <si>
    <t>Kênh 16 – giáp bãi chôn lấp số 3 (đầu kênh)</t>
  </si>
  <si>
    <t>TBNM11 - 01 (QC - Mẫu lặp hiện trường)</t>
  </si>
  <si>
    <t>TBNM11 - 01 (QC - Mẫu trắng hiện trường)</t>
  </si>
  <si>
    <t>TBNM11 - 01 (QC - Mẫu trắng vận chuyển)</t>
  </si>
  <si>
    <t>TBNM11 - 01 (QC - Mẫu trắng thiết bị)</t>
  </si>
  <si>
    <t>HCM_NM_TBNM1</t>
  </si>
  <si>
    <t>HCM_NM_TBNM1_01</t>
  </si>
  <si>
    <t>Kênh Thầy Cai – cách ngã 3 kênh 15 và kênh Thầy Cai khoảng 500 m về hướng dân cư.</t>
  </si>
  <si>
    <t>TBNM1 - 01 (QC - Mẫu lặp hiện trường)</t>
  </si>
  <si>
    <t>TBNM1 - 01 (QC - Mẫu trắng hiện trường)</t>
  </si>
  <si>
    <t>TBNM1 - 01 (QC - Mẫu trắng vận chuyển)</t>
  </si>
  <si>
    <t>TBNM1 - 01 (QC - Mẫu trắng thiết bị)</t>
  </si>
  <si>
    <t>HCM_NM_TCa</t>
  </si>
  <si>
    <t>Tại khu vực cầu Thầy Cai.</t>
  </si>
  <si>
    <t>Thầy Cai - HCM_NM_TCa - Triều Lên</t>
  </si>
  <si>
    <t>Thầy Cai - Triều Lên</t>
  </si>
  <si>
    <t>Thầy Cai - Triều Lên (QC - Mẫu lặp hiện trường)</t>
  </si>
  <si>
    <t>Thầy Cai - Triều Lên (QC - Mẫu trắng hiện trường)</t>
  </si>
  <si>
    <t>Thầy Cai - Triều Lên (QC - Mẫu trắng vận chuyển)</t>
  </si>
  <si>
    <t>Thầy Cai - Triều Lên (QC - Mẫu trắng thiết bị)</t>
  </si>
  <si>
    <t>02</t>
  </si>
  <si>
    <t>HCM_NM_TBNM15_02</t>
  </si>
  <si>
    <t>TBNM15 - 02 (QC - Mẫu lặp hiện trường)</t>
  </si>
  <si>
    <t>TBNM15 - 02 (QC - Mẫu trắng hiện trường)</t>
  </si>
  <si>
    <t>TBNM15 - 02 (QC - Mẫu trắng vận chuyển)</t>
  </si>
  <si>
    <t>TBNM15 - 02 (QC - Mẫu trắng thiết bị)</t>
  </si>
  <si>
    <t>HCM_NM_TBNM5_02</t>
  </si>
  <si>
    <t>TBNM5 - 02 (QC - Mẫu lặp hiện trường)</t>
  </si>
  <si>
    <t>TBNM5 - 02 (QC - Mẫu trắng hiện trường)</t>
  </si>
  <si>
    <t>TBNM5 - 02 (QC - Mẫu trắng vận chuyển)</t>
  </si>
  <si>
    <t>TBNM5 - 02 (QC - Mẫu trắng thiết bị)</t>
  </si>
  <si>
    <t>Cầu Tân Thái - HCM_NM_CTT - Triều Xuống</t>
  </si>
  <si>
    <t>Cầu Tân Thái - Triều Xuống</t>
  </si>
  <si>
    <t>Cầu Tân Thái - Triều Xuống (QC - Mẫu lặp hiện trường)</t>
  </si>
  <si>
    <t>Cầu Tân Thái - Triều Xuống (QC - Mẫu trắng hiện trường)</t>
  </si>
  <si>
    <t>Cầu Tân Thái - Triều Xuống (QC - Mẫu trắng vận chuyển)</t>
  </si>
  <si>
    <t>Cầu Tân Thái - Triều Xuống (QC - Mẫu trắng thiết bị)</t>
  </si>
  <si>
    <t>HCM_NM_TBNM14_02</t>
  </si>
  <si>
    <t>TBNM14 - 02 (QC - Mẫu lặp hiện trường)</t>
  </si>
  <si>
    <t>TBNM14 - 02 (QC - Mẫu trắng hiện trường)</t>
  </si>
  <si>
    <t>TBNM14 - 02 (QC - Mẫu trắng vận chuyển)</t>
  </si>
  <si>
    <t>TBNM14 - 02 (QC - Mẫu trắng thiết bị)</t>
  </si>
  <si>
    <t>HCM_NM_TBNM9_02</t>
  </si>
  <si>
    <t>TBNM9 - 02 (QC - Mẫu lặp hiện trường)</t>
  </si>
  <si>
    <t>TBNM9 - 02 (QC - Mẫu trắng hiện trường)</t>
  </si>
  <si>
    <t>TBNM9 - 02 (QC - Mẫu trắng vận chuyển)</t>
  </si>
  <si>
    <t>TBNM9 - 02 (QC - Mẫu trắng thiết bị)</t>
  </si>
  <si>
    <t>HCM_NM_TBNM11_02</t>
  </si>
  <si>
    <t>TBNM11 - 02 (QC - Mẫu lặp hiện trường)</t>
  </si>
  <si>
    <t>TBNM11 - 02 (QC - Mẫu trắng hiện trường)</t>
  </si>
  <si>
    <t>TBNM11 - 02 (QC - Mẫu trắng vận chuyển)</t>
  </si>
  <si>
    <t>TBNM11 - 02 (QC - Mẫu trắng thiết bị)</t>
  </si>
  <si>
    <t>HCM_NM_TBNM1_02</t>
  </si>
  <si>
    <t>TBNM1 - 02 (QC - Mẫu lặp hiện trường)</t>
  </si>
  <si>
    <t>TBNM1 - 02 (QC - Mẫu trắng hiện trường)</t>
  </si>
  <si>
    <t>TBNM1 - 02 (QC - Mẫu trắng vận chuyển)</t>
  </si>
  <si>
    <t>TBNM1 - 02 (QC - Mẫu trắng thiết bị)</t>
  </si>
  <si>
    <t>Thầy Cai - HCM_NM_TCa - Triều Xuống</t>
  </si>
  <si>
    <t>Thầy Cai - Triều Xuống</t>
  </si>
  <si>
    <t>Thầy Cai - Triều Xuống (QC - Mẫu lặp hiện trường)</t>
  </si>
  <si>
    <t>Thầy Cai - Triều Xuống (QC - Mẫu trắng hiện trường)</t>
  </si>
  <si>
    <t>Thầy Cai - Triều Xuống (QC - Mẫu trắng vận chuyển)</t>
  </si>
  <si>
    <t>Thầy Cai - Triều Xuống (QC - Mẫu trắng thiết bị)</t>
  </si>
  <si>
    <t>HCM_NM_N46</t>
  </si>
  <si>
    <t>Hồ chứa nước kênh Đông, xã Củ Chi</t>
  </si>
  <si>
    <t>Kênh N46 - HCM_NM_N46 - Triều Lên</t>
  </si>
  <si>
    <t>Kênh N46 - Triều Lên</t>
  </si>
  <si>
    <t>Kênh N46 - Triều Lên (QC - Mẫu lặp hiện trường)</t>
  </si>
  <si>
    <t>Kênh N46 - Triều Lên (QC - Mẫu trắng hiện trường)</t>
  </si>
  <si>
    <t>Kênh N46 - Triều Lên (QC - Mẫu trắng vận chuyển)</t>
  </si>
  <si>
    <t>Kênh N46 - Triều Lên (QC - Mẫu trắng thiết bị)</t>
  </si>
  <si>
    <t>HCM_NM_TPT</t>
  </si>
  <si>
    <t>Dọc đường Tam Tân cách ngã giao kênh Thầy Cai và kênh An Hạ 1km về phía Tây</t>
  </si>
  <si>
    <t>Tân Phú Trung - HCM_NM_TPT - Triều Lên</t>
  </si>
  <si>
    <t>Tân Phú Trung - Triều Lên</t>
  </si>
  <si>
    <t>Tân Phú Trung - Triều Lên (QC - Mẫu lặp hiện trường)</t>
  </si>
  <si>
    <t>Tân Phú Trung - Triều Lên (QC - Mẫu trắng hiện trường)</t>
  </si>
  <si>
    <t>Tân Phú Trung - Triều Lên (QC - Mẫu trắng vận chuyển)</t>
  </si>
  <si>
    <t>Tân Phú Trung - Triều Lên (QC - Mẫu trắng thiết bị)</t>
  </si>
  <si>
    <t>HCM_NM_TC18A</t>
  </si>
  <si>
    <t>Trước cổng công ty Fujifilm</t>
  </si>
  <si>
    <t>TC18A - HCM_NM_TC18A - Triều Lên</t>
  </si>
  <si>
    <t>TC18A - Triều Lên</t>
  </si>
  <si>
    <t>TC18A - Triều Lên (QC - Mẫu lặp hiện trường)</t>
  </si>
  <si>
    <t>TC18A - Triều Lên (QC - Mẫu trắng hiện trường)</t>
  </si>
  <si>
    <t>TC18A - Triều Lên (QC - Mẫu trắng vận chuyển)</t>
  </si>
  <si>
    <t>TC18A - Triều Lên (QC - Mẫu trắng thiết bị)</t>
  </si>
  <si>
    <t>HCM_NM_AH1</t>
  </si>
  <si>
    <t>Cầu An Hạ, QL 22</t>
  </si>
  <si>
    <t>An Hạ 1 - HCM_NM_AH1 - Triều Lên</t>
  </si>
  <si>
    <t>An Hạ 1 - Triều Lên</t>
  </si>
  <si>
    <t>An Hạ 1 - Triều Lên (QC - Mẫu lặp hiện trường)</t>
  </si>
  <si>
    <t>An Hạ 1 - Triều Lên (QC - Mẫu trắng hiện trường)</t>
  </si>
  <si>
    <t>An Hạ 1 - Triều Lên (QC - Mẫu trắng vận chuyển)</t>
  </si>
  <si>
    <t>An Hạ 1 - Triều Lên (QC - Mẫu trắng thiết bị)</t>
  </si>
  <si>
    <t>HCM_NM_CTL9</t>
  </si>
  <si>
    <t>Tại khu vực cầu TL9</t>
  </si>
  <si>
    <t>Cầu TL9 - Triều Lên (QC - Mẫu lặp hiện trường)</t>
  </si>
  <si>
    <t>Cầu TL9 - Triều Lên (QC - Mẫu trắng hiện trường)</t>
  </si>
  <si>
    <t>Cầu TL9 - Triều Lên (QC - Mẫu trắng vận chuyển)</t>
  </si>
  <si>
    <t>Cầu TL9 - Triều Lên (QC - Mẫu trắng thiết bị)</t>
  </si>
  <si>
    <t>HCM_NM_XTS</t>
  </si>
  <si>
    <t>Dọc đường Thanh Niên đối diện với cơ sở xã hội Nhị Xuân</t>
  </si>
  <si>
    <t>Xuân Thới Sơn - Triều Lên (QC - Mẫu lặp hiện trường)</t>
  </si>
  <si>
    <t>Xuân Thới Sơn - Triều Lên (QC - Mẫu trắng hiện trường)</t>
  </si>
  <si>
    <t>Xuân Thới Sơn - Triều Lên (QC - Mẫu trắng vận chuyển)</t>
  </si>
  <si>
    <t>Xuân Thới Sơn - Triều Lên (QC - Mẫu trắng thiết bị)</t>
  </si>
  <si>
    <t>HCM_NM_CLo</t>
  </si>
  <si>
    <t>Tại khu vực cầu Lớn</t>
  </si>
  <si>
    <t>Cầu Lớn - Triều Lên (QC - Mẫu lặp hiện trường)</t>
  </si>
  <si>
    <t>Cầu Lớn - Triều Lên (QC - Mẫu trắng hiện trường)</t>
  </si>
  <si>
    <t>Cầu Lớn - Triều Lên (QC - Mẫu trắng vận chuyển)</t>
  </si>
  <si>
    <t>Cầu Lớn - Triều Lên (QC - Mẫu trắng thiết bị)</t>
  </si>
  <si>
    <t>HCM_NM_AH</t>
  </si>
  <si>
    <t>Cầu Xáng, đường Trần Văn Giàu, Xã Tân Vĩnh Lộc</t>
  </si>
  <si>
    <t>An Hạ - Triều Lên (QC - Mẫu lặp hiện trường)</t>
  </si>
  <si>
    <t>An Hạ - Triều Lên (QC - Mẫu trắng hiện trường)</t>
  </si>
  <si>
    <t>An Hạ - Triều Lên (QC - Mẫu trắng vận chuyển)</t>
  </si>
  <si>
    <t>An Hạ - Triều Lên (QC - Mẫu trắng thiết bị)</t>
  </si>
  <si>
    <t>HCM_NM_RR</t>
  </si>
  <si>
    <t>Tại khu vực cầu Rau Răm</t>
  </si>
  <si>
    <t>Rau Răm - Triều Lên (QC - Mẫu lặp hiện trường)</t>
  </si>
  <si>
    <t>Rau Răm - Triều Lên (QC - Mẫu trắng hiện trường)</t>
  </si>
  <si>
    <t>Rau Răm - Triều Lên (QC - Mẫu trắng vận chuyển)</t>
  </si>
  <si>
    <t>Rau Răm - Triều Lên (QC - Mẫu trắng thiết bị)</t>
  </si>
  <si>
    <t>Kênh N46 - HCM_NM_N46 - Triều Xuống</t>
  </si>
  <si>
    <t>Kênh N46 - Triều Xuống</t>
  </si>
  <si>
    <t>Kênh N46 - Triều Xuống (QC - Mẫu lặp hiện trường)</t>
  </si>
  <si>
    <t>Kênh N46 - Triều Xuống (QC - Mẫu trắng hiện trường)</t>
  </si>
  <si>
    <t>Kênh N46 - Triều Xuống (QC - Mẫu trắng vận chuyển)</t>
  </si>
  <si>
    <t>Kênh N46 - Triều Xuống (QC - Mẫu trắng thiết bị)</t>
  </si>
  <si>
    <t>Tân Phú Trung - HCM_NM_TPT - Triều Xuống</t>
  </si>
  <si>
    <t>Tân Phú Trung - Triều Xuống</t>
  </si>
  <si>
    <t>Tân Phú Trung - Triều Xuống (QC - Mẫu lặp hiện trường)</t>
  </si>
  <si>
    <t>Tân Phú Trung - Triều Xuống (QC - Mẫu trắng hiện trường)</t>
  </si>
  <si>
    <t>Tân Phú Trung - Triều Xuống (QC - Mẫu trắng vận chuyển)</t>
  </si>
  <si>
    <t>Tân Phú Trung - Triều Xuống (QC - Mẫu trắng thiết bị)</t>
  </si>
  <si>
    <t>TC18A - HCM_NM_TC18A - Triều Xuống</t>
  </si>
  <si>
    <t>TC18A - Triều Xuống</t>
  </si>
  <si>
    <t>TC18A - Triều Xuống (QC - Mẫu lặp hiện trường)</t>
  </si>
  <si>
    <t>TC18A - Triều Xuống (QC - Mẫu trắng hiện trường)</t>
  </si>
  <si>
    <t>TC18A - Triều Xuống (QC - Mẫu trắng vận chuyển)</t>
  </si>
  <si>
    <t>TC18A - Triều Xuống (QC - Mẫu trắng thiết bị)</t>
  </si>
  <si>
    <t>An Hạ 1 - HCM_NM_AH1 - Triều Xuống</t>
  </si>
  <si>
    <t>An Hạ 1 - Triều Xuống</t>
  </si>
  <si>
    <t>An Hạ 1 - Triều Xuống (QC - Mẫu lặp hiện trường)</t>
  </si>
  <si>
    <t>An Hạ 1 - Triều Xuống (QC - Mẫu trắng hiện trường)</t>
  </si>
  <si>
    <t>An Hạ 1 - Triều Xuống (QC - Mẫu trắng vận chuyển)</t>
  </si>
  <si>
    <t>An Hạ 1 - Triều Xuống (QC - Mẫu trắng thiết bị)</t>
  </si>
  <si>
    <t>Cầu TL9 - Triều Xuống (QC - Mẫu lặp hiện trường)</t>
  </si>
  <si>
    <t>Cầu TL9 - Triều Xuống (QC - Mẫu trắng hiện trường)</t>
  </si>
  <si>
    <t>Cầu TL9 - Triều Xuống (QC - Mẫu trắng vận chuyển)</t>
  </si>
  <si>
    <t>Cầu TL9 - Triều Xuống (QC - Mẫu trắng thiết bị)</t>
  </si>
  <si>
    <t>Xuân Thới Sơn - Triều Xuống (QC - Mẫu lặp hiện trường)</t>
  </si>
  <si>
    <t>Xuân Thới Sơn - Triều Xuống (QC - Mẫu trắng hiện trường)</t>
  </si>
  <si>
    <t>Xuân Thới Sơn - Triều Xuống (QC - Mẫu trắng vận chuyển)</t>
  </si>
  <si>
    <t>Xuân Thới Sơn - Triều Xuống (QC - Mẫu trắng thiết bị)</t>
  </si>
  <si>
    <t>Cầu Lớn - Triều Xuống (QC - Mẫu lặp hiện trường)</t>
  </si>
  <si>
    <t>Cầu Lớn - Triều Xuống (QC - Mẫu trắng hiện trường)</t>
  </si>
  <si>
    <t>Cầu Lớn - Triều Xuống (QC - Mẫu trắng vận chuyển)</t>
  </si>
  <si>
    <t>Cầu Lớn - Triều Xuống (QC - Mẫu trắng thiết bị)</t>
  </si>
  <si>
    <t>An Hạ - Triều Xuống (QC - Mẫu lặp hiện trường)</t>
  </si>
  <si>
    <t>An Hạ - Triều Xuống (QC - Mẫu trắng hiện trường)</t>
  </si>
  <si>
    <t>An Hạ - Triều Xuống (QC - Mẫu trắng vận chuyển)</t>
  </si>
  <si>
    <t>An Hạ - Triều Xuống (QC - Mẫu trắng thiết bị)</t>
  </si>
  <si>
    <t>Rau Răm - Triều Xuống (QC - Mẫu lặp hiện trường)</t>
  </si>
  <si>
    <t>Rau Răm - Triều Xuống (QC - Mẫu trắng hiện trường)</t>
  </si>
  <si>
    <t>Rau Răm - Triều Xuống (QC - Mẫu trắng vận chuyển)</t>
  </si>
  <si>
    <t>Rau Răm - Triều Xuống (QC - Mẫu trắng thiết bị)</t>
  </si>
  <si>
    <t>HCM_NM_CMo</t>
  </si>
  <si>
    <t>Khu vực cầu Mống, phường Xóm Chiểu</t>
  </si>
  <si>
    <t>Cầu Mống - HCM_NM_CMo - Triều Lên</t>
  </si>
  <si>
    <t>Cầu Mống - Triều Lên</t>
  </si>
  <si>
    <t>Cầu Mống - Triều Lên (QC - Mẫu lặp hiện trường)</t>
  </si>
  <si>
    <t>Cầu Mống - Triều Lên (QC - Mẫu trắng hiện trường)</t>
  </si>
  <si>
    <t>Cầu Mống - Triều Lên (QC - Mẫu trắng vận chuyển)</t>
  </si>
  <si>
    <t>Cầu Mống - Triều Lên (QC - Mẫu trắng thiết bị)</t>
  </si>
  <si>
    <t>HCM_NM_TThu</t>
  </si>
  <si>
    <t>Khu vực cầu Tân Thuận, phường Tân Thuận. Đoạn kênh Tẻ đổ ra sông Sài Gòn</t>
  </si>
  <si>
    <t>Tân Thuận - HCM_NM_TThu - Triều Lên</t>
  </si>
  <si>
    <t>Tân Thuận - Triều Lên</t>
  </si>
  <si>
    <t>Tân Thuận - Triều Lên (QC - Mẫu lặp hiện trường)</t>
  </si>
  <si>
    <t>Tân Thuận - Triều Lên (QC - Mẫu trắng hiện trường)</t>
  </si>
  <si>
    <t>Tân Thuận - Triều Lên (QC - Mẫu trắng vận chuyển)</t>
  </si>
  <si>
    <t>Tân Thuận - Triều Lên (QC - Mẫu trắng thiết bị)</t>
  </si>
  <si>
    <t>HCM_NM_KT</t>
  </si>
  <si>
    <t>Khu vực cầu Kênh Tẻ trên đường Nguyễn Hữu Thọ</t>
  </si>
  <si>
    <t>Kênh Tẻ - HCM_NM_KT - Triều Lên</t>
  </si>
  <si>
    <t>Kênh Tẻ - Triều Lên</t>
  </si>
  <si>
    <t>Kênh Tẻ - Triều Lên (QC - Mẫu lặp hiện trường)</t>
  </si>
  <si>
    <t>Kênh Tẻ - Triều Lên (QC - Mẫu trắng hiện trường)</t>
  </si>
  <si>
    <t>Kênh Tẻ - Triều Lên (QC - Mẫu trắng vận chuyển)</t>
  </si>
  <si>
    <t>Kênh Tẻ - Triều Lên (QC - Mẫu trắng thiết bị)</t>
  </si>
  <si>
    <t>HCM_NM_CCY</t>
  </si>
  <si>
    <t>Khu vực cầu Chữ Y, đoạn hợp lưu kênh Đôi - Kênh Tàu Hũ</t>
  </si>
  <si>
    <t>Cầu Chữ Y - HCM_NM_CCY - Triều Lên</t>
  </si>
  <si>
    <t>Cầu Chữ Y - Triều Lên</t>
  </si>
  <si>
    <t>Cầu Chữ Y - Triều Lên (QC - Mẫu lặp hiện trường)</t>
  </si>
  <si>
    <t>Cầu Chữ Y - Triều Lên (QC - Mẫu trắng hiện trường)</t>
  </si>
  <si>
    <t>Cầu Chữ Y - Triều Lên (QC - Mẫu trắng vận chuyển)</t>
  </si>
  <si>
    <t>Cầu Chữ Y - Triều Lên (QC - Mẫu trắng thiết bị)</t>
  </si>
  <si>
    <t>HCM_NM_CV</t>
  </si>
  <si>
    <t>Khu vực cầu Chà Và, Phường Phú Định</t>
  </si>
  <si>
    <t>Chà Và - HCM_NM_CV - Triều Lên</t>
  </si>
  <si>
    <t>Chà Và - Triều Lên</t>
  </si>
  <si>
    <t>Chà Và - Triều Lên (QC - Mẫu lặp hiện trường)</t>
  </si>
  <si>
    <t>Chà Và - Triều Lên (QC - Mẫu trắng hiện trường)</t>
  </si>
  <si>
    <t>Chà Và - Triều Lên (QC - Mẫu trắng vận chuyển)</t>
  </si>
  <si>
    <t>Chà Và - Triều Lên (QC - Mẫu trắng thiết bị)</t>
  </si>
  <si>
    <t>HCM_NM_CH</t>
  </si>
  <si>
    <t>Khu vực cầu Chánh Hưng, phường Chánh Hưng</t>
  </si>
  <si>
    <t>Chánh Hưng - HCM_NM_CH - Triều Lên</t>
  </si>
  <si>
    <t>Chánh Hưng - Triều Lên</t>
  </si>
  <si>
    <t>Chánh Hưng - Triều Lên (QC - Mẫu lặp hiện trường)</t>
  </si>
  <si>
    <t>Chánh Hưng - Triều Lên (QC - Mẫu trắng hiện trường)</t>
  </si>
  <si>
    <t>Chánh Hưng - Triều Lên (QC - Mẫu trắng vận chuyển)</t>
  </si>
  <si>
    <t>Chánh Hưng - Triều Lên (QC - Mẫu trắng thiết bị)</t>
  </si>
  <si>
    <t>HCM_NM_NTĐ</t>
  </si>
  <si>
    <t>Khu vực cầu Nhị Thiên Đường, phường Bình Đông</t>
  </si>
  <si>
    <t>Nhị Thiên Đường - HCM_NM_NTĐ - Triều Lên</t>
  </si>
  <si>
    <t>Nhị Thiên Đường - Triều Lên</t>
  </si>
  <si>
    <t>Nhị Thiên Đường - Triều Lên (QC - Mẫu lặp hiện trường)</t>
  </si>
  <si>
    <t>Nhị Thiên Đường - Triều Lên (QC - Mẫu trắng hiện trường)</t>
  </si>
  <si>
    <t>Nhị Thiên Đường - Triều Lên (QC - Mẫu trắng vận chuyển)</t>
  </si>
  <si>
    <t>Nhị Thiên Đường - Triều Lên (QC - Mẫu trắng thiết bị)</t>
  </si>
  <si>
    <t>Cầu Mống - HCM_NM_CMo - Triều Xuống</t>
  </si>
  <si>
    <t>Cầu Mống - Triều Xuống</t>
  </si>
  <si>
    <t>Cầu Mống - Triều Xuống (QC - Mẫu lặp hiện trường)</t>
  </si>
  <si>
    <t>Cầu Mống - Triều Xuống (QC - Mẫu trắng hiện trường)</t>
  </si>
  <si>
    <t>Cầu Mống - Triều Xuống (QC - Mẫu trắng vận chuyển)</t>
  </si>
  <si>
    <t>Cầu Mống - Triều Xuống (QC - Mẫu trắng thiết bị)</t>
  </si>
  <si>
    <t>Tân Thuận - HCM_NM_TThu - Triều Xuống</t>
  </si>
  <si>
    <t>Tân Thuận - Triều Xuống</t>
  </si>
  <si>
    <t>Tân Thuận - Triều Xuống (QC - Mẫu lặp hiện trường)</t>
  </si>
  <si>
    <t>Tân Thuận - Triều Xuống (QC - Mẫu trắng hiện trường)</t>
  </si>
  <si>
    <t>Tân Thuận - Triều Xuống (QC - Mẫu trắng vận chuyển)</t>
  </si>
  <si>
    <t>Tân Thuận - Triều Xuống (QC - Mẫu trắng thiết bị)</t>
  </si>
  <si>
    <t>Kênh Tẻ - HCM_NM_KT - Triều Xuống</t>
  </si>
  <si>
    <t>Kênh Tẻ - Triều Xuống</t>
  </si>
  <si>
    <t>Kênh Tẻ - Triều Xuống (QC - Mẫu lặp hiện trường)</t>
  </si>
  <si>
    <t>Kênh Tẻ - Triều Xuống (QC - Mẫu trắng hiện trường)</t>
  </si>
  <si>
    <t>Kênh Tẻ - Triều Xuống (QC - Mẫu trắng vận chuyển)</t>
  </si>
  <si>
    <t>Kênh Tẻ - Triều Xuống (QC - Mẫu trắng thiết bị)</t>
  </si>
  <si>
    <t>Cầu Chữ Y - HCM_NM_CCY - Triều Xuống</t>
  </si>
  <si>
    <t>Cầu Chữ Y - Triều Xuống</t>
  </si>
  <si>
    <t>Cầu Chữ Y - Triều Xuống (QC - Mẫu lặp hiện trường)</t>
  </si>
  <si>
    <t>Cầu Chữ Y - Triều Xuống (QC - Mẫu trắng hiện trường)</t>
  </si>
  <si>
    <t>Cầu Chữ Y - Triều Xuống (QC - Mẫu trắng vận chuyển)</t>
  </si>
  <si>
    <t>Cầu Chữ Y - Triều Xuống (QC - Mẫu trắng thiết bị)</t>
  </si>
  <si>
    <t>Chà Và - HCM_NM_CV - Triều Xuống</t>
  </si>
  <si>
    <t>Chà Và - Triều Xuống</t>
  </si>
  <si>
    <t>Chà Và - Triều Xuống (QC - Mẫu lặp hiện trường)</t>
  </si>
  <si>
    <t>Chà Và - Triều Xuống (QC - Mẫu trắng hiện trường)</t>
  </si>
  <si>
    <t>Chà Và - Triều Xuống (QC - Mẫu trắng vận chuyển)</t>
  </si>
  <si>
    <t>Chà Và - Triều Xuống (QC - Mẫu trắng thiết bị)</t>
  </si>
  <si>
    <t>Chánh Hưng - HCM_NM_CH - Triều Xuống</t>
  </si>
  <si>
    <t>Chánh Hưng - Triều Xuống</t>
  </si>
  <si>
    <t>Chánh Hưng - Triều Xuống (QC - Mẫu lặp hiện trường)</t>
  </si>
  <si>
    <t>Chánh Hưng - Triều Xuống (QC - Mẫu trắng hiện trường)</t>
  </si>
  <si>
    <t>Chánh Hưng - Triều Xuống (QC - Mẫu trắng vận chuyển)</t>
  </si>
  <si>
    <t>Chánh Hưng - Triều Xuống (QC - Mẫu trắng thiết bị)</t>
  </si>
  <si>
    <t>Nhị Thiên Đường - HCM_NM_NTĐ - Triều Xuống</t>
  </si>
  <si>
    <t>Nhị Thiên Đường - Triều Xuống</t>
  </si>
  <si>
    <t>Nhị Thiên Đường - Triều Xuống (QC - Mẫu lặp hiện trường)</t>
  </si>
  <si>
    <t>Nhị Thiên Đường - Triều Xuống (QC - Mẫu trắng hiện trường)</t>
  </si>
  <si>
    <t>Nhị Thiên Đường - Triều Xuống (QC - Mẫu trắng vận chuyển)</t>
  </si>
  <si>
    <t>Nhị Thiên Đường - Triều Xuống (QC - Mẫu trắng thiết bị)</t>
  </si>
  <si>
    <t>HCM_NM_HB</t>
  </si>
  <si>
    <t>Khu vực cống xả Hòa Bình, phía sau Công viên Văn hóa Đầm Sen, đoạn đường Nguyễn Trọng Quyền</t>
  </si>
  <si>
    <t>Hòa Bình - HCM_NM_HB - Triều Lên</t>
  </si>
  <si>
    <t>Hòa Bình - Triều Lên</t>
  </si>
  <si>
    <t>Hòa Bình - Triều Lên (QC - Mẫu lặp hiện trường)</t>
  </si>
  <si>
    <t>Hòa Bình - Triều Lên (QC - Mẫu trắng hiện trường)</t>
  </si>
  <si>
    <t>Hòa Bình - Triều Lên (QC - Mẫu trắng vận chuyển)</t>
  </si>
  <si>
    <t>Hòa Bình - Triều Lên (QC - Mẫu trắng thiết bị)</t>
  </si>
  <si>
    <t>HCM_NM_OB</t>
  </si>
  <si>
    <t>Khu vực cầu Ông Buông, Phường Bình Tây</t>
  </si>
  <si>
    <t>Ông Buông - HCM_NM_OB - Triều Lên</t>
  </si>
  <si>
    <t>Ông Buông - Triều Lên</t>
  </si>
  <si>
    <t>Ông Buông - Triều Lên (QC - Mẫu lặp hiện trường)</t>
  </si>
  <si>
    <t>Ông Buông - Triều Lên (QC - Mẫu trắng hiện trường)</t>
  </si>
  <si>
    <t>Ông Buông - Triều Lên (QC - Mẫu trắng vận chuyển)</t>
  </si>
  <si>
    <t>Ông Buông - Triều Lên (QC - Mẫu trắng thiết bị)</t>
  </si>
  <si>
    <t>HCM_NM_RN</t>
  </si>
  <si>
    <t>Khu vực cầu Phú Định, đoạn hợp lưu rạch Ruột Ngựa – kênh Lò Gốm</t>
  </si>
  <si>
    <t>Rạch Ngựa - HCM_NM_RN - Triều Lên</t>
  </si>
  <si>
    <t>Rạch Ngựa - Triều Lên</t>
  </si>
  <si>
    <t>Rạch Ngựa - Triều Lên (QC - Mẫu lặp hiện trường)</t>
  </si>
  <si>
    <t>Rạch Ngựa - Triều Lên (QC - Mẫu trắng hiện trường)</t>
  </si>
  <si>
    <t>Rạch Ngựa - Triều Lên (QC - Mẫu trắng vận chuyển)</t>
  </si>
  <si>
    <t>Rạch Ngựa - Triều Lên (QC - Mẫu trắng thiết bị)</t>
  </si>
  <si>
    <t>HCM_NM_PĐ</t>
  </si>
  <si>
    <t>Khu vực gần Bến đò Hội Đồng, khúc giao giữa đường Lưu Hữu Phước và đường Cầu Bến Tranh</t>
  </si>
  <si>
    <t>Phú Định - HCM_NM_PĐ - Triều Lên</t>
  </si>
  <si>
    <t>Phú Định - Triều Lên</t>
  </si>
  <si>
    <t>Phú Định - Triều Lên (QC - Mẫu lặp hiện trường)</t>
  </si>
  <si>
    <t>Phú Định - Triều Lên (QC - Mẫu trắng hiện trường)</t>
  </si>
  <si>
    <t>Phú Định - Triều Lên (QC - Mẫu trắng vận chuyển)</t>
  </si>
  <si>
    <t>Phú Định - Triều Lên (QC - Mẫu trắng thiết bị)</t>
  </si>
  <si>
    <t>HCM_NM_HNL</t>
  </si>
  <si>
    <t>Tại bến phà Phú Định</t>
  </si>
  <si>
    <t>Hồ Ngọc Lãm - Triều Lên (QC - Mẫu lặp hiện trường)</t>
  </si>
  <si>
    <t>Hồ Ngọc Lãm - Triều Lên (QC - Mẫu trắng hiện trường)</t>
  </si>
  <si>
    <t>Hồ Ngọc Lãm - Triều Lên (QC - Mẫu trắng vận chuyển)</t>
  </si>
  <si>
    <t>Hồ Ngọc Lãm - Triều Lên (QC - Mẫu trắng thiết bị)</t>
  </si>
  <si>
    <t>HCM_NM_BĐ</t>
  </si>
  <si>
    <t>Cầu Bình Điền, QL 1A</t>
  </si>
  <si>
    <t>Bình Ðiền - Triều Lên (QC - Mẫu lặp hiện trường)</t>
  </si>
  <si>
    <t>Bình Ðiền - Triều Lên (QC - Mẫu trắng hiện trường)</t>
  </si>
  <si>
    <t>Bình Ðiền - Triều Lên (QC - Mẫu trắng vận chuyển)</t>
  </si>
  <si>
    <t>Bình Ðiền - Triều Lên (QC - Mẫu trắng thiết bị)</t>
  </si>
  <si>
    <t>HCM_NM_CĐe</t>
  </si>
  <si>
    <t>Tại khu vực cầu Chợ Đệm</t>
  </si>
  <si>
    <t>Chợ Đệm - Triều Lên (QC - Mẫu lặp hiện trường)</t>
  </si>
  <si>
    <t>Chợ Đệm - Triều Lên (QC - Mẫu trắng hiện trường)</t>
  </si>
  <si>
    <t>Chợ Đệm - Triều Lên (QC - Mẫu trắng vận chuyển)</t>
  </si>
  <si>
    <t>Chợ Đệm - Triều Lên (QC - Mẫu trắng thiết bị)</t>
  </si>
  <si>
    <t>Hòa Bình - HCM_NM_HB - Triều Xuống</t>
  </si>
  <si>
    <t>Hòa Bình - Triều Xuống</t>
  </si>
  <si>
    <t>Hòa Bình - Triều Xuống (QC - Mẫu lặp hiện trường)</t>
  </si>
  <si>
    <t>Hòa Bình - Triều Xuống (QC - Mẫu trắng hiện trường)</t>
  </si>
  <si>
    <t>Hòa Bình - Triều Xuống (QC - Mẫu trắng vận chuyển)</t>
  </si>
  <si>
    <t>Hòa Bình - Triều Xuống (QC - Mẫu trắng thiết bị)</t>
  </si>
  <si>
    <t>Ông Buông - HCM_NM_OB - Triều Xuống</t>
  </si>
  <si>
    <t>Ông Buông - Triều Xuống</t>
  </si>
  <si>
    <t>Ông Buông - Triều Xuống (QC - Mẫu lặp hiện trường)</t>
  </si>
  <si>
    <t>Ông Buông - Triều Xuống (QC - Mẫu trắng hiện trường)</t>
  </si>
  <si>
    <t>Ông Buông - Triều Xuống (QC - Mẫu trắng vận chuyển)</t>
  </si>
  <si>
    <t>Ông Buông - Triều Xuống (QC - Mẫu trắng thiết bị)</t>
  </si>
  <si>
    <t>Rạch Ngựa - HCM_NM_RN - Triều Xuống</t>
  </si>
  <si>
    <t>Rạch Ngựa - Triều Xuống</t>
  </si>
  <si>
    <t>Rạch Ngựa - Triều Xuống (QC - Mẫu lặp hiện trường)</t>
  </si>
  <si>
    <t>Rạch Ngựa - Triều Xuống (QC - Mẫu trắng hiện trường)</t>
  </si>
  <si>
    <t>Rạch Ngựa - Triều Xuống (QC - Mẫu trắng vận chuyển)</t>
  </si>
  <si>
    <t>Rạch Ngựa - Triều Xuống (QC - Mẫu trắng thiết bị)</t>
  </si>
  <si>
    <t>Phú Định - HCM_NM_PĐ - Triều Xuống</t>
  </si>
  <si>
    <t>Phú Định - Triều Xuống</t>
  </si>
  <si>
    <t>Phú Định - Triều Xuống (QC - Mẫu lặp hiện trường)</t>
  </si>
  <si>
    <t>Phú Định - Triều Xuống (QC - Mẫu trắng hiện trường)</t>
  </si>
  <si>
    <t>Phú Định - Triều Xuống (QC - Mẫu trắng vận chuyển)</t>
  </si>
  <si>
    <t>Phú Định - Triều Xuống (QC - Mẫu trắng thiết bị)</t>
  </si>
  <si>
    <t>Hồ Ngọc Lãm - Triều Xuống (QC - Mẫu lặp hiện trường)</t>
  </si>
  <si>
    <t>Hồ Ngọc Lãm - Triều Xuống (QC - Mẫu trắng hiện trường)</t>
  </si>
  <si>
    <t>Hồ Ngọc Lãm - Triều Xuống (QC - Mẫu trắng vận chuyển)</t>
  </si>
  <si>
    <t>Hồ Ngọc Lãm - Triều Xuống (QC - Mẫu trắng thiết bị)</t>
  </si>
  <si>
    <t>Bình Ðiền - Triều Xuống (QC - Mẫu lặp hiện trường)</t>
  </si>
  <si>
    <t>Bình Ðiền - Triều Xuống (QC - Mẫu trắng hiện trường)</t>
  </si>
  <si>
    <t>Bình Ðiền - Triều Xuống (QC - Mẫu trắng vận chuyển)</t>
  </si>
  <si>
    <t>Bình Ðiền - Triều Xuống (QC - Mẫu trắng thiết bị)</t>
  </si>
  <si>
    <t>Chợ Đệm - Triều Xuống (QC - Mẫu lặp hiện trường)</t>
  </si>
  <si>
    <t>Chợ Đệm - Triều Xuống (QC - Mẫu trắng hiện trường)</t>
  </si>
  <si>
    <t>Chợ Đệm - Triều Xuống (QC - Mẫu trắng vận chuyển)</t>
  </si>
  <si>
    <t>Chợ Đệm - Triều Xuống (QC - Mẫu trắng thiết bị)</t>
  </si>
  <si>
    <t>HCM_NM_CRN</t>
  </si>
  <si>
    <t>Trên đường Nguyễn Văn Linh cách Quốc lộ 50 khoảng 280 m theo hướng Đông Bắc</t>
  </si>
  <si>
    <t>Cầu Rạch Ngang - Triều Lên (QC - Mẫu lặp hiện trường)</t>
  </si>
  <si>
    <t>Cầu Rạch Ngang - Triều Lên (QC - Mẫu trắng hiện trường)</t>
  </si>
  <si>
    <t>Cầu Rạch Ngang - Triều Lên (QC - Mẫu trắng vận chuyển)</t>
  </si>
  <si>
    <t>Cầu Rạch Ngang - Triều Lên (QC - Mẫu trắng thiết bị)</t>
  </si>
  <si>
    <t>HCM_NM_XC</t>
  </si>
  <si>
    <t>Trên cầu Xóm Củi giao giữa đường Nguyễn Văn Linh và rạch Hiệp An</t>
  </si>
  <si>
    <t>Xóm Củi - Triều Lên (QC - Mẫu lặp hiện trường)</t>
  </si>
  <si>
    <t>Xóm Củi - Triều Lên (QC - Mẫu trắng hiện trường)</t>
  </si>
  <si>
    <t>Xóm Củi - Triều Lên (QC - Mẫu trắng vận chuyển)</t>
  </si>
  <si>
    <t>Xóm Củi - Triều Lên (QC - Mẫu trắng thiết bị)</t>
  </si>
  <si>
    <t>HCM_NM_OL</t>
  </si>
  <si>
    <t>Khu vực cầu Ông Lớn trên đường Nguyễn Văn Linh</t>
  </si>
  <si>
    <t>Ông Lớn - Triều Lên (QC - Mẫu lặp hiện trường)</t>
  </si>
  <si>
    <t>Ông Lớn - Triều Lên (QC - Mẫu trắng hiện trường)</t>
  </si>
  <si>
    <t>Ông Lớn - Triều Lên (QC - Mẫu trắng vận chuyển)</t>
  </si>
  <si>
    <t>Ông Lớn - Triều Lên (QC - Mẫu trắng thiết bị)</t>
  </si>
  <si>
    <t>HCM_NM_CG</t>
  </si>
  <si>
    <t>Tại khu vực cầu Cần Giuộc</t>
  </si>
  <si>
    <t>Cần Giuộc - Triều Lên (QC - Mẫu lặp hiện trường)</t>
  </si>
  <si>
    <t>Cần Giuộc - Triều Lên (QC - Mẫu trắng hiện trường)</t>
  </si>
  <si>
    <t>Cần Giuộc - Triều Lên (QC - Mẫu trắng vận chuyển)</t>
  </si>
  <si>
    <t>Cần Giuộc - Triều Lên (QC - Mẫu trắng thiết bị)</t>
  </si>
  <si>
    <t>HCM_NM_BLa</t>
  </si>
  <si>
    <t>Tại khu vực cầu Bà Lào</t>
  </si>
  <si>
    <t>Bà Lào - Triều Lên (QC - Mẫu lặp hiện trường)</t>
  </si>
  <si>
    <t>Bà Lào - Triều Lên (QC - Mẫu trắng hiện trường)</t>
  </si>
  <si>
    <t>Bà Lào - Triều Lên (QC - Mẫu trắng vận chuyển)</t>
  </si>
  <si>
    <t>Bà Lào - Triều Lên (QC - Mẫu trắng thiết bị)</t>
  </si>
  <si>
    <t>HCM_NM_LHTK</t>
  </si>
  <si>
    <t>Tại bến phà Long Hậu – Tân Kim</t>
  </si>
  <si>
    <t>Long Hậu Tân Kim - Triều Lên (QC - Mẫu lặp hiện trường)</t>
  </si>
  <si>
    <t>Long Hậu Tân Kim - Triều Lên (QC - Mẫu trắng hiện trường)</t>
  </si>
  <si>
    <t>Long Hậu Tân Kim - Triều Lên (QC - Mẫu trắng vận chuyển)</t>
  </si>
  <si>
    <t>Long Hậu Tân Kim - Triều Lên (QC - Mẫu trắng thiết bị)</t>
  </si>
  <si>
    <t>HCM_NM_HPh</t>
  </si>
  <si>
    <t>Khu vực gần cầu Đồng Điền</t>
  </si>
  <si>
    <t>Hiệp Phước - Triều Lên (QC - Mẫu lặp hiện trường)</t>
  </si>
  <si>
    <t>Hiệp Phước - Triều Lên (QC - Mẫu trắng hiện trường)</t>
  </si>
  <si>
    <t>Hiệp Phước - Triều Lên (QC - Mẫu trắng vận chuyển)</t>
  </si>
  <si>
    <t>Hiệp Phước - Triều Lên (QC - Mẫu trắng thiết bị)</t>
  </si>
  <si>
    <t>Cầu Rạch Ngang - Triều Xuống (QC - Mẫu lặp hiện trường)</t>
  </si>
  <si>
    <t>Cầu Rạch Ngang - Triều Xuống (QC - Mẫu trắng hiện trường)</t>
  </si>
  <si>
    <t>Cầu Rạch Ngang - Triều Xuống (QC - Mẫu trắng vận chuyển)</t>
  </si>
  <si>
    <t>Cầu Rạch Ngang - Triều Xuống (QC - Mẫu trắng thiết bị)</t>
  </si>
  <si>
    <t>Xóm Củi - Triều Xuống (QC - Mẫu lặp hiện trường)</t>
  </si>
  <si>
    <t>Xóm Củi - Triều Xuống (QC - Mẫu trắng hiện trường)</t>
  </si>
  <si>
    <t>Xóm Củi - Triều Xuống (QC - Mẫu trắng vận chuyển)</t>
  </si>
  <si>
    <t>Xóm Củi - Triều Xuống (QC - Mẫu trắng thiết bị)</t>
  </si>
  <si>
    <t>Ông Lớn - Triều Xuống (QC - Mẫu lặp hiện trường)</t>
  </si>
  <si>
    <t>Ông Lớn - Triều Xuống (QC - Mẫu trắng hiện trường)</t>
  </si>
  <si>
    <t>Ông Lớn - Triều Xuống (QC - Mẫu trắng vận chuyển)</t>
  </si>
  <si>
    <t>Ông Lớn - Triều Xuống (QC - Mẫu trắng thiết bị)</t>
  </si>
  <si>
    <t>Cần Giuộc - Triều Xuống (QC - Mẫu lặp hiện trường)</t>
  </si>
  <si>
    <t>Cần Giuộc - Triều Xuống (QC - Mẫu trắng hiện trường)</t>
  </si>
  <si>
    <t>Cần Giuộc - Triều Xuống (QC - Mẫu trắng vận chuyển)</t>
  </si>
  <si>
    <t>Cần Giuộc - Triều Xuống (QC - Mẫu trắng thiết bị)</t>
  </si>
  <si>
    <t>Bà Lào - Triều Xuống (QC - Mẫu lặp hiện trường)</t>
  </si>
  <si>
    <t>Bà Lào - Triều Xuống (QC - Mẫu trắng hiện trường)</t>
  </si>
  <si>
    <t>Bà Lào - Triều Xuống (QC - Mẫu trắng vận chuyển)</t>
  </si>
  <si>
    <t>Bà Lào - Triều Xuống (QC - Mẫu trắng thiết bị)</t>
  </si>
  <si>
    <t>Long Hậu Tân Kim - Triều Xuống (QC - Mẫu lặp hiện trường)</t>
  </si>
  <si>
    <t>Long Hậu Tân Kim - Triều Xuống (QC - Mẫu trắng hiện trường)</t>
  </si>
  <si>
    <t>Long Hậu Tân Kim - Triều Xuống (QC - Mẫu trắng vận chuyển)</t>
  </si>
  <si>
    <t>Long Hậu Tân Kim - Triều Xuống (QC - Mẫu trắng thiết bị)</t>
  </si>
  <si>
    <t>Hiệp Phước - Triều Xuống (QC - Mẫu lặp hiện trường)</t>
  </si>
  <si>
    <t>Hiệp Phước - Triều Xuống (QC - Mẫu trắng hiện trường)</t>
  </si>
  <si>
    <t>Hiệp Phước - Triều Xuống (QC - Mẫu trắng vận chuyển)</t>
  </si>
  <si>
    <t>Hiệp Phước - Triều Xuống (QC - Mẫu trắng thiết bị)</t>
  </si>
  <si>
    <t>HCM_NM_VT</t>
  </si>
  <si>
    <t>Đoạn sông Vàm Thuật đi qua Khu dân cư Bình Lợi, khu vực cuối Đường Trục, phường Bình Lợi Trung</t>
  </si>
  <si>
    <t>Cống Vàm Thuật - Triều Lên (QC - Mẫu lặp hiện trường)</t>
  </si>
  <si>
    <t>Cống Vàm Thuật - Triều Lên (QC - Mẫu trắng hiện trường)</t>
  </si>
  <si>
    <t>Cống Vàm Thuật - Triều Lên (QC - Mẫu trắng vận chuyển)</t>
  </si>
  <si>
    <t>Cống Vàm Thuật - Triều Lên (QC - Mẫu trắng thiết bị)</t>
  </si>
  <si>
    <t>HCM_NM_AL</t>
  </si>
  <si>
    <t>Khu vực cầu An Lộc, nối đường Hà Huy Giáp và đường Nguyễn Oanh</t>
  </si>
  <si>
    <t>An Lộc - Triều Lên (QC - Mẫu lặp hiện trường)</t>
  </si>
  <si>
    <t>An Lộc - Triều Lên (QC - Mẫu trắng hiện trường)</t>
  </si>
  <si>
    <t>An Lộc - Triều Lên (QC - Mẫu trắng vận chuyển)</t>
  </si>
  <si>
    <t>An Lộc - Triều Lên (QC - Mẫu trắng thiết bị)</t>
  </si>
  <si>
    <t>HCM_NM_BCa</t>
  </si>
  <si>
    <t>Khu vực cầu Bến Cát nằm trên Quốc lộ 1A</t>
  </si>
  <si>
    <t>Bến Cát - Triều Lên (QC - Mẫu lặp hiện trường)</t>
  </si>
  <si>
    <t>Bến Cát - Triều Lên (QC - Mẫu trắng hiện trường)</t>
  </si>
  <si>
    <t>Bến Cát - Triều Lên (QC - Mẫu trắng vận chuyển)</t>
  </si>
  <si>
    <t>Bến Cát - Triều Lên (QC - Mẫu trắng thiết bị)</t>
  </si>
  <si>
    <t>HCM_NM_TĐ</t>
  </si>
  <si>
    <t>Tại khu vực cầu Trường Đai</t>
  </si>
  <si>
    <t>Trường Đai - Triều Lên (QC - Mẫu lặp hiện trường)</t>
  </si>
  <si>
    <t>Trường Đai - Triều Lên (QC - Mẫu trắng hiện trường)</t>
  </si>
  <si>
    <t>Trường Đai - Triều Lên (QC - Mẫu trắng vận chuyển)</t>
  </si>
  <si>
    <t>Trường Đai - Triều Lên (QC - Mẫu trắng thiết bị)</t>
  </si>
  <si>
    <t>HCM_NM_CC</t>
  </si>
  <si>
    <t>Tại khu vực cầu Chợ Cầu</t>
  </si>
  <si>
    <t>Chợ Cầu - Triều Lên (QC - Mẫu lặp hiện trường)</t>
  </si>
  <si>
    <t>Chợ Cầu - Triều Lên (QC - Mẫu trắng hiện trường)</t>
  </si>
  <si>
    <t>Chợ Cầu - Triều Lên (QC - Mẫu trắng vận chuyển)</t>
  </si>
  <si>
    <t>Chợ Cầu - Triều Lên (QC - Mẫu trắng thiết bị)</t>
  </si>
  <si>
    <t>HCM_NM_TL</t>
  </si>
  <si>
    <t>Khu vực cầu Tham Lương trên đường Trường Chinh</t>
  </si>
  <si>
    <t>Tham Lương - Triều Lên (QC - Mẫu lặp hiện trường)</t>
  </si>
  <si>
    <t>Tham Lương - Triều Lên (QC - Mẫu trắng hiện trường)</t>
  </si>
  <si>
    <t>Tham Lương - Triều Lên (QC - Mẫu trắng vận chuyển)</t>
  </si>
  <si>
    <t>Tham Lương - Triều Lên (QC - Mẫu trắng thiết bị)</t>
  </si>
  <si>
    <t>HCM_NM_CB</t>
  </si>
  <si>
    <t>Cách cầu Bưng 760m về phía Đông Bắc</t>
  </si>
  <si>
    <t>Cầu Bưng - Triều Lên (QC - Mẫu lặp hiện trường)</t>
  </si>
  <si>
    <t>Cầu Bưng - Triều Lên (QC - Mẫu trắng hiện trường)</t>
  </si>
  <si>
    <t>Cầu Bưng - Triều Lên (QC - Mẫu trắng vận chuyển)</t>
  </si>
  <si>
    <t>Cầu Bưng - Triều Lên (QC - Mẫu trắng thiết bị)</t>
  </si>
  <si>
    <t>HCM_NM_CN1</t>
  </si>
  <si>
    <t>Khu vực giao cầu của đường CN1 và kênh 19/5</t>
  </si>
  <si>
    <t>CN1 - Triều Lên (QC - Mẫu lặp hiện trường)</t>
  </si>
  <si>
    <t>CN1 - Triều Lên (QC - Mẫu trắng hiện trường)</t>
  </si>
  <si>
    <t>CN1 - Triều Lên (QC - Mẫu trắng vận chuyển)</t>
  </si>
  <si>
    <t>CN1 - Triều Lên (QC - Mẫu trắng thiết bị)</t>
  </si>
  <si>
    <t>Cống Vàm Thuật - Triều Xuống (QC - Mẫu lặp hiện trường)</t>
  </si>
  <si>
    <t>Cống Vàm Thuật - Triều Xuống (QC - Mẫu trắng hiện trường)</t>
  </si>
  <si>
    <t>Cống Vàm Thuật - Triều Xuống (QC - Mẫu trắng vận chuyển)</t>
  </si>
  <si>
    <t>Cống Vàm Thuật - Triều Xuống (QC - Mẫu trắng thiết bị)</t>
  </si>
  <si>
    <t>An Lộc - Triều Xuống (QC - Mẫu lặp hiện trường)</t>
  </si>
  <si>
    <t>An Lộc - Triều Xuống (QC - Mẫu trắng hiện trường)</t>
  </si>
  <si>
    <t>An Lộc - Triều Xuống (QC - Mẫu trắng vận chuyển)</t>
  </si>
  <si>
    <t>An Lộc - Triều Xuống (QC - Mẫu trắng thiết bị)</t>
  </si>
  <si>
    <t>Bến Cát - Triều Xuống (QC - Mẫu lặp hiện trường)</t>
  </si>
  <si>
    <t>Bến Cát - Triều Xuống (QC - Mẫu trắng hiện trường)</t>
  </si>
  <si>
    <t>Bến Cát - Triều Xuống (QC - Mẫu trắng vận chuyển)</t>
  </si>
  <si>
    <t>Bến Cát - Triều Xuống (QC - Mẫu trắng thiết bị)</t>
  </si>
  <si>
    <t>Trường Đai - Triều Xuống (QC - Mẫu lặp hiện trường)</t>
  </si>
  <si>
    <t>Trường Đai - Triều Xuống (QC - Mẫu trắng hiện trường)</t>
  </si>
  <si>
    <t>Trường Đai - Triều Xuống (QC - Mẫu trắng vận chuyển)</t>
  </si>
  <si>
    <t>Trường Đai - Triều Xuống (QC - Mẫu trắng thiết bị)</t>
  </si>
  <si>
    <t>Chợ Cầu - Triều Xuống (QC - Mẫu lặp hiện trường)</t>
  </si>
  <si>
    <t>Chợ Cầu - Triều Xuống (QC - Mẫu trắng hiện trường)</t>
  </si>
  <si>
    <t>Chợ Cầu - Triều Xuống (QC - Mẫu trắng vận chuyển)</t>
  </si>
  <si>
    <t>Chợ Cầu - Triều Xuống (QC - Mẫu trắng thiết bị)</t>
  </si>
  <si>
    <t>Tham Lương - Triều Xuống (QC - Mẫu lặp hiện trường)</t>
  </si>
  <si>
    <t>Tham Lương - Triều Xuống (QC - Mẫu trắng hiện trường)</t>
  </si>
  <si>
    <t>Tham Lương - Triều Xuống (QC - Mẫu trắng vận chuyển)</t>
  </si>
  <si>
    <t>Tham Lương - Triều Xuống (QC - Mẫu trắng thiết bị)</t>
  </si>
  <si>
    <t>Cầu Bưng - Triều Xuống (QC - Mẫu lặp hiện trường)</t>
  </si>
  <si>
    <t>Cầu Bưng - Triều Xuống (QC - Mẫu trắng hiện trường)</t>
  </si>
  <si>
    <t>Cầu Bưng - Triều Xuống (QC - Mẫu trắng vận chuyển)</t>
  </si>
  <si>
    <t>Cầu Bưng - Triều Xuống (QC - Mẫu trắng thiết bị)</t>
  </si>
  <si>
    <t>CN1 - Triều Xuống (QC - Mẫu lặp hiện trường)</t>
  </si>
  <si>
    <t>CN1 - Triều Xuống (QC - Mẫu trắng hiện trường)</t>
  </si>
  <si>
    <t>CN1 - Triều Xuống (QC - Mẫu trắng vận chuyển)</t>
  </si>
  <si>
    <t>CN1 - Triều Xuống (QC - Mẫu trắng thiết bị)</t>
  </si>
  <si>
    <t>HCM_NM_GCNM2</t>
  </si>
  <si>
    <t>HCM_NM_GCNM2_01</t>
  </si>
  <si>
    <t xml:space="preserve">Rạch nước đen – cách cống xả 500 m thượng nguồn. </t>
  </si>
  <si>
    <t>GCNM2 - 01 (QC - Mẫu lặp hiện trường)</t>
  </si>
  <si>
    <t>GCNM2 - 01 (QC - Mẫu trắng hiện trường)</t>
  </si>
  <si>
    <t>GCNM2 - 01 (QC - Mẫu trắng vận chuyển)</t>
  </si>
  <si>
    <t>GCNM2 - 01 (QC - Mẫu trắng thiết bị)</t>
  </si>
  <si>
    <t>HCM_NM_GCNM3</t>
  </si>
  <si>
    <t>HCM_NM_GCNM3_01</t>
  </si>
  <si>
    <t>Rạch nước đen – cách cống xả 500m hạ nguồn.</t>
  </si>
  <si>
    <t>GCNM3 - 01 (QC - Mẫu lặp hiện trường)</t>
  </si>
  <si>
    <t>GCNM3 - 01 (QC - Mẫu trắng hiện trường)</t>
  </si>
  <si>
    <t>GCNM3 - 01 (QC - Mẫu trắng vận chuyển)</t>
  </si>
  <si>
    <t>GCNM3 - 01 (QC - Mẫu trắng thiết bị)</t>
  </si>
  <si>
    <t>HCM_NM_BT2</t>
  </si>
  <si>
    <t>Khu vực cầu Bình Thuận, trên tuyến Quốc lộ 1A, Phường Bình Hưng Hòa</t>
  </si>
  <si>
    <t>Cầu Bình Thuận - Triều Lên (QC - Mẫu lặp hiện trường)</t>
  </si>
  <si>
    <t>Cầu Bình Thuận - Triều Lên (QC - Mẫu trắng hiện trường)</t>
  </si>
  <si>
    <t>Cầu Bình Thuận - Triều Lên (QC - Mẫu trắng vận chuyển)</t>
  </si>
  <si>
    <t>Cầu Bình Thuận - Triều Lên (QC - Mẫu trắng thiết bị)</t>
  </si>
  <si>
    <t>HCM_NM_NĐ</t>
  </si>
  <si>
    <t>Gần khu vực đường Tân Kỳ Tân Quý giao kênh Nước Đen</t>
  </si>
  <si>
    <t>Nước Đen - Triều Lên (QC - Mẫu lặp hiện trường)</t>
  </si>
  <si>
    <t>Nước Đen - Triều Lên (QC - Mẫu trắng hiện trường)</t>
  </si>
  <si>
    <t>Nước Đen - Triều Lên (QC - Mẫu trắng vận chuyển)</t>
  </si>
  <si>
    <t>Nước Đen - Triều Lên (QC - Mẫu trắng thiết bị)</t>
  </si>
  <si>
    <t>HCM_NM_CSC</t>
  </si>
  <si>
    <t>Tại khu vực cầu Sông Chùa</t>
  </si>
  <si>
    <t>Cầu Sông Chùa - Triều Lên (QC - Mẫu lặp hiện trường)</t>
  </si>
  <si>
    <t>Cầu Sông Chùa - Triều Lên (QC - Mẫu trắng hiện trường)</t>
  </si>
  <si>
    <t>Cầu Sông Chùa - Triều Lên (QC - Mẫu trắng vận chuyển)</t>
  </si>
  <si>
    <t>Cầu Sông Chùa - Triều Lên (QC - Mẫu trắng thiết bị)</t>
  </si>
  <si>
    <t>HCM_NM_CĐA</t>
  </si>
  <si>
    <t>Tại khu vực cầu đường A cách đường Số 2 khoảng 140 m theo hướng Tây</t>
  </si>
  <si>
    <t>Cầu Đường A - HCM_NM_CĐA - Triều Lên</t>
  </si>
  <si>
    <t>Cầu Đường A - Triều Lên</t>
  </si>
  <si>
    <t>Cầu Đường A - Triều Lên (QC - Mẫu lặp hiện trường)</t>
  </si>
  <si>
    <t>Cầu Đường A - Triều Lên (QC - Mẫu trắng hiện trường)</t>
  </si>
  <si>
    <t>Cầu Đường A - Triều Lên (QC - Mẫu trắng vận chuyển)</t>
  </si>
  <si>
    <t>Cầu Đường A - Triều Lên (QC - Mẫu trắng thiết bị)</t>
  </si>
  <si>
    <t>HCM_NM_TrT</t>
  </si>
  <si>
    <t>Khu vực Cầu Đường C, đường Trung Tâm, phường Tân Tạo</t>
  </si>
  <si>
    <t>Trung Tâm - HCM_NM_TrT - Triều Lên</t>
  </si>
  <si>
    <t>Trung Tâm - Triều Lên</t>
  </si>
  <si>
    <t>Trung Tâm - Triều Lên (QC - Mẫu lặp hiện trường)</t>
  </si>
  <si>
    <t>Trung Tâm - Triều Lên (QC - Mẫu trắng hiện trường)</t>
  </si>
  <si>
    <t>Trung Tâm - Triều Lên (QC - Mẫu trắng vận chuyển)</t>
  </si>
  <si>
    <t>Trung Tâm - Triều Lên (QC - Mẫu trắng thiết bị)</t>
  </si>
  <si>
    <t>HCM_NM_NL</t>
  </si>
  <si>
    <t>Khu vực cách cầu Nước Lên 20m về phía thượng nguồn</t>
  </si>
  <si>
    <t>Nước Lên - HCM_NM_NL - Triều Lên</t>
  </si>
  <si>
    <t>Nước Lên - Triều Lên</t>
  </si>
  <si>
    <t>Nước Lên - Triều Lên (QC - Mẫu lặp hiện trường)</t>
  </si>
  <si>
    <t>Nước Lên - Triều Lên (QC - Mẫu trắng hiện trường)</t>
  </si>
  <si>
    <t>Nước Lên - Triều Lên (QC - Mẫu trắng vận chuyển)</t>
  </si>
  <si>
    <t>Nước Lên - Triều Lên (QC - Mẫu trắng thiết bị)</t>
  </si>
  <si>
    <t>HCM_NM_LB</t>
  </si>
  <si>
    <t>Tại khu vực cầu Lương Bèo</t>
  </si>
  <si>
    <t>Lương Bèo - HCM_NM_LB - Triều Lên</t>
  </si>
  <si>
    <t>Lương Bèo - Triều Lên</t>
  </si>
  <si>
    <t>Lương Bèo - Triều Lên (QC - Mẫu lặp hiện trường)</t>
  </si>
  <si>
    <t>Lương Bèo - Triều Lên (QC - Mẫu trắng hiện trường)</t>
  </si>
  <si>
    <t>Lương Bèo - Triều Lên (QC - Mẫu trắng vận chuyển)</t>
  </si>
  <si>
    <t>Lương Bèo - Triều Lên (QC - Mẫu trắng thiết bị)</t>
  </si>
  <si>
    <t>HCM_NM_GCNM2_02</t>
  </si>
  <si>
    <t>GCNM2 - 02 (QC - Mẫu lặp hiện trường)</t>
  </si>
  <si>
    <t>GCNM2 - 02 (QC - Mẫu trắng hiện trường)</t>
  </si>
  <si>
    <t>GCNM2 - 02 (QC - Mẫu trắng vận chuyển)</t>
  </si>
  <si>
    <t>GCNM2 - 02 (QC - Mẫu trắng thiết bị)</t>
  </si>
  <si>
    <t>HCM_NM_GCNM3_02</t>
  </si>
  <si>
    <t>GCNM3 - 02 (QC - Mẫu lặp hiện trường)</t>
  </si>
  <si>
    <t>GCNM3 - 02 (QC - Mẫu trắng hiện trường)</t>
  </si>
  <si>
    <t>GCNM3 - 02 (QC - Mẫu trắng vận chuyển)</t>
  </si>
  <si>
    <t>GCNM3 - 02 (QC - Mẫu trắng thiết bị)</t>
  </si>
  <si>
    <t>Cầu Bình Thuận - Triều Xuống (QC - Mẫu lặp hiện trường)</t>
  </si>
  <si>
    <t>Cầu Bình Thuận - Triều Xuống (QC - Mẫu trắng hiện trường)</t>
  </si>
  <si>
    <t>Cầu Bình Thuận - Triều Xuống (QC - Mẫu trắng vận chuyển)</t>
  </si>
  <si>
    <t>Cầu Bình Thuận - Triều Xuống (QC - Mẫu trắng thiết bị)</t>
  </si>
  <si>
    <t>Nước Đen - Triều Xuống (QC - Mẫu lặp hiện trường)</t>
  </si>
  <si>
    <t>Nước Đen - Triều Xuống (QC - Mẫu trắng hiện trường)</t>
  </si>
  <si>
    <t>Nước Đen - Triều Xuống (QC - Mẫu trắng vận chuyển)</t>
  </si>
  <si>
    <t>Nước Đen - Triều Xuống (QC - Mẫu trắng thiết bị)</t>
  </si>
  <si>
    <t>Cầu Sông Chùa - Triều Xuống (QC - Mẫu lặp hiện trường)</t>
  </si>
  <si>
    <t>Cầu Sông Chùa - Triều Xuống (QC - Mẫu trắng hiện trường)</t>
  </si>
  <si>
    <t>Cầu Sông Chùa - Triều Xuống (QC - Mẫu trắng vận chuyển)</t>
  </si>
  <si>
    <t>Cầu Sông Chùa - Triều Xuống (QC - Mẫu trắng thiết bị)</t>
  </si>
  <si>
    <t>Cầu Đường A - HCM_NM_CĐA - Triều Xuống</t>
  </si>
  <si>
    <t>Cầu Đường A - Triều Xuống</t>
  </si>
  <si>
    <t>Cầu Đường A - Triều Xuống (QC - Mẫu lặp hiện trường)</t>
  </si>
  <si>
    <t>Cầu Đường A - Triều Xuống (QC - Mẫu trắng hiện trường)</t>
  </si>
  <si>
    <t>Cầu Đường A - Triều Xuống (QC - Mẫu trắng vận chuyển)</t>
  </si>
  <si>
    <t>Cầu Đường A - Triều Xuống (QC - Mẫu trắng thiết bị)</t>
  </si>
  <si>
    <t>Trung Tâm - HCM_NM_TrT - Triều Xuống</t>
  </si>
  <si>
    <t>Trung Tâm - Triều Xuống</t>
  </si>
  <si>
    <t>Trung Tâm - Triều Xuống (QC - Mẫu lặp hiện trường)</t>
  </si>
  <si>
    <t>Trung Tâm - Triều Xuống (QC - Mẫu trắng hiện trường)</t>
  </si>
  <si>
    <t>Trung Tâm - Triều Xuống (QC - Mẫu trắng vận chuyển)</t>
  </si>
  <si>
    <t>Trung Tâm - Triều Xuống (QC - Mẫu trắng thiết bị)</t>
  </si>
  <si>
    <t>Nước Lên - HCM_NM_NL - Triều Xuống</t>
  </si>
  <si>
    <t>Nước Lên - Triều Xuống</t>
  </si>
  <si>
    <t>Nước Lên - Triều Xuống (QC - Mẫu lặp hiện trường)</t>
  </si>
  <si>
    <t>Nước Lên - Triều Xuống (QC - Mẫu trắng hiện trường)</t>
  </si>
  <si>
    <t>Nước Lên - Triều Xuống (QC - Mẫu trắng vận chuyển)</t>
  </si>
  <si>
    <t>Nước Lên - Triều Xuống (QC - Mẫu trắng thiết bị)</t>
  </si>
  <si>
    <t>Lương Bèo - HCM_NM_LB - Triều Xuống</t>
  </si>
  <si>
    <t>Lương Bèo - Triều Xuống</t>
  </si>
  <si>
    <t>Lương Bèo - Triều Xuống (QC - Mẫu lặp hiện trường)</t>
  </si>
  <si>
    <t>Lương Bèo - Triều Xuống (QC - Mẫu trắng hiện trường)</t>
  </si>
  <si>
    <t>Lương Bèo - Triều Xuống (QC - Mẫu trắng vận chuyển)</t>
  </si>
  <si>
    <t>Lương Bèo - Triều Xuống (QC - Mẫu trắng thiết bị)</t>
  </si>
  <si>
    <t>HCM_NM_CBT</t>
  </si>
  <si>
    <t>Khu vực dọc đường Trần Hải Phụng cách cầu Bà Tri 20m</t>
  </si>
  <si>
    <t>Cầu Bà Tri - Triều Lên (QC - Mẫu lặp hiện trường)</t>
  </si>
  <si>
    <t>Cầu Bà Tri - Triều Lên (QC - Mẫu trắng hiện trường)</t>
  </si>
  <si>
    <t>Cầu Bà Tri - Triều Lên (QC - Mẫu trắng vận chuyển)</t>
  </si>
  <si>
    <t>Cầu Bà Tri - Triều Lên (QC - Mẫu trắng thiết bị)</t>
  </si>
  <si>
    <t>HCM_NM_TTa</t>
  </si>
  <si>
    <t>Gần khu vực cầu Tân Tạo 2</t>
  </si>
  <si>
    <t>Tân Tạo - Triều Lên (QC - Mẫu lặp hiện trường)</t>
  </si>
  <si>
    <t>Tân Tạo - Triều Lên (QC - Mẫu trắng hiện trường)</t>
  </si>
  <si>
    <t>Tân Tạo - Triều Lên (QC - Mẫu trắng vận chuyển)</t>
  </si>
  <si>
    <t>Tân Tạo - Triều Lên (QC - Mẫu trắng thiết bị)</t>
  </si>
  <si>
    <t>HCM_NM_KC</t>
  </si>
  <si>
    <t>Cách cầu kênh C khoảng 1,1 km theo hướng Nam</t>
  </si>
  <si>
    <t>Kênh C - Triều Lên (QC - Mẫu lặp hiện trường)</t>
  </si>
  <si>
    <t>Kênh C - Triều Lên (QC - Mẫu trắng hiện trường)</t>
  </si>
  <si>
    <t>Kênh C - Triều Lên (QC - Mẫu trắng vận chuyển)</t>
  </si>
  <si>
    <t>Kênh C - Triều Lên (QC - Mẫu trắng thiết bị)</t>
  </si>
  <si>
    <t>HCM_NM_KC6</t>
  </si>
  <si>
    <t>Đối diện góc giao lộ giữa đường Số 1 và đường Số 10</t>
  </si>
  <si>
    <t>Kênh C6 - Triều Lên (QC - Mẫu lặp hiện trường)</t>
  </si>
  <si>
    <t>Kênh C6 - Triều Lên (QC - Mẫu trắng hiện trường)</t>
  </si>
  <si>
    <t>Kênh C6 - Triều Lên (QC - Mẫu trắng vận chuyển)</t>
  </si>
  <si>
    <t>Kênh C6 - Triều Lên (QC - Mẫu trắng thiết bị)</t>
  </si>
  <si>
    <t>HCM_NM_KC8</t>
  </si>
  <si>
    <t>Tại cầu đối diện với công ty Alfa</t>
  </si>
  <si>
    <t>Kênh C8 - Triều Lên (QC - Mẫu lặp hiện trường)</t>
  </si>
  <si>
    <t>Kênh C8 - Triều Lên (QC - Mẫu trắng hiện trường)</t>
  </si>
  <si>
    <t>Kênh C8 - Triều Lên (QC - Mẫu trắng vận chuyển)</t>
  </si>
  <si>
    <t>Kênh C8 - Triều Lên (QC - Mẫu trắng thiết bị)</t>
  </si>
  <si>
    <t>HCM_NM_ĐPNM1</t>
  </si>
  <si>
    <t>HCM_NM_ĐPNM1_01</t>
  </si>
  <si>
    <t>Rạch Ngã Cạy, trước cổng khu xử lý của công ty VWS</t>
  </si>
  <si>
    <t>ĐPNM1 - 01 (QC - Mẫu lặp hiện trường)</t>
  </si>
  <si>
    <t>ĐPNM1 - 01 (QC - Mẫu trắng hiện trường)</t>
  </si>
  <si>
    <t>ĐPNM1 - 01 (QC - Mẫu trắng vận chuyển)</t>
  </si>
  <si>
    <t>ĐPNM1 - 01 (QC - Mẫu trắng thiết bị)</t>
  </si>
  <si>
    <t>HCM_NM_ĐPNM4</t>
  </si>
  <si>
    <t>HCM_NM_ĐPNM4_01</t>
  </si>
  <si>
    <t>Rạch Chiếu – cách khu vực hút bùn của Công ty TNHH Công nghệ sinh học Sài Gòn xanh 500 m về hướng Tây</t>
  </si>
  <si>
    <t>ĐPNM4 - 01 (QC - Mẫu lặp hiện trường)</t>
  </si>
  <si>
    <t>ĐPNM4 - 01 (QC - Mẫu trắng hiện trường)</t>
  </si>
  <si>
    <t>ĐPNM4 - 01 (QC - Mẫu trắng vận chuyển)</t>
  </si>
  <si>
    <t>ĐPNM4 - 01 (QC - Mẫu trắng thiết bị)</t>
  </si>
  <si>
    <t>HCM_NM_ĐPNM5</t>
  </si>
  <si>
    <t>HCM_NM_ĐPNM5_01</t>
  </si>
  <si>
    <t>Rạch Chiếu – khu vực hút bùn của Công ty TNHH Công nghệ sinh học Sài Gòn xanh</t>
  </si>
  <si>
    <t>ĐPNM5 - 01 (QC - Mẫu lặp hiện trường)</t>
  </si>
  <si>
    <t>ĐPNM5 - 01 (QC - Mẫu trắng hiện trường)</t>
  </si>
  <si>
    <t>ĐPNM5 - 01 (QC - Mẫu trắng vận chuyển)</t>
  </si>
  <si>
    <t>ĐPNM5 - 01 (QC - Mẫu trắng thiết bị)</t>
  </si>
  <si>
    <t>HCM_NM_ĐPNM8</t>
  </si>
  <si>
    <t>HCM_NM_ĐPNM8_01</t>
  </si>
  <si>
    <t>Sông Cần Giuộc – cách ngã 3 Rạch Chiếu và sông Cần Giuộc 200 m về phía thượng nguồn</t>
  </si>
  <si>
    <t>ĐPNM8 - 01 (QC - Mẫu lặp hiện trường)</t>
  </si>
  <si>
    <t>ĐPNM8 - 01 (QC - Mẫu trắng hiện trường)</t>
  </si>
  <si>
    <t>ĐPNM8 - 01 (QC - Mẫu trắng vận chuyển)</t>
  </si>
  <si>
    <t>ĐPNM8 - 01 (QC - Mẫu trắng thiết bị)</t>
  </si>
  <si>
    <t>Cầu Bà Tri - Triều Xuống (QC - Mẫu lặp hiện trường)</t>
  </si>
  <si>
    <t>Cầu Bà Tri - Triều Xuống (QC - Mẫu trắng hiện trường)</t>
  </si>
  <si>
    <t>Cầu Bà Tri - Triều Xuống (QC - Mẫu trắng vận chuyển)</t>
  </si>
  <si>
    <t>Cầu Bà Tri - Triều Xuống (QC - Mẫu trắng thiết bị)</t>
  </si>
  <si>
    <t>Tân Tạo - Triều Xuống (QC - Mẫu lặp hiện trường)</t>
  </si>
  <si>
    <t>Tân Tạo - Triều Xuống (QC - Mẫu trắng hiện trường)</t>
  </si>
  <si>
    <t>Tân Tạo - Triều Xuống (QC - Mẫu trắng vận chuyển)</t>
  </si>
  <si>
    <t>Tân Tạo - Triều Xuống (QC - Mẫu trắng thiết bị)</t>
  </si>
  <si>
    <t>Kênh C - Triều Xuống (QC - Mẫu lặp hiện trường)</t>
  </si>
  <si>
    <t>Kênh C - Triều Xuống (QC - Mẫu trắng hiện trường)</t>
  </si>
  <si>
    <t>Kênh C - Triều Xuống (QC - Mẫu trắng vận chuyển)</t>
  </si>
  <si>
    <t>Kênh C - Triều Xuống (QC - Mẫu trắng thiết bị)</t>
  </si>
  <si>
    <t>Kênh C6 - Triều Xuống (QC - Mẫu lặp hiện trường)</t>
  </si>
  <si>
    <t>Kênh C6 - Triều Xuống (QC - Mẫu trắng hiện trường)</t>
  </si>
  <si>
    <t>Kênh C6 - Triều Xuống (QC - Mẫu trắng vận chuyển)</t>
  </si>
  <si>
    <t>Kênh C6 - Triều Xuống (QC - Mẫu trắng thiết bị)</t>
  </si>
  <si>
    <t>Kênh C8 - Triều Xuống (QC - Mẫu lặp hiện trường)</t>
  </si>
  <si>
    <t>Kênh C8 - Triều Xuống (QC - Mẫu trắng hiện trường)</t>
  </si>
  <si>
    <t>Kênh C8 - Triều Xuống (QC - Mẫu trắng vận chuyển)</t>
  </si>
  <si>
    <t>Kênh C8 - Triều Xuống (QC - Mẫu trắng thiết bị)</t>
  </si>
  <si>
    <t>HCM_NM_ĐPNM1_02</t>
  </si>
  <si>
    <t>ĐPNM1 - 02 (QC - Mẫu lặp hiện trường)</t>
  </si>
  <si>
    <t>ĐPNM1 - 02 (QC - Mẫu trắng hiện trường)</t>
  </si>
  <si>
    <t>ĐPNM1 - 02 (QC - Mẫu trắng vận chuyển)</t>
  </si>
  <si>
    <t>ĐPNM1 - 02 (QC - Mẫu trắng thiết bị)</t>
  </si>
  <si>
    <t>HCM_NM_ĐPNM4_02</t>
  </si>
  <si>
    <t>ĐPNM4 - 02 (QC - Mẫu lặp hiện trường)</t>
  </si>
  <si>
    <t>ĐPNM4 - 02 (QC - Mẫu trắng hiện trường)</t>
  </si>
  <si>
    <t>ĐPNM4 - 02 (QC - Mẫu trắng vận chuyển)</t>
  </si>
  <si>
    <t>ĐPNM4 - 02 (QC - Mẫu trắng thiết bị)</t>
  </si>
  <si>
    <t>HCM_NM_ĐPNM5_02</t>
  </si>
  <si>
    <t>ĐPNM5 - 02 (QC - Mẫu lặp hiện trường)</t>
  </si>
  <si>
    <t>ĐPNM5 - 02 (QC - Mẫu trắng hiện trường)</t>
  </si>
  <si>
    <t>ĐPNM5 - 02 (QC - Mẫu trắng vận chuyển)</t>
  </si>
  <si>
    <t>ĐPNM5 - 02 (QC - Mẫu trắng thiết bị)</t>
  </si>
  <si>
    <t>HCM_NM_ĐPNM8_02</t>
  </si>
  <si>
    <t>ĐPNM8 - 02 (QC - Mẫu lặp hiện trường)</t>
  </si>
  <si>
    <t>ĐPNM8 - 02 (QC - Mẫu trắng hiện trường)</t>
  </si>
  <si>
    <t>ĐPNM8 - 02 (QC - Mẫu trắng vận chuyển)</t>
  </si>
  <si>
    <t>ĐPNM8 - 02 (QC - Mẫu trắng thiết bị)</t>
  </si>
  <si>
    <t>HCM_NM_PX</t>
  </si>
  <si>
    <t>Khu vực cầu Phú Xuân, đường Huỳnh Tấn Phát, Xã Hiệp Phước</t>
  </si>
  <si>
    <t>Phú Xuân - Triều Lên (QC - Mẫu lặp hiện trường)</t>
  </si>
  <si>
    <t>Phú Xuân - Triều Lên (QC - Mẫu trắng hiện trường)</t>
  </si>
  <si>
    <t>Phú Xuân - Triều Lên (QC - Mẫu trắng vận chuyển)</t>
  </si>
  <si>
    <t>Phú Xuân - Triều Lên (QC - Mẫu trắng thiết bị)</t>
  </si>
  <si>
    <t>Phú Xuân - Triều Xuống (QC - Mẫu lặp hiện trường)</t>
  </si>
  <si>
    <t>Phú Xuân - Triều Xuống (QC - Mẫu trắng hiện trường)</t>
  </si>
  <si>
    <t>Phú Xuân - Triều Xuống (QC - Mẫu trắng vận chuyển)</t>
  </si>
  <si>
    <t>Phú Xuân - Triều Xuống (QC - Mẫu trắng thiết bị)</t>
  </si>
  <si>
    <t>HCM_NM_CGC</t>
  </si>
  <si>
    <t>Tại khu vực cầu Gò Công trên đường Nguyễn Xiển</t>
  </si>
  <si>
    <t>Cầu Gò Công - Triều Lên (QC - Mẫu lặp hiện trường)</t>
  </si>
  <si>
    <t>Cầu Gò Công - Triều Lên (QC - Mẫu trắng hiện trường)</t>
  </si>
  <si>
    <t>Cầu Gò Công - Triều Lên (QC - Mẫu trắng vận chuyển)</t>
  </si>
  <si>
    <t>Cầu Gò Công - Triều Lên (QC - Mẫu trắng thiết bị)</t>
  </si>
  <si>
    <t>Cầu Gò Công - Triều Xuống (QC - Mẫu lặp hiện trường)</t>
  </si>
  <si>
    <t>Cầu Gò Công - Triều Xuống (QC - Mẫu trắng hiện trường)</t>
  </si>
  <si>
    <t>Cầu Gò Công - Triều Xuống (QC - Mẫu trắng vận chuyển)</t>
  </si>
  <si>
    <t>Cầu Gò Công - Triều Xuống (QC - Mẫu trắng thiết bị)</t>
  </si>
  <si>
    <t>HCM_NM_BL</t>
  </si>
  <si>
    <t>Khu vực Thanh Đa, Phường Bình Quới.</t>
  </si>
  <si>
    <t>Bình Lợi - HCM_NM_BL - Triều Lên</t>
  </si>
  <si>
    <t>Bình Lợi - Triều Lên</t>
  </si>
  <si>
    <t>Bình Lợi - Triều Lên (QC - Mẫu lặp hiện trường)</t>
  </si>
  <si>
    <t>Bình Lợi - Triều Lên (QC - Mẫu trắng hiện trường)</t>
  </si>
  <si>
    <t>Bình Lợi - Triều Lên (QC - Mẫu trắng vận chuyển)</t>
  </si>
  <si>
    <t>Bình Lợi - Triều Lên (QC - Mẫu trắng thiết bị)</t>
  </si>
  <si>
    <t>HCM_NM_SG</t>
  </si>
  <si>
    <t>Cầu Sài Gòn KTĐ mới Thủ Thiêm Sông Sài Gòn.</t>
  </si>
  <si>
    <t>Sài Gòn - HCM_NM_SG - Triều Lên</t>
  </si>
  <si>
    <t>Sài Gòn - Triều Lên</t>
  </si>
  <si>
    <t>Sài Gòn - Triều Lên (QC - Mẫu lặp hiện trường)</t>
  </si>
  <si>
    <t>Sài Gòn - Triều Lên (QC - Mẫu trắng hiện trường)</t>
  </si>
  <si>
    <t>Sài Gòn - Triều Lên (QC - Mẫu trắng vận chuyển)</t>
  </si>
  <si>
    <t>Sài Gòn - Triều Lên (QC - Mẫu trắng thiết bị)</t>
  </si>
  <si>
    <t>HCM_NM_PM</t>
  </si>
  <si>
    <t>Gần cầu Thời Đại, Phường Bình Trưng.</t>
  </si>
  <si>
    <t>Phú Mỹ - HCM_NM_PM - Triều Lên</t>
  </si>
  <si>
    <t>Phú Mỹ - Triều Lên</t>
  </si>
  <si>
    <t>Phú Mỹ - Triều Lên (QC - Mẫu lặp hiện trường)</t>
  </si>
  <si>
    <t>Phú Mỹ - Triều Lên (QC - Mẫu trắng hiện trường)</t>
  </si>
  <si>
    <t>Phú Mỹ - Triều Lên (QC - Mẫu trắng vận chuyển)</t>
  </si>
  <si>
    <t>Phú Mỹ - Triều Lên (QC - Mẫu trắng thiết bị)</t>
  </si>
  <si>
    <t>HCM_NM_MĐĐ</t>
  </si>
  <si>
    <t>Mũi Đèn Đỏ, Phường Phú Thuận (Cách hợp lưu của Sông Đồng Nai với sông Sài Gòn 2 km).</t>
  </si>
  <si>
    <t>Mũi Đèn Đỏ - HCM_NM_MĐĐ - Triều Lên</t>
  </si>
  <si>
    <t>Mũi Đèn Đỏ - Triều Lên</t>
  </si>
  <si>
    <t>Mũi Đèn Đỏ - Triều Lên (QC - Mẫu lặp hiện trường)</t>
  </si>
  <si>
    <t>Mũi Đèn Đỏ - Triều Lên (QC - Mẫu trắng hiện trường)</t>
  </si>
  <si>
    <t>Mũi Đèn Đỏ - Triều Lên (QC - Mẫu trắng vận chuyển)</t>
  </si>
  <si>
    <t>Mũi Đèn Đỏ - Triều Lên (QC - Mẫu trắng thiết bị)</t>
  </si>
  <si>
    <t>HCM_NM_NB</t>
  </si>
  <si>
    <t>Phà Bình Khánh, xã Nhà Bè (Thượng lưu ngã ba Đồng Nai Lòng Tàu 600 m).</t>
  </si>
  <si>
    <t>Nhà Bè - HCM_NM_NB - Triều Lên</t>
  </si>
  <si>
    <t>Nhà Bè - Triều Lên</t>
  </si>
  <si>
    <t>Nhà Bè - Triều Lên (QC - Mẫu lặp hiện trường)</t>
  </si>
  <si>
    <t>Nhà Bè - Triều Lên (QC - Mẫu trắng hiện trường)</t>
  </si>
  <si>
    <t>Nhà Bè - Triều Lên (QC - Mẫu trắng vận chuyển)</t>
  </si>
  <si>
    <t>Nhà Bè - Triều Lên (QC - Mẫu trắng thiết bị)</t>
  </si>
  <si>
    <t>Bình Lợi - HCM_NM_BL - Triều Xuống</t>
  </si>
  <si>
    <t>Bình Lợi - Triều Xuống</t>
  </si>
  <si>
    <t>Bình Lợi - Triều Xuống (QC - Mẫu lặp hiện trường)</t>
  </si>
  <si>
    <t>Bình Lợi - Triều Xuống (QC - Mẫu trắng hiện trường)</t>
  </si>
  <si>
    <t>Bình Lợi - Triều Xuống (QC - Mẫu trắng vận chuyển)</t>
  </si>
  <si>
    <t>Bình Lợi - Triều Xuống (QC - Mẫu trắng thiết bị)</t>
  </si>
  <si>
    <t>Sài Gòn - HCM_NM_SG - Triều Xuống</t>
  </si>
  <si>
    <t>Sài Gòn - Triều Xuống</t>
  </si>
  <si>
    <t>Sài Gòn - Triều Xuống (QC - Mẫu lặp hiện trường)</t>
  </si>
  <si>
    <t>Sài Gòn - Triều Xuống (QC - Mẫu trắng hiện trường)</t>
  </si>
  <si>
    <t>Sài Gòn - Triều Xuống (QC - Mẫu trắng vận chuyển)</t>
  </si>
  <si>
    <t>Sài Gòn - Triều Xuống (QC - Mẫu trắng thiết bị)</t>
  </si>
  <si>
    <t>Phú Mỹ - HCM_NM_PM - Triều Xuống</t>
  </si>
  <si>
    <t>Phú Mỹ - Triều Xuống</t>
  </si>
  <si>
    <t>Phú Mỹ - Triều Xuống (QC - Mẫu lặp hiện trường)</t>
  </si>
  <si>
    <t>Phú Mỹ - Triều Xuống (QC - Mẫu trắng hiện trường)</t>
  </si>
  <si>
    <t>Phú Mỹ - Triều Xuống (QC - Mẫu trắng vận chuyển)</t>
  </si>
  <si>
    <t>Phú Mỹ - Triều Xuống (QC - Mẫu trắng thiết bị)</t>
  </si>
  <si>
    <t>Mũi Đèn Đỏ - HCM_NM_MĐĐ - Triều Xuống</t>
  </si>
  <si>
    <t>Mũi Đèn Đỏ - Triều Xuống</t>
  </si>
  <si>
    <t>Mũi Đèn Đỏ - Triều Xuống (QC - Mẫu lặp hiện trường)</t>
  </si>
  <si>
    <t>Mũi Đèn Đỏ - Triều Xuống (QC - Mẫu trắng hiện trường)</t>
  </si>
  <si>
    <t>Mũi Đèn Đỏ - Triều Xuống (QC - Mẫu trắng vận chuyển)</t>
  </si>
  <si>
    <t>Mũi Đèn Đỏ - Triều Xuống (QC - Mẫu trắng thiết bị)</t>
  </si>
  <si>
    <t>Nhà Bè - HCM_NM_NB - Triều Xuống</t>
  </si>
  <si>
    <t>Nhà Bè - Triều Xuống</t>
  </si>
  <si>
    <t>Nhà Bè - Triều Xuống (QC - Mẫu lặp hiện trường)</t>
  </si>
  <si>
    <t>Nhà Bè - Triều Xuống (QC - Mẫu trắng hiện trường)</t>
  </si>
  <si>
    <t>Nhà Bè - Triều Xuống (QC - Mẫu trắng vận chuyển)</t>
  </si>
  <si>
    <t>Nhà Bè - Triều Xuống (QC - Mẫu trắng thiết bị)</t>
  </si>
  <si>
    <t>HCM_NM_LP</t>
  </si>
  <si>
    <t>Cách hợp lưu Sông Tắc – Sông Sài Gòn 500m về phía hạ lưu.</t>
  </si>
  <si>
    <t>Long Phước - HCM_NM_LP - Triều Lên</t>
  </si>
  <si>
    <t>Long Phước - Triều Lên</t>
  </si>
  <si>
    <t>Long Phước - Triều Lên (QC - Mẫu lặp hiện trường)</t>
  </si>
  <si>
    <t>Long Phước - Triều Lên (QC - Mẫu trắng hiện trường)</t>
  </si>
  <si>
    <t>Long Phước - Triều Lên (QC - Mẫu trắng vận chuyển)</t>
  </si>
  <si>
    <t>Long Phước - Triều Lên (QC - Mẫu trắng thiết bị)</t>
  </si>
  <si>
    <t>HCM_NM_CL</t>
  </si>
  <si>
    <t>Phà Cát Lái, Phường Thạnh Mỹ Lợi (Sông Đồng Nai trước hợp lưu với sông Sài Gòn).</t>
  </si>
  <si>
    <t>Cát Lái - HCM_NM_CL - Triều Lên</t>
  </si>
  <si>
    <t>Cát Lái - Triều Lên</t>
  </si>
  <si>
    <t>Cát Lái - Triều Lên (QC - Mẫu lặp hiện trường)</t>
  </si>
  <si>
    <t>Cát Lái - Triều Lên (QC - Mẫu trắng hiện trường)</t>
  </si>
  <si>
    <t>Cát Lái - Triều Lên (QC - Mẫu trắng vận chuyển)</t>
  </si>
  <si>
    <t>Cát Lái - Triều Lên (QC - Mẫu trắng thiết bị)</t>
  </si>
  <si>
    <t>HCM_NM_LT</t>
  </si>
  <si>
    <t>Xã Cần Giờ - Cách đoạn phân nhánh sông Lòng Tàu – Đồng Tranh 1,39km.</t>
  </si>
  <si>
    <t>Lòng Tàu - HCM_NM_LT - Triều Lên</t>
  </si>
  <si>
    <t>Lòng Tàu - Triều Lên</t>
  </si>
  <si>
    <t>Lòng Tàu - Triều Lên (QC - Mẫu lặp hiện trường)</t>
  </si>
  <si>
    <t>Lòng Tàu - Triều Lên (QC - Mẫu trắng hiện trường)</t>
  </si>
  <si>
    <t>Lòng Tàu - Triều Lên (QC - Mẫu trắng vận chuyển)</t>
  </si>
  <si>
    <t>Lòng Tàu - Triều Lên (QC - Mẫu trắng thiết bị)</t>
  </si>
  <si>
    <t>HCM_NM_TTH</t>
  </si>
  <si>
    <t>Xã Cần Giờ - Thượng lưu ngã ba Tắc Rỗi 800m sông Lòng Tàu.</t>
  </si>
  <si>
    <t>Tam Thôn Hiệp - HCM_NM_TTH - Triều Lên</t>
  </si>
  <si>
    <t>Tam Thôn Hiệp - Triều Lên</t>
  </si>
  <si>
    <t>Tam Thôn Hiệp - Triều Lên (QC - Mẫu lặp hiện trường)</t>
  </si>
  <si>
    <t>Tam Thôn Hiệp - Triều Lên (QC - Mẫu trắng hiện trường)</t>
  </si>
  <si>
    <t>Tam Thôn Hiệp - Triều Lên (QC - Mẫu trắng vận chuyển)</t>
  </si>
  <si>
    <t>Tam Thôn Hiệp - Triều Lên (QC - Mẫu trắng thiết bị)</t>
  </si>
  <si>
    <t>HCM_NM_ĐT1</t>
  </si>
  <si>
    <t>Xã Cần Giờ - Cách đoạn phân nhánh sông Đồng Tranh thành 3 nhánh nhỏ 1km.</t>
  </si>
  <si>
    <t>Đồng Tranh 1 - HCM_NM_ĐT1 - Triều Lên</t>
  </si>
  <si>
    <t>Đồng Tranh 1 - Triều Lên</t>
  </si>
  <si>
    <t>Đồng Tranh 1 - Triều Lên (QC - Mẫu lặp hiện trường)</t>
  </si>
  <si>
    <t>Đồng Tranh 1 - Triều Lên (QC - Mẫu trắng hiện trường)</t>
  </si>
  <si>
    <t>Đồng Tranh 1 - Triều Lên (QC - Mẫu trắng vận chuyển)</t>
  </si>
  <si>
    <t>Đồng Tranh 1 - Triều Lên (QC - Mẫu trắng thiết bị)</t>
  </si>
  <si>
    <t>Long Phước - HCM_NM_LP - Triều Xuống</t>
  </si>
  <si>
    <t>Long Phước - Triều Xuống</t>
  </si>
  <si>
    <t>Long Phước - Triều Xuống (QC - Mẫu lặp hiện trường)</t>
  </si>
  <si>
    <t>Long Phước - Triều Xuống (QC - Mẫu trắng hiện trường)</t>
  </si>
  <si>
    <t>Long Phước - Triều Xuống (QC - Mẫu trắng vận chuyển)</t>
  </si>
  <si>
    <t>Long Phước - Triều Xuống (QC - Mẫu trắng thiết bị)</t>
  </si>
  <si>
    <t>Cát Lái - HCM_NM_CL - Triều Xuống</t>
  </si>
  <si>
    <t>Cát Lái - Triều Xuống</t>
  </si>
  <si>
    <t>Cát Lái - Triều Xuống (QC - Mẫu lặp hiện trường)</t>
  </si>
  <si>
    <t>Cát Lái - Triều Xuống (QC - Mẫu trắng hiện trường)</t>
  </si>
  <si>
    <t>Cát Lái - Triều Xuống (QC - Mẫu trắng vận chuyển)</t>
  </si>
  <si>
    <t>Cát Lái - Triều Xuống (QC - Mẫu trắng thiết bị)</t>
  </si>
  <si>
    <t>Lòng Tàu - HCM_NM_LT - Triều Xuống</t>
  </si>
  <si>
    <t>Lòng Tàu - Triều Xuống</t>
  </si>
  <si>
    <t>Lòng Tàu - Triều Xuống (QC - Mẫu lặp hiện trường)</t>
  </si>
  <si>
    <t>Lòng Tàu - Triều Xuống (QC - Mẫu trắng hiện trường)</t>
  </si>
  <si>
    <t>Lòng Tàu - Triều Xuống (QC - Mẫu trắng vận chuyển)</t>
  </si>
  <si>
    <t>Lòng Tàu - Triều Xuống (QC - Mẫu trắng thiết bị)</t>
  </si>
  <si>
    <t>Tam Thôn Hiệp - HCM_NM_TTH - Triều Xuống</t>
  </si>
  <si>
    <t>Tam Thôn Hiệp - Triều Xuống</t>
  </si>
  <si>
    <t>Tam Thôn Hiệp - Triều Xuống (QC - Mẫu lặp hiện trường)</t>
  </si>
  <si>
    <t>Tam Thôn Hiệp - Triều Xuống (QC - Mẫu trắng hiện trường)</t>
  </si>
  <si>
    <t>Tam Thôn Hiệp - Triều Xuống (QC - Mẫu trắng vận chuyển)</t>
  </si>
  <si>
    <t>Tam Thôn Hiệp - Triều Xuống (QC - Mẫu trắng thiết bị)</t>
  </si>
  <si>
    <t>Đồng Tranh 1 - HCM_NM_ĐT1 - Triều Xuống</t>
  </si>
  <si>
    <t>Đồng Tranh 1 - Triều Xuống</t>
  </si>
  <si>
    <t>Đồng Tranh 1 - Triều Xuống (QC - Mẫu lặp hiện trường)</t>
  </si>
  <si>
    <t>Đồng Tranh 1 - Triều Xuống (QC - Mẫu trắng hiện trường)</t>
  </si>
  <si>
    <t>Đồng Tranh 1 - Triều Xuống (QC - Mẫu trắng vận chuyển)</t>
  </si>
  <si>
    <t>Đồng Tranh 1 - Triều Xuống (QC - Mẫu trắng thiết bị)</t>
  </si>
  <si>
    <t>HCM_NM_LT1</t>
  </si>
  <si>
    <t>Xã Cần Giờ -Sau hợp lưu sông Lòng Tàu, sông Đồng Tranh, sông Dừa 2 km.</t>
  </si>
  <si>
    <t>Lòng Tàu 1 - HCM_NM_LT1 - Triều Lên</t>
  </si>
  <si>
    <t>Lòng Tàu 1 - Triều Lên</t>
  </si>
  <si>
    <t>Lòng Tàu 1 - Triều Lên (QC - Mẫu lặp hiện trường)</t>
  </si>
  <si>
    <t>Lòng Tàu 1 - Triều Lên (QC - Mẫu trắng hiện trường)</t>
  </si>
  <si>
    <t>Lòng Tàu 1 - Triều Lên (QC - Mẫu trắng vận chuyển)</t>
  </si>
  <si>
    <t>Lòng Tàu 1 - Triều Lên (QC - Mẫu trắng thiết bị)</t>
  </si>
  <si>
    <t>HCM_NM_N7</t>
  </si>
  <si>
    <t>Xã Cần Giờ - Gần cửa sông Lòng Tàu 2 km.</t>
  </si>
  <si>
    <t>Ngã Bảy - HCM_NM_N7 - Triều Lên</t>
  </si>
  <si>
    <t>Ngã Bảy - Triều Lên</t>
  </si>
  <si>
    <t>Ngã Bảy - Triều Lên (QC - Mẫu lặp hiện trường)</t>
  </si>
  <si>
    <t>Ngã Bảy - Triều Lên (QC - Mẫu trắng hiện trường)</t>
  </si>
  <si>
    <t>Ngã Bảy - Triều Lên (QC - Mẫu trắng vận chuyển)</t>
  </si>
  <si>
    <t>Ngã Bảy - Triều Lên (QC - Mẫu trắng thiết bị)</t>
  </si>
  <si>
    <t>HCM_NM_VS</t>
  </si>
  <si>
    <t>Xã Cần Giờ - Hạ lưu cửa sông Vàm Sát 150m sông Đồng Nai.</t>
  </si>
  <si>
    <t>Vàm Sát - HCM_NM_VS - Triều Lên</t>
  </si>
  <si>
    <t>Vàm Sát - Triều Lên</t>
  </si>
  <si>
    <t>Vàm Sát - Triều Lên (QC - Mẫu lặp hiện trường)</t>
  </si>
  <si>
    <t>Vàm Sát - Triều Lên (QC - Mẫu trắng hiện trường)</t>
  </si>
  <si>
    <t>Vàm Sát - Triều Lên (QC - Mẫu trắng vận chuyển)</t>
  </si>
  <si>
    <t>Vàm Sát - Triều Lên (QC - Mẫu trắng thiết bị)</t>
  </si>
  <si>
    <t>HCM_NM_ĐT</t>
  </si>
  <si>
    <t>Xã Cần Giờ - Gần cửa sông Đồng Tranh 2 km.</t>
  </si>
  <si>
    <t>Đồng Tranh - HCM_NM_ĐT - Triều Lên</t>
  </si>
  <si>
    <t>Đồng Tranh - Triều Lên</t>
  </si>
  <si>
    <t>Đồng Tranh - Triều Lên (QC - Mẫu lặp hiện trường)</t>
  </si>
  <si>
    <t>Đồng Tranh - Triều Lên (QC - Mẫu trắng hiện trường)</t>
  </si>
  <si>
    <t>Đồng Tranh - Triều Lên (QC - Mẫu trắng vận chuyển)</t>
  </si>
  <si>
    <t>Đồng Tranh - Triều Lên (QC - Mẫu trắng thiết bị)</t>
  </si>
  <si>
    <t>Lòng Tàu 1 - HCM_NM_LT1 - Triều Xuống</t>
  </si>
  <si>
    <t>Lòng Tàu 1 - Triều Xuống</t>
  </si>
  <si>
    <t>Lòng Tàu 1 - Triều Xuống (QC - Mẫu lặp hiện trường)</t>
  </si>
  <si>
    <t>Lòng Tàu 1 - Triều Xuống (QC - Mẫu trắng hiện trường)</t>
  </si>
  <si>
    <t>Lòng Tàu 1 - Triều Xuống (QC - Mẫu trắng vận chuyển)</t>
  </si>
  <si>
    <t>Lòng Tàu 1 - Triều Xuống (QC - Mẫu trắng thiết bị)</t>
  </si>
  <si>
    <t>Ngã Bảy - HCM_NM_N7 - Triều Xuống</t>
  </si>
  <si>
    <t>Ngã Bảy - Triều Xuống</t>
  </si>
  <si>
    <t>Ngã Bảy - Triều Xuống (QC - Mẫu lặp hiện trường)</t>
  </si>
  <si>
    <t>Ngã Bảy - Triều Xuống (QC - Mẫu trắng hiện trường)</t>
  </si>
  <si>
    <t>Ngã Bảy - Triều Xuống (QC - Mẫu trắng vận chuyển)</t>
  </si>
  <si>
    <t>Ngã Bảy - Triều Xuống (QC - Mẫu trắng thiết bị)</t>
  </si>
  <si>
    <t>Vàm Sát - HCM_NM_VS - Triều Xuống</t>
  </si>
  <si>
    <t>Vàm Sát - Triều Xuống</t>
  </si>
  <si>
    <t>Vàm Sát - Triều Xuống (QC - Mẫu lặp hiện trường)</t>
  </si>
  <si>
    <t>Vàm Sát - Triều Xuống (QC - Mẫu trắng hiện trường)</t>
  </si>
  <si>
    <t>Vàm Sát - Triều Xuống (QC - Mẫu trắng vận chuyển)</t>
  </si>
  <si>
    <t>Vàm Sát - Triều Xuống (QC - Mẫu trắng thiết bị)</t>
  </si>
  <si>
    <t>Đồng Tranh - HCM_NM_ĐT - Triều Xuống</t>
  </si>
  <si>
    <t>Đồng Tranh - Triều Xuống</t>
  </si>
  <si>
    <t>Đồng Tranh - Triều Xuống (QC - Mẫu lặp hiện trường)</t>
  </si>
  <si>
    <t>Đồng Tranh - Triều Xuống (QC - Mẫu trắng hiện trường)</t>
  </si>
  <si>
    <t>Đồng Tranh - Triều Xuống (QC - Mẫu trắng vận chuyển)</t>
  </si>
  <si>
    <t>Đồng Tranh - Triều Xuống (QC - Mẫu trắng thiết bị)</t>
  </si>
  <si>
    <t>Ký hiệu Triều</t>
  </si>
  <si>
    <t>Năm</t>
  </si>
  <si>
    <t>Tháng</t>
  </si>
  <si>
    <t>05</t>
  </si>
  <si>
    <t>Sài Gòn - Triều Xuống (QC - Mẫu lặp)</t>
  </si>
  <si>
    <t>Sài Gòn - Triều Xuống (QC - Mẫu trắng)</t>
  </si>
  <si>
    <t>Bà Lào - Triều Lên (QC - Mẫu lặp)</t>
  </si>
  <si>
    <t>Hải Đức - Triều Xuống (QC - Mẫu lặp)</t>
  </si>
  <si>
    <t>Cầu Đỏ - Triều Xuống (QC - Mẫu lặp)</t>
  </si>
  <si>
    <t>Rau Răm - Triều Xuống (QC - Mẫu lặp)</t>
  </si>
  <si>
    <t>Cống Vàm Thuật - Triều Xuống (QC - Mẫu lặp)</t>
  </si>
  <si>
    <t>CN1 - Triều Lên (QC - Mẫu lặp)</t>
  </si>
  <si>
    <t>Kênh C8 - Triều Lên (QC - Mẫu lặp)</t>
  </si>
  <si>
    <t>Cầu Rạch Ngang - Triều Xuống (QC - Mẫu lặp)</t>
  </si>
  <si>
    <t>Cầu Rạch Ngang - Triều Xuống (QC - Mẫu trắng)</t>
  </si>
  <si>
    <t>Cầu số 1 - Triều Xuống (QC - Mẫu lặp)</t>
  </si>
  <si>
    <t>Cầu số 1 - Triều Xuống (QC - Mẫu trắng)</t>
  </si>
  <si>
    <t>Chợ Cầu - Triều Lên (QC - Mẫu lặp)</t>
  </si>
  <si>
    <t>Chợ Cầu - Triều Lên (QC - Mẫu trắng)</t>
  </si>
  <si>
    <t>Cống Vàm Thuật - Triều Lên (QC - Mẫu lặp)</t>
  </si>
  <si>
    <t>Cống Vàm Thuật - Triều Lên (QC - Mẫu trắng)</t>
  </si>
  <si>
    <t>Cầu số 1 - Triều Lên (QC - Mẫu lặp)</t>
  </si>
  <si>
    <t>Lê Văn Sỹ - Triều Lên (QC - Mẫu lặp)</t>
  </si>
  <si>
    <t>Hải Đức - Triều Lên (QC - Mẫu lặp)</t>
  </si>
  <si>
    <t>Điện Biên Phủ - Triều Lên (QC - Mẫu lặp)</t>
  </si>
  <si>
    <t>Bùi Đình Túy - Triều Lên (QC - Mẫu lặp)</t>
  </si>
  <si>
    <t>Cầu Đỏ - Triều Lên (QC - Mẫu lặp)</t>
  </si>
  <si>
    <t>Thị Nghè 2 - Triều Lên (QC - Mẫu lặp)</t>
  </si>
  <si>
    <t>Bùi Hữu Nghĩa - Triều Lên (QC - Mẫu lặp)</t>
  </si>
  <si>
    <t>Cầu Văn Thánh - Triều Lên (QC - Mẫu lặp)</t>
  </si>
  <si>
    <t>Cầu Văn Thánh 2 - Triều Lên (QC - Mẫu lặp)</t>
  </si>
  <si>
    <t>Lê Văn Sỹ - Triều Xuống (QC - Mẫu lặp)</t>
  </si>
  <si>
    <t>Điện Biên Phủ - Triều Xuống (QC - Mẫu lặp)</t>
  </si>
  <si>
    <t>Bùi Đình Túy - Triều Xuống (QC - Mẫu lặp)</t>
  </si>
  <si>
    <t>Thị Nghè 2 - Triều Xuống (QC - Mẫu lặp)</t>
  </si>
  <si>
    <t>Bùi Hữu Nghĩa - Triều Xuống (QC - Mẫu lặp)</t>
  </si>
  <si>
    <t>Cầu Văn Thánh - Triều Xuống (QC - Mẫu lặp)</t>
  </si>
  <si>
    <t>Cầu Văn Thánh 2 - Triều Xuống (QC - Mẫu lặp)</t>
  </si>
  <si>
    <t>TBNM15 - 01 (QC - Mẫu lặp)</t>
  </si>
  <si>
    <t>TBNM5 - 01 (QC - Mẫu lặp)</t>
  </si>
  <si>
    <t>Cầu Tân Thái - Triều Lên (QC - Mẫu lặp)</t>
  </si>
  <si>
    <t>TBNM14 - 01 (QC - Mẫu lặp)</t>
  </si>
  <si>
    <t>TBNM9 - 01 (QC - Mẫu lặp)</t>
  </si>
  <si>
    <t>TBNM11 - 01 (QC - Mẫu lặp)</t>
  </si>
  <si>
    <t>TBNM1 - 01 (QC - Mẫu lặp)</t>
  </si>
  <si>
    <t>Thầy Cai - Triều Lên (QC - Mẫu lặp)</t>
  </si>
  <si>
    <t>TBNM15 - 02 (QC - Mẫu lặp)</t>
  </si>
  <si>
    <t>TBNM5 - 02 (QC - Mẫu lặp)</t>
  </si>
  <si>
    <t>Cầu Tân Thái - Triều Xuống (QC - Mẫu lặp)</t>
  </si>
  <si>
    <t>TBNM14 - 02 (QC - Mẫu lặp)</t>
  </si>
  <si>
    <t>TBNM9 - 02 (QC - Mẫu lặp)</t>
  </si>
  <si>
    <t>TBNM11 - 02 (QC - Mẫu lặp)</t>
  </si>
  <si>
    <t>TBNM1 - 02 (QC - Mẫu lặp)</t>
  </si>
  <si>
    <t>Thầy Cai - Triều Xuống (QC - Mẫu lặp)</t>
  </si>
  <si>
    <t>Kênh N46 - Triều Lên (QC - Mẫu lặp)</t>
  </si>
  <si>
    <t>Tân Phú Trung - Triều Lên (QC - Mẫu lặp)</t>
  </si>
  <si>
    <t>TC18A - Triều Lên (QC - Mẫu lặp)</t>
  </si>
  <si>
    <t>An Hạ 1 - Triều Lên (QC - Mẫu lặp)</t>
  </si>
  <si>
    <t>Cầu TL9 - Triều Lên (QC - Mẫu lặp)</t>
  </si>
  <si>
    <t>Xuân Thới Sơn - Triều Lên (QC - Mẫu lặp)</t>
  </si>
  <si>
    <t>Cầu Lớn - Triều Lên (QC - Mẫu lặp)</t>
  </si>
  <si>
    <t>An Hạ - Triều Lên (QC - Mẫu lặp)</t>
  </si>
  <si>
    <t>Rau Răm - Triều Lên (QC - Mẫu lặp)</t>
  </si>
  <si>
    <t>Kênh N46 - Triều Xuống (QC - Mẫu lặp)</t>
  </si>
  <si>
    <t>Tân Phú Trung - Triều Xuống (QC - Mẫu lặp)</t>
  </si>
  <si>
    <t>TC18A - Triều Xuống (QC - Mẫu lặp)</t>
  </si>
  <si>
    <t>An Hạ 1 - Triều Xuống (QC - Mẫu lặp)</t>
  </si>
  <si>
    <t>Cầu TL9 - Triều Xuống (QC - Mẫu lặp)</t>
  </si>
  <si>
    <t>Xuân Thới Sơn - Triều Xuống (QC - Mẫu lặp)</t>
  </si>
  <si>
    <t>Cầu Lớn - Triều Xuống (QC - Mẫu lặp)</t>
  </si>
  <si>
    <t>An Hạ - Triều Xuống (QC - Mẫu lặp)</t>
  </si>
  <si>
    <t>Cầu Mống - Triều Lên (QC - Mẫu lặp)</t>
  </si>
  <si>
    <t>Tân Thuận - Triều Lên (QC - Mẫu lặp)</t>
  </si>
  <si>
    <t>Kênh Tẻ - Triều Lên (QC - Mẫu lặp)</t>
  </si>
  <si>
    <t>Cầu Chữ Y - Triều Lên (QC - Mẫu lặp)</t>
  </si>
  <si>
    <t>Chà Và - Triều Lên (QC - Mẫu lặp)</t>
  </si>
  <si>
    <t>Chánh Hưng - Triều Lên (QC - Mẫu lặp)</t>
  </si>
  <si>
    <t>Nhị Thiên Đường - Triều Lên (QC - Mẫu lặp)</t>
  </si>
  <si>
    <t>Cầu Mống - Triều Xuống (QC - Mẫu lặp)</t>
  </si>
  <si>
    <t>Tân Thuận - Triều Xuống (QC - Mẫu lặp)</t>
  </si>
  <si>
    <t>Kênh Tẻ - Triều Xuống (QC - Mẫu lặp)</t>
  </si>
  <si>
    <t>Cầu Chữ Y - Triều Xuống (QC - Mẫu lặp)</t>
  </si>
  <si>
    <t>Chà Và - Triều Xuống (QC - Mẫu lặp)</t>
  </si>
  <si>
    <t>Chánh Hưng - Triều Xuống (QC - Mẫu lặp)</t>
  </si>
  <si>
    <t>Nhị Thiên Đường - Triều Xuống (QC - Mẫu lặp)</t>
  </si>
  <si>
    <t>Hòa Bình - Triều Lên (QC - Mẫu lặp)</t>
  </si>
  <si>
    <t>Ông Buông - Triều Lên (QC - Mẫu lặp)</t>
  </si>
  <si>
    <t>Rạch Ngựa - Triều Lên (QC - Mẫu lặp)</t>
  </si>
  <si>
    <t>Phú Định - Triều Lên (QC - Mẫu lặp)</t>
  </si>
  <si>
    <t>Hồ Ngọc Lãm - Triều Lên (QC - Mẫu lặp)</t>
  </si>
  <si>
    <t>Bình Ðiền - Triều Lên (QC - Mẫu lặp)</t>
  </si>
  <si>
    <t>Chợ Đệm - Triều Lên (QC - Mẫu lặp)</t>
  </si>
  <si>
    <t>Hòa Bình - Triều Xuống (QC - Mẫu lặp)</t>
  </si>
  <si>
    <t>Ông Buông - Triều Xuống (QC - Mẫu lặp)</t>
  </si>
  <si>
    <t>Rạch Ngựa - Triều Xuống (QC - Mẫu lặp)</t>
  </si>
  <si>
    <t>Phú Định - Triều Xuống (QC - Mẫu lặp)</t>
  </si>
  <si>
    <t>Hồ Ngọc Lãm - Triều Xuống (QC - Mẫu lặp)</t>
  </si>
  <si>
    <t>Bình Ðiền - Triều Xuống (QC - Mẫu lặp)</t>
  </si>
  <si>
    <t>Chợ Đệm - Triều Xuống (QC - Mẫu lặp)</t>
  </si>
  <si>
    <t>Cầu Rạch Ngang - Triều Lên (QC - Mẫu lặp)</t>
  </si>
  <si>
    <t>Xóm Củi - Triều Lên (QC - Mẫu lặp)</t>
  </si>
  <si>
    <t>Ông Lớn - Triều Lên (QC - Mẫu lặp)</t>
  </si>
  <si>
    <t>Cần Giuộc - Triều Lên (QC - Mẫu lặp)</t>
  </si>
  <si>
    <t>Long Hậu Tân Kim - Triều Lên (QC - Mẫu lặp)</t>
  </si>
  <si>
    <t>Hiệp Phước - Triều Lên (QC - Mẫu lặp)</t>
  </si>
  <si>
    <t>Xóm Củi - Triều Xuống (QC - Mẫu lặp)</t>
  </si>
  <si>
    <t>Ông Lớn - Triều Xuống (QC - Mẫu lặp)</t>
  </si>
  <si>
    <t>Cần Giuộc - Triều Xuống (QC - Mẫu lặp)</t>
  </si>
  <si>
    <t>Bà Lào - Triều Xuống (QC - Mẫu lặp)</t>
  </si>
  <si>
    <t>Long Hậu Tân Kim - Triều Xuống (QC - Mẫu lặp)</t>
  </si>
  <si>
    <t>Hiệp Phước - Triều Xuống (QC - Mẫu lặp)</t>
  </si>
  <si>
    <t>An Lộc - Triều Lên (QC - Mẫu lặp)</t>
  </si>
  <si>
    <t>Bến Cát - Triều Lên (QC - Mẫu lặp)</t>
  </si>
  <si>
    <t>Trường Đai - Triều Lên (QC - Mẫu lặp)</t>
  </si>
  <si>
    <t>Tham Lương - Triều Lên (QC - Mẫu lặp)</t>
  </si>
  <si>
    <t>Cầu Bưng - Triều Lên (QC - Mẫu lặp)</t>
  </si>
  <si>
    <t>An Lộc - Triều Xuống (QC - Mẫu lặp)</t>
  </si>
  <si>
    <t>Bến Cát - Triều Xuống (QC - Mẫu lặp)</t>
  </si>
  <si>
    <t>Trường Đai - Triều Xuống (QC - Mẫu lặp)</t>
  </si>
  <si>
    <t>Chợ Cầu - Triều Xuống (QC - Mẫu lặp)</t>
  </si>
  <si>
    <t>Tham Lương - Triều Xuống (QC - Mẫu lặp)</t>
  </si>
  <si>
    <t>Cầu Bưng - Triều Xuống (QC - Mẫu lặp)</t>
  </si>
  <si>
    <t>CN1 - Triều Xuống (QC - Mẫu lặp)</t>
  </si>
  <si>
    <t>GCNM2 - 01 (QC - Mẫu lặp)</t>
  </si>
  <si>
    <t>GCNM3 - 01 (QC - Mẫu lặp)</t>
  </si>
  <si>
    <t>Cầu Bình Thuận - Triều Lên (QC - Mẫu lặp)</t>
  </si>
  <si>
    <t>Nước Đen - Triều Lên (QC - Mẫu lặp)</t>
  </si>
  <si>
    <t>Cầu Sông Chùa - Triều Lên (QC - Mẫu lặp)</t>
  </si>
  <si>
    <t>Cầu Đường A - Triều Lên (QC - Mẫu lặp)</t>
  </si>
  <si>
    <t>Trung Tâm - Triều Lên (QC - Mẫu lặp)</t>
  </si>
  <si>
    <t>Nước Lên - Triều Lên (QC - Mẫu lặp)</t>
  </si>
  <si>
    <t>Lương Bèo - Triều Lên (QC - Mẫu lặp)</t>
  </si>
  <si>
    <t>GCNM2 - 02 (QC - Mẫu lặp)</t>
  </si>
  <si>
    <t>GCNM3 - 02 (QC - Mẫu lặp)</t>
  </si>
  <si>
    <t>Cầu Bình Thuận - Triều Xuống (QC - Mẫu lặp)</t>
  </si>
  <si>
    <t>Nước Đen - Triều Xuống (QC - Mẫu lặp)</t>
  </si>
  <si>
    <t>Cầu Sông Chùa - Triều Xuống (QC - Mẫu lặp)</t>
  </si>
  <si>
    <t>Cầu Đường A - Triều Xuống (QC - Mẫu lặp)</t>
  </si>
  <si>
    <t>Trung Tâm - Triều Xuống (QC - Mẫu lặp)</t>
  </si>
  <si>
    <t>Nước Lên - Triều Xuống (QC - Mẫu lặp)</t>
  </si>
  <si>
    <t>Lương Bèo - Triều Xuống (QC - Mẫu lặp)</t>
  </si>
  <si>
    <t>Cầu Bà Tri - Triều Lên (QC - Mẫu lặp)</t>
  </si>
  <si>
    <t>Tân Tạo - Triều Lên (QC - Mẫu lặp)</t>
  </si>
  <si>
    <t>Kênh C - Triều Lên (QC - Mẫu lặp)</t>
  </si>
  <si>
    <t>Kênh C6 - Triều Lên (QC - Mẫu lặp)</t>
  </si>
  <si>
    <t>ĐPNM1 - 01 (QC - Mẫu lặp)</t>
  </si>
  <si>
    <t>ĐPNM4 - 01 (QC - Mẫu lặp)</t>
  </si>
  <si>
    <t>ĐPNM5 - 01 (QC - Mẫu lặp)</t>
  </si>
  <si>
    <t>ĐPNM8 - 01 (QC - Mẫu lặp)</t>
  </si>
  <si>
    <t>Cầu Bà Tri - Triều Xuống (QC - Mẫu lặp)</t>
  </si>
  <si>
    <t>Tân Tạo - Triều Xuống (QC - Mẫu lặp)</t>
  </si>
  <si>
    <t>Kênh C - Triều Xuống (QC - Mẫu lặp)</t>
  </si>
  <si>
    <t>Kênh C6 - Triều Xuống (QC - Mẫu lặp)</t>
  </si>
  <si>
    <t>Kênh C8 - Triều Xuống (QC - Mẫu lặp)</t>
  </si>
  <si>
    <t>ĐPNM1 - 02 (QC - Mẫu lặp)</t>
  </si>
  <si>
    <t>ĐPNM4 - 02 (QC - Mẫu lặp)</t>
  </si>
  <si>
    <t>ĐPNM5 - 02 (QC - Mẫu lặp)</t>
  </si>
  <si>
    <t>ĐPNM8 - 02 (QC - Mẫu lặp)</t>
  </si>
  <si>
    <t>Phú Xuân - Triều Lên (QC - Mẫu lặp)</t>
  </si>
  <si>
    <t>Phú Xuân - Triều Xuống (QC - Mẫu lặp)</t>
  </si>
  <si>
    <t>Cầu Gò Công - Triều Lên (QC - Mẫu lặp)</t>
  </si>
  <si>
    <t>Cầu Gò Công - Triều Xuống (QC - Mẫu lặp)</t>
  </si>
  <si>
    <t>Bình Lợi - Triều Lên (QC - Mẫu lặp)</t>
  </si>
  <si>
    <t>Sài Gòn - Triều Lên (QC - Mẫu lặp)</t>
  </si>
  <si>
    <t>Phú Mỹ - Triều Lên (QC - Mẫu lặp)</t>
  </si>
  <si>
    <t>Mũi Đèn Đỏ - Triều Lên (QC - Mẫu lặp)</t>
  </si>
  <si>
    <t>Nhà Bè - Triều Lên (QC - Mẫu lặp)</t>
  </si>
  <si>
    <t>Bình Lợi - Triều Xuống (QC - Mẫu lặp)</t>
  </si>
  <si>
    <t>Phú Mỹ - Triều Xuống (QC - Mẫu lặp)</t>
  </si>
  <si>
    <t>Mũi Đèn Đỏ - Triều Xuống (QC - Mẫu lặp)</t>
  </si>
  <si>
    <t>Nhà Bè - Triều Xuống (QC - Mẫu lặp)</t>
  </si>
  <si>
    <t>Long Phước - Triều Lên (QC - Mẫu lặp)</t>
  </si>
  <si>
    <t>Cát Lái - Triều Lên (QC - Mẫu lặp)</t>
  </si>
  <si>
    <t>Lòng Tàu - Triều Lên (QC - Mẫu lặp)</t>
  </si>
  <si>
    <t>Tam Thôn Hiệp - Triều Lên (QC - Mẫu lặp)</t>
  </si>
  <si>
    <t>Đồng Tranh 1 - Triều Lên (QC - Mẫu lặp)</t>
  </si>
  <si>
    <t>Long Phước - Triều Xuống (QC - Mẫu lặp)</t>
  </si>
  <si>
    <t>Cát Lái - Triều Xuống (QC - Mẫu lặp)</t>
  </si>
  <si>
    <t>Lòng Tàu - Triều Xuống (QC - Mẫu lặp)</t>
  </si>
  <si>
    <t>Tam Thôn Hiệp - Triều Xuống (QC - Mẫu lặp)</t>
  </si>
  <si>
    <t>Đồng Tranh 1 - Triều Xuống (QC - Mẫu lặp)</t>
  </si>
  <si>
    <t>Lòng Tàu 1 - Triều Lên (QC - Mẫu lặp)</t>
  </si>
  <si>
    <t>Ngã Bảy - Triều Lên (QC - Mẫu lặp)</t>
  </si>
  <si>
    <t>Vàm Sát - Triều Lên (QC - Mẫu lặp)</t>
  </si>
  <si>
    <t>Đồng Tranh - Triều Lên (QC - Mẫu lặp)</t>
  </si>
  <si>
    <t>Lòng Tàu 1 - Triều Xuống (QC - Mẫu lặp)</t>
  </si>
  <si>
    <t>Ngã Bảy - Triều Xuống (QC - Mẫu lặp)</t>
  </si>
  <si>
    <t>Vàm Sát - Triều Xuống (QC - Mẫu lặp)</t>
  </si>
  <si>
    <t>Đồng Tranh - Triều Xuống (QC - Mẫu lặp)</t>
  </si>
  <si>
    <t>Tên vị trí Mẫu trắng</t>
  </si>
  <si>
    <t>Cầu số 1 - Triều Lên (QC - Mẫu trắng)</t>
  </si>
  <si>
    <t>Lê Văn Sỹ - Triều Lên (QC - Mẫu trắng)</t>
  </si>
  <si>
    <t>Hải Đức - Triều Lên (QC - Mẫu trắng)</t>
  </si>
  <si>
    <t>Điện Biên Phủ - Triều Lên (QC - Mẫu trắng)</t>
  </si>
  <si>
    <t>Bùi Đình Túy - Triều Lên (QC - Mẫu trắng)</t>
  </si>
  <si>
    <t>Cầu Đỏ - Triều Lên (QC - Mẫu trắng)</t>
  </si>
  <si>
    <t>Thị Nghè 2 - Triều Lên (QC - Mẫu trắng)</t>
  </si>
  <si>
    <t>Bùi Hữu Nghĩa - Triều Lên (QC - Mẫu trắng)</t>
  </si>
  <si>
    <t>Cầu Văn Thánh - Triều Lên (QC - Mẫu trắng)</t>
  </si>
  <si>
    <t>Cầu Văn Thánh 2 - Triều Lên (QC - Mẫu trắng)</t>
  </si>
  <si>
    <t>Lê Văn Sỹ - Triều Xuống (QC - Mẫu trắng)</t>
  </si>
  <si>
    <t>Hải Đức - Triều Xuống (QC - Mẫu trắng)</t>
  </si>
  <si>
    <t>Điện Biên Phủ - Triều Xuống (QC - Mẫu trắng)</t>
  </si>
  <si>
    <t>Bùi Đình Túy - Triều Xuống (QC - Mẫu trắng)</t>
  </si>
  <si>
    <t>Cầu Đỏ - Triều Xuống (QC - Mẫu trắng)</t>
  </si>
  <si>
    <t>Thị Nghè 2 - Triều Xuống (QC - Mẫu trắng)</t>
  </si>
  <si>
    <t>Bùi Hữu Nghĩa - Triều Xuống (QC - Mẫu trắng)</t>
  </si>
  <si>
    <t>Cầu Văn Thánh - Triều Xuống (QC - Mẫu trắng)</t>
  </si>
  <si>
    <t>Cầu Văn Thánh 2 - Triều Xuống (QC - Mẫu trắng)</t>
  </si>
  <si>
    <t>TBNM15 - 01 (QC - Mẫu trắng)</t>
  </si>
  <si>
    <t>TBNM5 - 01 (QC - Mẫu trắng)</t>
  </si>
  <si>
    <t>Cầu Tân Thái - Triều Lên (QC - Mẫu trắng)</t>
  </si>
  <si>
    <t>TBNM14 - 01 (QC - Mẫu trắng)</t>
  </si>
  <si>
    <t>TBNM9 - 01 (QC - Mẫu trắng)</t>
  </si>
  <si>
    <t>TBNM11 - 01 (QC - Mẫu trắng)</t>
  </si>
  <si>
    <t>TBNM1 - 01 (QC - Mẫu trắng)</t>
  </si>
  <si>
    <t>Thầy Cai - Triều Lên (QC - Mẫu trắng)</t>
  </si>
  <si>
    <t>TBNM15 - 02 (QC - Mẫu trắng)</t>
  </si>
  <si>
    <t>TBNM5 - 02 (QC - Mẫu trắng)</t>
  </si>
  <si>
    <t>Cầu Tân Thái - Triều Xuống (QC - Mẫu trắng)</t>
  </si>
  <si>
    <t>TBNM14 - 02 (QC - Mẫu trắng)</t>
  </si>
  <si>
    <t>TBNM9 - 02 (QC - Mẫu trắng)</t>
  </si>
  <si>
    <t>TBNM11 - 02 (QC - Mẫu trắng)</t>
  </si>
  <si>
    <t>TBNM1 - 02 (QC - Mẫu trắng)</t>
  </si>
  <si>
    <t>Thầy Cai - Triều Xuống (QC - Mẫu trắng)</t>
  </si>
  <si>
    <t>Kênh N46 - Triều Lên (QC - Mẫu trắng)</t>
  </si>
  <si>
    <t>Tân Phú Trung - Triều Lên (QC - Mẫu trắng)</t>
  </si>
  <si>
    <t>TC18A - Triều Lên (QC - Mẫu trắng)</t>
  </si>
  <si>
    <t>An Hạ 1 - Triều Lên (QC - Mẫu trắng)</t>
  </si>
  <si>
    <t>Cầu TL9 - Triều Lên (QC - Mẫu trắng)</t>
  </si>
  <si>
    <t>Xuân Thới Sơn - Triều Lên (QC - Mẫu trắng)</t>
  </si>
  <si>
    <t>Cầu Lớn - Triều Lên (QC - Mẫu trắng)</t>
  </si>
  <si>
    <t>An Hạ - Triều Lên (QC - Mẫu trắng)</t>
  </si>
  <si>
    <t>Rau Răm - Triều Lên (QC - Mẫu trắng)</t>
  </si>
  <si>
    <t>Kênh N46 - Triều Xuống (QC - Mẫu trắng)</t>
  </si>
  <si>
    <t>Tân Phú Trung - Triều Xuống (QC - Mẫu trắng)</t>
  </si>
  <si>
    <t>TC18A - Triều Xuống (QC - Mẫu trắng)</t>
  </si>
  <si>
    <t>An Hạ 1 - Triều Xuống (QC - Mẫu trắng)</t>
  </si>
  <si>
    <t>Cầu TL9 - Triều Xuống (QC - Mẫu trắng)</t>
  </si>
  <si>
    <t>Xuân Thới Sơn - Triều Xuống (QC - Mẫu trắng)</t>
  </si>
  <si>
    <t>Cầu Lớn - Triều Xuống (QC - Mẫu trắng)</t>
  </si>
  <si>
    <t>An Hạ - Triều Xuống (QC - Mẫu trắng)</t>
  </si>
  <si>
    <t>Rau Răm - Triều Xuống (QC - Mẫu trắng)</t>
  </si>
  <si>
    <t>Cầu Mống - Triều Lên (QC - Mẫu trắng)</t>
  </si>
  <si>
    <t>Tân Thuận - Triều Lên (QC - Mẫu trắng)</t>
  </si>
  <si>
    <t>Kênh Tẻ - Triều Lên (QC - Mẫu trắng)</t>
  </si>
  <si>
    <t>Cầu Chữ Y - Triều Lên (QC - Mẫu trắng)</t>
  </si>
  <si>
    <t>Chà Và - Triều Lên (QC - Mẫu trắng)</t>
  </si>
  <si>
    <t>Chánh Hưng - Triều Lên (QC - Mẫu trắng)</t>
  </si>
  <si>
    <t>Nhị Thiên Đường - Triều Lên (QC - Mẫu trắng)</t>
  </si>
  <si>
    <t>Cầu Mống - Triều Xuống (QC - Mẫu trắng)</t>
  </si>
  <si>
    <t>Tân Thuận - Triều Xuống (QC - Mẫu trắng)</t>
  </si>
  <si>
    <t>Kênh Tẻ - Triều Xuống (QC - Mẫu trắng)</t>
  </si>
  <si>
    <t>Cầu Chữ Y - Triều Xuống (QC - Mẫu trắng)</t>
  </si>
  <si>
    <t>Chà Và - Triều Xuống (QC - Mẫu trắng)</t>
  </si>
  <si>
    <t>Chánh Hưng - Triều Xuống (QC - Mẫu trắng)</t>
  </si>
  <si>
    <t>Nhị Thiên Đường - Triều Xuống (QC - Mẫu trắng)</t>
  </si>
  <si>
    <t>Hòa Bình - Triều Lên (QC - Mẫu trắng)</t>
  </si>
  <si>
    <t>Ông Buông - Triều Lên (QC - Mẫu trắng)</t>
  </si>
  <si>
    <t>Rạch Ngựa - Triều Lên (QC - Mẫu trắng)</t>
  </si>
  <si>
    <t>Phú Định - Triều Lên (QC - Mẫu trắng)</t>
  </si>
  <si>
    <t>Hồ Ngọc Lãm - Triều Lên (QC - Mẫu trắng)</t>
  </si>
  <si>
    <t>Bình Ðiền - Triều Lên (QC - Mẫu trắng)</t>
  </si>
  <si>
    <t>Chợ Đệm - Triều Lên (QC - Mẫu trắng)</t>
  </si>
  <si>
    <t>Hòa Bình - Triều Xuống (QC - Mẫu trắng)</t>
  </si>
  <si>
    <t>Ông Buông - Triều Xuống (QC - Mẫu trắng)</t>
  </si>
  <si>
    <t>Rạch Ngựa - Triều Xuống (QC - Mẫu trắng)</t>
  </si>
  <si>
    <t>Phú Định - Triều Xuống (QC - Mẫu trắng)</t>
  </si>
  <si>
    <t>Hồ Ngọc Lãm - Triều Xuống (QC - Mẫu trắng)</t>
  </si>
  <si>
    <t>Bình Ðiền - Triều Xuống (QC - Mẫu trắng)</t>
  </si>
  <si>
    <t>Chợ Đệm - Triều Xuống (QC - Mẫu trắng)</t>
  </si>
  <si>
    <t>Cầu Rạch Ngang - Triều Lên (QC - Mẫu trắng)</t>
  </si>
  <si>
    <t>Xóm Củi - Triều Lên (QC - Mẫu trắng)</t>
  </si>
  <si>
    <t>Ông Lớn - Triều Lên (QC - Mẫu trắng)</t>
  </si>
  <si>
    <t>Cần Giuộc - Triều Lên (QC - Mẫu trắng)</t>
  </si>
  <si>
    <t>Bà Lào - Triều Lên (QC - Mẫu trắng)</t>
  </si>
  <si>
    <t>Long Hậu Tân Kim - Triều Lên (QC - Mẫu trắng)</t>
  </si>
  <si>
    <t>Hiệp Phước - Triều Lên (QC - Mẫu trắng)</t>
  </si>
  <si>
    <t>Xóm Củi - Triều Xuống (QC - Mẫu trắng)</t>
  </si>
  <si>
    <t>Ông Lớn - Triều Xuống (QC - Mẫu trắng)</t>
  </si>
  <si>
    <t>Cần Giuộc - Triều Xuống (QC - Mẫu trắng)</t>
  </si>
  <si>
    <t>Bà Lào - Triều Xuống (QC - Mẫu trắng)</t>
  </si>
  <si>
    <t>Long Hậu Tân Kim - Triều Xuống (QC - Mẫu trắng)</t>
  </si>
  <si>
    <t>Hiệp Phước - Triều Xuống (QC - Mẫu trắng)</t>
  </si>
  <si>
    <t>An Lộc - Triều Lên (QC - Mẫu trắng)</t>
  </si>
  <si>
    <t>Bến Cát - Triều Lên (QC - Mẫu trắng)</t>
  </si>
  <si>
    <t>Trường Đai - Triều Lên (QC - Mẫu trắng)</t>
  </si>
  <si>
    <t>Tham Lương - Triều Lên (QC - Mẫu trắng)</t>
  </si>
  <si>
    <t>Cầu Bưng - Triều Lên (QC - Mẫu trắng)</t>
  </si>
  <si>
    <t>CN1 - Triều Lên (QC - Mẫu trắng)</t>
  </si>
  <si>
    <t>Cống Vàm Thuật - Triều Xuống (QC - Mẫu trắng)</t>
  </si>
  <si>
    <t>An Lộc - Triều Xuống (QC - Mẫu trắng)</t>
  </si>
  <si>
    <t>Bến Cát - Triều Xuống (QC - Mẫu trắng)</t>
  </si>
  <si>
    <t>Trường Đai - Triều Xuống (QC - Mẫu trắng)</t>
  </si>
  <si>
    <t>Chợ Cầu - Triều Xuống (QC - Mẫu trắng)</t>
  </si>
  <si>
    <t>Tham Lương - Triều Xuống (QC - Mẫu trắng)</t>
  </si>
  <si>
    <t>Cầu Bưng - Triều Xuống (QC - Mẫu trắng)</t>
  </si>
  <si>
    <t>CN1 - Triều Xuống (QC - Mẫu trắng)</t>
  </si>
  <si>
    <t>GCNM2 - 01 (QC - Mẫu trắng)</t>
  </si>
  <si>
    <t>GCNM3 - 01 (QC - Mẫu trắng)</t>
  </si>
  <si>
    <t>Cầu Bình Thuận - Triều Lên (QC - Mẫu trắng)</t>
  </si>
  <si>
    <t>Nước Đen - Triều Lên (QC - Mẫu trắng)</t>
  </si>
  <si>
    <t>Cầu Sông Chùa - Triều Lên (QC - Mẫu trắng)</t>
  </si>
  <si>
    <t>Cầu Đường A - Triều Lên (QC - Mẫu trắng)</t>
  </si>
  <si>
    <t>Trung Tâm - Triều Lên (QC - Mẫu trắng)</t>
  </si>
  <si>
    <t>Nước Lên - Triều Lên (QC - Mẫu trắng)</t>
  </si>
  <si>
    <t>Lương Bèo - Triều Lên (QC - Mẫu trắng)</t>
  </si>
  <si>
    <t>GCNM2 - 02 (QC - Mẫu trắng)</t>
  </si>
  <si>
    <t>GCNM3 - 02 (QC - Mẫu trắng)</t>
  </si>
  <si>
    <t>Cầu Bình Thuận - Triều Xuống (QC - Mẫu trắng)</t>
  </si>
  <si>
    <t>Nước Đen - Triều Xuống (QC - Mẫu trắng)</t>
  </si>
  <si>
    <t>Cầu Sông Chùa - Triều Xuống (QC - Mẫu trắng)</t>
  </si>
  <si>
    <t>Cầu Đường A - Triều Xuống (QC - Mẫu trắng)</t>
  </si>
  <si>
    <t>Trung Tâm - Triều Xuống (QC - Mẫu trắng)</t>
  </si>
  <si>
    <t>Nước Lên - Triều Xuống (QC - Mẫu trắng)</t>
  </si>
  <si>
    <t>Lương Bèo - Triều Xuống (QC - Mẫu trắng)</t>
  </si>
  <si>
    <t>Cầu Bà Tri - Triều Lên (QC - Mẫu trắng)</t>
  </si>
  <si>
    <t>Tân Tạo - Triều Lên (QC - Mẫu trắng)</t>
  </si>
  <si>
    <t>Kênh C - Triều Lên (QC - Mẫu trắng)</t>
  </si>
  <si>
    <t>Kênh C6 - Triều Lên (QC - Mẫu trắng)</t>
  </si>
  <si>
    <t>Kênh C8 - Triều Lên (QC - Mẫu trắng)</t>
  </si>
  <si>
    <t>ĐPNM1 - 01 (QC - Mẫu trắng)</t>
  </si>
  <si>
    <t>ĐPNM4 - 01 (QC - Mẫu trắng)</t>
  </si>
  <si>
    <t>ĐPNM5 - 01 (QC - Mẫu trắng)</t>
  </si>
  <si>
    <t>ĐPNM8 - 01 (QC - Mẫu trắng)</t>
  </si>
  <si>
    <t>Cầu Bà Tri - Triều Xuống (QC - Mẫu trắng)</t>
  </si>
  <si>
    <t>Tân Tạo - Triều Xuống (QC - Mẫu trắng)</t>
  </si>
  <si>
    <t>Kênh C - Triều Xuống (QC - Mẫu trắng)</t>
  </si>
  <si>
    <t>Kênh C6 - Triều Xuống (QC - Mẫu trắng)</t>
  </si>
  <si>
    <t>Kênh C8 - Triều Xuống (QC - Mẫu trắng)</t>
  </si>
  <si>
    <t>ĐPNM1 - 02 (QC - Mẫu trắng)</t>
  </si>
  <si>
    <t>ĐPNM4 - 02 (QC - Mẫu trắng)</t>
  </si>
  <si>
    <t>ĐPNM5 - 02 (QC - Mẫu trắng)</t>
  </si>
  <si>
    <t>ĐPNM8 - 02 (QC - Mẫu trắng)</t>
  </si>
  <si>
    <t>Phú Xuân - Triều Lên (QC - Mẫu trắng)</t>
  </si>
  <si>
    <t>Phú Xuân - Triều Xuống (QC - Mẫu trắng)</t>
  </si>
  <si>
    <t>Cầu Gò Công - Triều Lên (QC - Mẫu trắng)</t>
  </si>
  <si>
    <t>Cầu Gò Công - Triều Xuống (QC - Mẫu trắng)</t>
  </si>
  <si>
    <t>Bình Lợi - Triều Lên (QC - Mẫu trắng)</t>
  </si>
  <si>
    <t>Sài Gòn - Triều Lên (QC - Mẫu trắng)</t>
  </si>
  <si>
    <t>Phú Mỹ - Triều Lên (QC - Mẫu trắng)</t>
  </si>
  <si>
    <t>Mũi Đèn Đỏ - Triều Lên (QC - Mẫu trắng)</t>
  </si>
  <si>
    <t>Nhà Bè - Triều Lên (QC - Mẫu trắng)</t>
  </si>
  <si>
    <t>Bình Lợi - Triều Xuống (QC - Mẫu trắng)</t>
  </si>
  <si>
    <t>Phú Mỹ - Triều Xuống (QC - Mẫu trắng)</t>
  </si>
  <si>
    <t>Mũi Đèn Đỏ - Triều Xuống (QC - Mẫu trắng)</t>
  </si>
  <si>
    <t>Nhà Bè - Triều Xuống (QC - Mẫu trắng)</t>
  </si>
  <si>
    <t>Long Phước - Triều Lên (QC - Mẫu trắng)</t>
  </si>
  <si>
    <t>Cát Lái - Triều Lên (QC - Mẫu trắng)</t>
  </si>
  <si>
    <t>Lòng Tàu - Triều Lên (QC - Mẫu trắng)</t>
  </si>
  <si>
    <t>Tam Thôn Hiệp - Triều Lên (QC - Mẫu trắng)</t>
  </si>
  <si>
    <t>Đồng Tranh 1 - Triều Lên (QC - Mẫu trắng)</t>
  </si>
  <si>
    <t>Long Phước - Triều Xuống (QC - Mẫu trắng)</t>
  </si>
  <si>
    <t>Cát Lái - Triều Xuống (QC - Mẫu trắng)</t>
  </si>
  <si>
    <t>Lòng Tàu - Triều Xuống (QC - Mẫu trắng)</t>
  </si>
  <si>
    <t>Tam Thôn Hiệp - Triều Xuống (QC - Mẫu trắng)</t>
  </si>
  <si>
    <t>Đồng Tranh 1 - Triều Xuống (QC - Mẫu trắng)</t>
  </si>
  <si>
    <t>Lòng Tàu 1 - Triều Lên (QC - Mẫu trắng)</t>
  </si>
  <si>
    <t>Ngã Bảy - Triều Lên (QC - Mẫu trắng)</t>
  </si>
  <si>
    <t>Vàm Sát - Triều Lên (QC - Mẫu trắng)</t>
  </si>
  <si>
    <t>Đồng Tranh - Triều Lên (QC - Mẫu trắng)</t>
  </si>
  <si>
    <t>Lòng Tàu 1 - Triều Xuống (QC - Mẫu trắng)</t>
  </si>
  <si>
    <t>Ngã Bảy - Triều Xuống (QC - Mẫu trắng)</t>
  </si>
  <si>
    <t>Vàm Sát - Triều Xuống (QC - Mẫu trắng)</t>
  </si>
  <si>
    <t>Đồng Tranh - Triều Xuống (QC - Mẫu trắng)</t>
  </si>
  <si>
    <t>Code 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</si>
</sst>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3"/>
  <sheetViews>
    <sheetView workbookViewId="0">
      <selection activeCell="J31" sqref="J31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G1" t="s">
        <v>272</v>
      </c>
      <c r="H1" t="s">
        <v>273</v>
      </c>
      <c r="I1" t="s">
        <v>274</v>
      </c>
      <c r="J1" t="s">
        <v>275</v>
      </c>
      <c r="K1" t="s">
        <v>276</v>
      </c>
      <c r="L1" t="s">
        <v>277</v>
      </c>
    </row>
    <row r="2" spans="1:12" x14ac:dyDescent="0.2">
      <c r="A2" t="s">
        <v>3</v>
      </c>
      <c r="B2" t="s">
        <v>1</v>
      </c>
      <c r="C2" t="s">
        <v>4</v>
      </c>
      <c r="G2" t="s">
        <v>32</v>
      </c>
      <c r="H2" t="s">
        <v>1</v>
      </c>
      <c r="I2">
        <v>1</v>
      </c>
      <c r="K2">
        <v>4</v>
      </c>
      <c r="L2" t="str">
        <f t="array" ref="L2">INDEX($A$1:$C$172,MATCH(1,($G2=$A$1:$A$172)*($H2=$B$1:$B$172),0),3)</f>
        <v>HCM_NM_TBNM15_L</v>
      </c>
    </row>
    <row r="3" spans="1:12" x14ac:dyDescent="0.2">
      <c r="A3" t="s">
        <v>5</v>
      </c>
      <c r="B3" t="s">
        <v>1</v>
      </c>
      <c r="C3" t="s">
        <v>6</v>
      </c>
      <c r="G3" t="s">
        <v>34</v>
      </c>
      <c r="H3" t="s">
        <v>1</v>
      </c>
      <c r="I3">
        <v>1</v>
      </c>
      <c r="K3">
        <v>4</v>
      </c>
      <c r="L3" t="str">
        <f t="array" ref="L3">INDEX($A$1:$C$172,MATCH(1,($G3=$A$1:$A$172)*($H3=$B$1:$B$172),0),3)</f>
        <v>HCM_NM_TBNM5_L</v>
      </c>
    </row>
    <row r="4" spans="1:12" x14ac:dyDescent="0.2">
      <c r="A4" t="s">
        <v>7</v>
      </c>
      <c r="B4" t="s">
        <v>1</v>
      </c>
      <c r="C4" t="s">
        <v>8</v>
      </c>
      <c r="G4" t="s">
        <v>36</v>
      </c>
      <c r="H4" t="s">
        <v>1</v>
      </c>
      <c r="I4">
        <v>1</v>
      </c>
      <c r="K4">
        <v>4</v>
      </c>
      <c r="L4" t="str">
        <f t="array" ref="L4">INDEX($A$1:$C$172,MATCH(1,($G4=$A$1:$A$172)*($H4=$B$1:$B$172),0),3)</f>
        <v>HCM_NM_CTT_L</v>
      </c>
    </row>
    <row r="5" spans="1:12" x14ac:dyDescent="0.2">
      <c r="A5" t="s">
        <v>9</v>
      </c>
      <c r="B5" t="s">
        <v>1</v>
      </c>
      <c r="C5" t="s">
        <v>10</v>
      </c>
      <c r="G5" t="s">
        <v>38</v>
      </c>
      <c r="H5" t="s">
        <v>1</v>
      </c>
      <c r="I5">
        <v>1</v>
      </c>
      <c r="K5">
        <v>4</v>
      </c>
      <c r="L5" t="str">
        <f t="array" ref="L5">INDEX($A$1:$C$172,MATCH(1,($G5=$A$1:$A$172)*($H5=$B$1:$B$172),0),3)</f>
        <v>HCM_NM_TBNM14_L</v>
      </c>
    </row>
    <row r="6" spans="1:12" x14ac:dyDescent="0.2">
      <c r="A6" t="s">
        <v>11</v>
      </c>
      <c r="B6" t="s">
        <v>1</v>
      </c>
      <c r="C6" t="s">
        <v>12</v>
      </c>
      <c r="G6" t="s">
        <v>32</v>
      </c>
      <c r="H6" t="s">
        <v>21</v>
      </c>
      <c r="I6">
        <v>1</v>
      </c>
      <c r="K6">
        <v>4</v>
      </c>
      <c r="L6" t="str">
        <f t="array" ref="L6">INDEX($A$1:$C$172,MATCH(1,($G6=$A$1:$A$172)*($H6=$B$1:$B$172),0),3)</f>
        <v>HCM_NM_TBNM15_X</v>
      </c>
    </row>
    <row r="7" spans="1:12" x14ac:dyDescent="0.2">
      <c r="A7" t="s">
        <v>13</v>
      </c>
      <c r="B7" t="s">
        <v>1</v>
      </c>
      <c r="C7" t="s">
        <v>14</v>
      </c>
      <c r="G7" t="s">
        <v>34</v>
      </c>
      <c r="H7" t="s">
        <v>21</v>
      </c>
      <c r="I7">
        <v>1</v>
      </c>
      <c r="K7">
        <v>4</v>
      </c>
      <c r="L7" t="str">
        <f t="array" ref="L7">INDEX($A$1:$C$172,MATCH(1,($G7=$A$1:$A$172)*($H7=$B$1:$B$172),0),3)</f>
        <v>HCM_NM_TBNM5_X</v>
      </c>
    </row>
    <row r="8" spans="1:12" x14ac:dyDescent="0.2">
      <c r="A8" t="s">
        <v>15</v>
      </c>
      <c r="B8" t="s">
        <v>1</v>
      </c>
      <c r="C8" t="s">
        <v>16</v>
      </c>
      <c r="G8" t="s">
        <v>36</v>
      </c>
      <c r="H8" t="s">
        <v>21</v>
      </c>
      <c r="I8">
        <v>1</v>
      </c>
      <c r="J8">
        <v>1</v>
      </c>
      <c r="K8">
        <v>4</v>
      </c>
      <c r="L8" t="str">
        <f t="array" ref="L8">INDEX($A$1:$C$172,MATCH(1,($G8=$A$1:$A$172)*($H8=$B$1:$B$172),0),3)</f>
        <v>HCM_NM_CTT_X</v>
      </c>
    </row>
    <row r="9" spans="1:12" x14ac:dyDescent="0.2">
      <c r="A9" t="s">
        <v>17</v>
      </c>
      <c r="B9" t="s">
        <v>1</v>
      </c>
      <c r="C9" t="s">
        <v>18</v>
      </c>
      <c r="G9" t="s">
        <v>38</v>
      </c>
      <c r="H9" t="s">
        <v>21</v>
      </c>
      <c r="I9">
        <v>1</v>
      </c>
      <c r="K9">
        <v>4</v>
      </c>
      <c r="L9" t="str">
        <f t="array" ref="L9">INDEX($A$1:$C$172,MATCH(1,($G9=$A$1:$A$172)*($H9=$B$1:$B$172),0),3)</f>
        <v>HCM_NM_TBNM14_X</v>
      </c>
    </row>
    <row r="10" spans="1:12" x14ac:dyDescent="0.2">
      <c r="A10" t="s">
        <v>19</v>
      </c>
      <c r="B10" t="s">
        <v>1</v>
      </c>
      <c r="C10" t="s">
        <v>20</v>
      </c>
      <c r="G10" t="s">
        <v>40</v>
      </c>
      <c r="H10" t="s">
        <v>1</v>
      </c>
      <c r="I10">
        <v>1</v>
      </c>
      <c r="J10">
        <v>1</v>
      </c>
      <c r="K10">
        <v>4</v>
      </c>
      <c r="L10" t="str">
        <f t="array" ref="L10">INDEX($A$1:$C$172,MATCH(1,($G10=$A$1:$A$172)*($H10=$B$1:$B$172),0),3)</f>
        <v>HCM_NM_TBNM9_L</v>
      </c>
    </row>
    <row r="11" spans="1:12" x14ac:dyDescent="0.2">
      <c r="A11" t="s">
        <v>0</v>
      </c>
      <c r="B11" t="s">
        <v>21</v>
      </c>
      <c r="C11" t="s">
        <v>22</v>
      </c>
      <c r="G11" t="s">
        <v>42</v>
      </c>
      <c r="H11" t="s">
        <v>1</v>
      </c>
      <c r="I11">
        <v>1</v>
      </c>
      <c r="K11">
        <v>4</v>
      </c>
      <c r="L11" t="str">
        <f t="array" ref="L11">INDEX($A$1:$C$172,MATCH(1,($G11=$A$1:$A$172)*($H11=$B$1:$B$172),0),3)</f>
        <v>HCM_NM_TBNM11_L</v>
      </c>
    </row>
    <row r="12" spans="1:12" x14ac:dyDescent="0.2">
      <c r="A12" t="s">
        <v>3</v>
      </c>
      <c r="B12" t="s">
        <v>21</v>
      </c>
      <c r="C12" t="s">
        <v>23</v>
      </c>
      <c r="G12" t="s">
        <v>44</v>
      </c>
      <c r="H12" t="s">
        <v>1</v>
      </c>
      <c r="I12">
        <v>1</v>
      </c>
      <c r="K12">
        <v>4</v>
      </c>
      <c r="L12" t="str">
        <f t="array" ref="L12">INDEX($A$1:$C$172,MATCH(1,($G12=$A$1:$A$172)*($H12=$B$1:$B$172),0),3)</f>
        <v>HCM_NM_TBNM1_L</v>
      </c>
    </row>
    <row r="13" spans="1:12" x14ac:dyDescent="0.2">
      <c r="A13" t="s">
        <v>5</v>
      </c>
      <c r="B13" t="s">
        <v>21</v>
      </c>
      <c r="C13" t="s">
        <v>24</v>
      </c>
      <c r="G13" t="s">
        <v>46</v>
      </c>
      <c r="H13" t="s">
        <v>1</v>
      </c>
      <c r="I13">
        <v>1</v>
      </c>
      <c r="K13">
        <v>4</v>
      </c>
      <c r="L13" t="str">
        <f t="array" ref="L13">INDEX($A$1:$C$172,MATCH(1,($G13=$A$1:$A$172)*($H13=$B$1:$B$172),0),3)</f>
        <v>HCM_NM_TCa_L</v>
      </c>
    </row>
    <row r="14" spans="1:12" x14ac:dyDescent="0.2">
      <c r="A14" t="s">
        <v>7</v>
      </c>
      <c r="B14" t="s">
        <v>21</v>
      </c>
      <c r="C14" t="s">
        <v>25</v>
      </c>
      <c r="G14" t="s">
        <v>40</v>
      </c>
      <c r="H14" t="s">
        <v>21</v>
      </c>
      <c r="I14">
        <v>1</v>
      </c>
      <c r="K14">
        <v>4</v>
      </c>
      <c r="L14" t="str">
        <f t="array" ref="L14">INDEX($A$1:$C$172,MATCH(1,($G14=$A$1:$A$172)*($H14=$B$1:$B$172),0),3)</f>
        <v>HCM_NM_TBNM9_X</v>
      </c>
    </row>
    <row r="15" spans="1:12" x14ac:dyDescent="0.2">
      <c r="A15" t="s">
        <v>9</v>
      </c>
      <c r="B15" t="s">
        <v>21</v>
      </c>
      <c r="C15" t="s">
        <v>26</v>
      </c>
      <c r="G15" t="s">
        <v>42</v>
      </c>
      <c r="H15" t="s">
        <v>21</v>
      </c>
      <c r="I15">
        <v>1</v>
      </c>
      <c r="K15">
        <v>4</v>
      </c>
      <c r="L15" t="str">
        <f t="array" ref="L15">INDEX($A$1:$C$172,MATCH(1,($G15=$A$1:$A$172)*($H15=$B$1:$B$172),0),3)</f>
        <v>HCM_NM_TBNM11_X</v>
      </c>
    </row>
    <row r="16" spans="1:12" x14ac:dyDescent="0.2">
      <c r="A16" t="s">
        <v>11</v>
      </c>
      <c r="B16" t="s">
        <v>21</v>
      </c>
      <c r="C16" t="s">
        <v>27</v>
      </c>
      <c r="G16" t="s">
        <v>44</v>
      </c>
      <c r="H16" t="s">
        <v>21</v>
      </c>
      <c r="I16">
        <v>1</v>
      </c>
      <c r="K16">
        <v>4</v>
      </c>
      <c r="L16" t="str">
        <f t="array" ref="L16">INDEX($A$1:$C$172,MATCH(1,($G16=$A$1:$A$172)*($H16=$B$1:$B$172),0),3)</f>
        <v>HCM_NM_TBNM1_X</v>
      </c>
    </row>
    <row r="17" spans="1:12" x14ac:dyDescent="0.2">
      <c r="A17" t="s">
        <v>13</v>
      </c>
      <c r="B17" t="s">
        <v>21</v>
      </c>
      <c r="C17" t="s">
        <v>28</v>
      </c>
      <c r="G17" t="s">
        <v>46</v>
      </c>
      <c r="H17" t="s">
        <v>21</v>
      </c>
      <c r="I17">
        <v>1</v>
      </c>
      <c r="K17">
        <v>4</v>
      </c>
      <c r="L17" t="str">
        <f t="array" ref="L17">INDEX($A$1:$C$172,MATCH(1,($G17=$A$1:$A$172)*($H17=$B$1:$B$172),0),3)</f>
        <v>HCM_NM_TCa_X</v>
      </c>
    </row>
    <row r="18" spans="1:12" x14ac:dyDescent="0.2">
      <c r="A18" t="s">
        <v>15</v>
      </c>
      <c r="B18" t="s">
        <v>21</v>
      </c>
      <c r="C18" t="s">
        <v>29</v>
      </c>
      <c r="G18" t="s">
        <v>89</v>
      </c>
      <c r="H18" t="s">
        <v>1</v>
      </c>
      <c r="I18">
        <v>1</v>
      </c>
      <c r="K18">
        <v>5</v>
      </c>
      <c r="L18" t="str">
        <f t="array" ref="L18">INDEX($A$1:$C$172,MATCH(1,($G18=$A$1:$A$172)*($H18=$B$1:$B$172),0),3)</f>
        <v>HCM_NM_CCY_L</v>
      </c>
    </row>
    <row r="19" spans="1:12" x14ac:dyDescent="0.2">
      <c r="A19" t="s">
        <v>17</v>
      </c>
      <c r="B19" t="s">
        <v>21</v>
      </c>
      <c r="C19" t="s">
        <v>30</v>
      </c>
      <c r="G19" t="s">
        <v>91</v>
      </c>
      <c r="H19" t="s">
        <v>1</v>
      </c>
      <c r="I19">
        <v>1</v>
      </c>
      <c r="K19">
        <v>5</v>
      </c>
      <c r="L19" t="str">
        <f t="array" ref="L19">INDEX($A$1:$C$172,MATCH(1,($G19=$A$1:$A$172)*($H19=$B$1:$B$172),0),3)</f>
        <v>HCM_NM_CV_L</v>
      </c>
    </row>
    <row r="20" spans="1:12" x14ac:dyDescent="0.2">
      <c r="A20" t="s">
        <v>19</v>
      </c>
      <c r="B20" t="s">
        <v>21</v>
      </c>
      <c r="C20" t="s">
        <v>31</v>
      </c>
      <c r="G20" t="s">
        <v>93</v>
      </c>
      <c r="H20" t="s">
        <v>1</v>
      </c>
      <c r="I20">
        <v>1</v>
      </c>
      <c r="K20">
        <v>5</v>
      </c>
      <c r="L20" t="str">
        <f t="array" ref="L20">INDEX($A$1:$C$172,MATCH(1,($G20=$A$1:$A$172)*($H20=$B$1:$B$172),0),3)</f>
        <v>HCM_NM_CH_L</v>
      </c>
    </row>
    <row r="21" spans="1:12" x14ac:dyDescent="0.2">
      <c r="A21" t="s">
        <v>32</v>
      </c>
      <c r="B21" t="s">
        <v>1</v>
      </c>
      <c r="C21" t="s">
        <v>33</v>
      </c>
      <c r="G21" t="s">
        <v>95</v>
      </c>
      <c r="H21" t="s">
        <v>1</v>
      </c>
      <c r="I21">
        <v>1</v>
      </c>
      <c r="K21">
        <v>5</v>
      </c>
      <c r="L21" t="str">
        <f t="array" ref="L21">INDEX($A$1:$C$172,MATCH(1,($G21=$A$1:$A$172)*($H21=$B$1:$B$172),0),3)</f>
        <v>HCM_NM_NTĐ_L</v>
      </c>
    </row>
    <row r="22" spans="1:12" x14ac:dyDescent="0.2">
      <c r="A22" t="s">
        <v>34</v>
      </c>
      <c r="B22" t="s">
        <v>1</v>
      </c>
      <c r="C22" t="s">
        <v>35</v>
      </c>
      <c r="G22" t="s">
        <v>89</v>
      </c>
      <c r="H22" t="s">
        <v>21</v>
      </c>
      <c r="I22">
        <v>1</v>
      </c>
      <c r="K22">
        <v>5</v>
      </c>
      <c r="L22" t="str">
        <f t="array" ref="L22">INDEX($A$1:$C$172,MATCH(1,($G22=$A$1:$A$172)*($H22=$B$1:$B$172),0),3)</f>
        <v>HCM_NM_CCY_X</v>
      </c>
    </row>
    <row r="23" spans="1:12" x14ac:dyDescent="0.2">
      <c r="A23" t="s">
        <v>36</v>
      </c>
      <c r="B23" t="s">
        <v>1</v>
      </c>
      <c r="C23" t="s">
        <v>37</v>
      </c>
      <c r="G23" t="s">
        <v>91</v>
      </c>
      <c r="H23" t="s">
        <v>21</v>
      </c>
      <c r="I23">
        <v>1</v>
      </c>
      <c r="K23">
        <v>5</v>
      </c>
      <c r="L23" t="str">
        <f t="array" ref="L23">INDEX($A$1:$C$172,MATCH(1,($G23=$A$1:$A$172)*($H23=$B$1:$B$172),0),3)</f>
        <v>HCM_NM_CV_X</v>
      </c>
    </row>
    <row r="24" spans="1:12" x14ac:dyDescent="0.2">
      <c r="A24" t="s">
        <v>38</v>
      </c>
      <c r="B24" t="s">
        <v>1</v>
      </c>
      <c r="C24" t="s">
        <v>39</v>
      </c>
      <c r="G24" t="s">
        <v>93</v>
      </c>
      <c r="H24" t="s">
        <v>21</v>
      </c>
      <c r="I24">
        <v>1</v>
      </c>
      <c r="K24">
        <v>5</v>
      </c>
      <c r="L24" t="str">
        <f t="array" ref="L24">INDEX($A$1:$C$172,MATCH(1,($G24=$A$1:$A$172)*($H24=$B$1:$B$172),0),3)</f>
        <v>HCM_NM_CH_X</v>
      </c>
    </row>
    <row r="25" spans="1:12" x14ac:dyDescent="0.2">
      <c r="A25" t="s">
        <v>40</v>
      </c>
      <c r="B25" t="s">
        <v>1</v>
      </c>
      <c r="C25" t="s">
        <v>41</v>
      </c>
      <c r="G25" t="s">
        <v>95</v>
      </c>
      <c r="H25" t="s">
        <v>21</v>
      </c>
      <c r="I25">
        <v>1</v>
      </c>
      <c r="K25">
        <v>5</v>
      </c>
      <c r="L25" t="str">
        <f t="array" ref="L25">INDEX($A$1:$C$172,MATCH(1,($G25=$A$1:$A$172)*($H25=$B$1:$B$172),0),3)</f>
        <v>HCM_NM_NTĐ_X</v>
      </c>
    </row>
    <row r="26" spans="1:12" x14ac:dyDescent="0.2">
      <c r="A26" t="s">
        <v>42</v>
      </c>
      <c r="B26" t="s">
        <v>1</v>
      </c>
      <c r="C26" t="s">
        <v>43</v>
      </c>
      <c r="G26" t="s">
        <v>83</v>
      </c>
      <c r="H26" t="s">
        <v>1</v>
      </c>
      <c r="I26">
        <v>1</v>
      </c>
      <c r="K26">
        <v>5</v>
      </c>
      <c r="L26" t="str">
        <f t="array" ref="L26">INDEX($A$1:$C$172,MATCH(1,($G26=$A$1:$A$172)*($H26=$B$1:$B$172),0),3)</f>
        <v>HCM_NM_CMo_L</v>
      </c>
    </row>
    <row r="27" spans="1:12" x14ac:dyDescent="0.2">
      <c r="A27" t="s">
        <v>44</v>
      </c>
      <c r="B27" t="s">
        <v>1</v>
      </c>
      <c r="C27" t="s">
        <v>45</v>
      </c>
      <c r="G27" t="s">
        <v>85</v>
      </c>
      <c r="H27" t="s">
        <v>1</v>
      </c>
      <c r="I27">
        <v>1</v>
      </c>
      <c r="K27">
        <v>5</v>
      </c>
      <c r="L27" t="str">
        <f t="array" ref="L27">INDEX($A$1:$C$172,MATCH(1,($G27=$A$1:$A$172)*($H27=$B$1:$B$172),0),3)</f>
        <v>HCM_NM_TThu_L</v>
      </c>
    </row>
    <row r="28" spans="1:12" x14ac:dyDescent="0.2">
      <c r="A28" t="s">
        <v>46</v>
      </c>
      <c r="B28" t="s">
        <v>1</v>
      </c>
      <c r="C28" t="s">
        <v>47</v>
      </c>
      <c r="G28" t="s">
        <v>87</v>
      </c>
      <c r="H28" t="s">
        <v>1</v>
      </c>
      <c r="I28">
        <v>1</v>
      </c>
      <c r="K28">
        <v>5</v>
      </c>
      <c r="L28" t="str">
        <f t="array" ref="L28">INDEX($A$1:$C$172,MATCH(1,($G28=$A$1:$A$172)*($H28=$B$1:$B$172),0),3)</f>
        <v>HCM_NM_KT_L</v>
      </c>
    </row>
    <row r="29" spans="1:12" x14ac:dyDescent="0.2">
      <c r="A29" t="s">
        <v>32</v>
      </c>
      <c r="B29" t="s">
        <v>21</v>
      </c>
      <c r="C29" t="s">
        <v>48</v>
      </c>
      <c r="G29" t="s">
        <v>83</v>
      </c>
      <c r="H29" t="s">
        <v>21</v>
      </c>
      <c r="I29">
        <v>1</v>
      </c>
      <c r="K29">
        <v>5</v>
      </c>
      <c r="L29" t="str">
        <f t="array" ref="L29">INDEX($A$1:$C$172,MATCH(1,($G29=$A$1:$A$172)*($H29=$B$1:$B$172),0),3)</f>
        <v>HCM_NM_CMo_X</v>
      </c>
    </row>
    <row r="30" spans="1:12" x14ac:dyDescent="0.2">
      <c r="A30" t="s">
        <v>34</v>
      </c>
      <c r="B30" t="s">
        <v>21</v>
      </c>
      <c r="C30" t="s">
        <v>49</v>
      </c>
      <c r="G30" t="s">
        <v>85</v>
      </c>
      <c r="H30" t="s">
        <v>21</v>
      </c>
      <c r="I30">
        <v>1</v>
      </c>
      <c r="K30">
        <v>5</v>
      </c>
      <c r="L30" t="str">
        <f t="array" ref="L30">INDEX($A$1:$C$172,MATCH(1,($G30=$A$1:$A$172)*($H30=$B$1:$B$172),0),3)</f>
        <v>HCM_NM_TThu_X</v>
      </c>
    </row>
    <row r="31" spans="1:12" x14ac:dyDescent="0.2">
      <c r="A31" t="s">
        <v>36</v>
      </c>
      <c r="B31" t="s">
        <v>21</v>
      </c>
      <c r="C31" t="s">
        <v>50</v>
      </c>
      <c r="G31" t="s">
        <v>87</v>
      </c>
      <c r="H31" t="s">
        <v>21</v>
      </c>
      <c r="I31">
        <v>1</v>
      </c>
      <c r="J31">
        <v>2</v>
      </c>
      <c r="K31">
        <v>5</v>
      </c>
      <c r="L31" t="str">
        <f t="array" ref="L31">INDEX($A$1:$C$172,MATCH(1,($G31=$A$1:$A$172)*($H31=$B$1:$B$172),0),3)</f>
        <v>HCM_NM_KT_X</v>
      </c>
    </row>
    <row r="32" spans="1:12" x14ac:dyDescent="0.2">
      <c r="A32" t="s">
        <v>38</v>
      </c>
      <c r="B32" t="s">
        <v>21</v>
      </c>
      <c r="C32" t="s">
        <v>51</v>
      </c>
      <c r="G32" t="s">
        <v>56</v>
      </c>
      <c r="H32" t="s">
        <v>1</v>
      </c>
      <c r="I32">
        <v>1</v>
      </c>
      <c r="K32">
        <v>6</v>
      </c>
      <c r="L32" t="str">
        <f t="array" ref="L32">INDEX($A$1:$C$172,MATCH(1,($G32=$A$1:$A$172)*($H32=$B$1:$B$172),0),3)</f>
        <v>HCM_NM_N46_L</v>
      </c>
    </row>
    <row r="33" spans="1:12" x14ac:dyDescent="0.2">
      <c r="A33" t="s">
        <v>40</v>
      </c>
      <c r="B33" t="s">
        <v>21</v>
      </c>
      <c r="C33" t="s">
        <v>52</v>
      </c>
      <c r="G33" t="s">
        <v>58</v>
      </c>
      <c r="H33" t="s">
        <v>1</v>
      </c>
      <c r="I33">
        <v>1</v>
      </c>
      <c r="K33">
        <v>6</v>
      </c>
      <c r="L33" t="str">
        <f t="array" ref="L33">INDEX($A$1:$C$172,MATCH(1,($G33=$A$1:$A$172)*($H33=$B$1:$B$172),0),3)</f>
        <v>HCM_NM_TPT_L</v>
      </c>
    </row>
    <row r="34" spans="1:12" x14ac:dyDescent="0.2">
      <c r="A34" t="s">
        <v>42</v>
      </c>
      <c r="B34" t="s">
        <v>21</v>
      </c>
      <c r="C34" t="s">
        <v>53</v>
      </c>
      <c r="G34" t="s">
        <v>60</v>
      </c>
      <c r="H34" t="s">
        <v>1</v>
      </c>
      <c r="I34">
        <v>1</v>
      </c>
      <c r="K34">
        <v>6</v>
      </c>
      <c r="L34" t="str">
        <f t="array" ref="L34">INDEX($A$1:$C$172,MATCH(1,($G34=$A$1:$A$172)*($H34=$B$1:$B$172),0),3)</f>
        <v>HCM_NM_TC18A_L</v>
      </c>
    </row>
    <row r="35" spans="1:12" x14ac:dyDescent="0.2">
      <c r="A35" t="s">
        <v>44</v>
      </c>
      <c r="B35" t="s">
        <v>21</v>
      </c>
      <c r="C35" t="s">
        <v>54</v>
      </c>
      <c r="G35" t="s">
        <v>62</v>
      </c>
      <c r="H35" t="s">
        <v>1</v>
      </c>
      <c r="I35">
        <v>1</v>
      </c>
      <c r="J35">
        <v>1</v>
      </c>
      <c r="K35">
        <v>6</v>
      </c>
      <c r="L35" t="str">
        <f t="array" ref="L35">INDEX($A$1:$C$172,MATCH(1,($G35=$A$1:$A$172)*($H35=$B$1:$B$172),0),3)</f>
        <v>HCM_NM_AH1_L</v>
      </c>
    </row>
    <row r="36" spans="1:12" x14ac:dyDescent="0.2">
      <c r="A36" t="s">
        <v>46</v>
      </c>
      <c r="B36" t="s">
        <v>21</v>
      </c>
      <c r="C36" t="s">
        <v>55</v>
      </c>
      <c r="G36" t="s">
        <v>56</v>
      </c>
      <c r="H36" t="s">
        <v>21</v>
      </c>
      <c r="I36">
        <v>1</v>
      </c>
      <c r="K36">
        <v>6</v>
      </c>
      <c r="L36" t="str">
        <f t="array" ref="L36">INDEX($A$1:$C$172,MATCH(1,($G36=$A$1:$A$172)*($H36=$B$1:$B$172),0),3)</f>
        <v>HCM_NM_N46_X</v>
      </c>
    </row>
    <row r="37" spans="1:12" x14ac:dyDescent="0.2">
      <c r="A37" t="s">
        <v>56</v>
      </c>
      <c r="B37" t="s">
        <v>1</v>
      </c>
      <c r="C37" t="s">
        <v>57</v>
      </c>
      <c r="G37" t="s">
        <v>58</v>
      </c>
      <c r="H37" t="s">
        <v>21</v>
      </c>
      <c r="I37">
        <v>1</v>
      </c>
      <c r="J37">
        <v>1</v>
      </c>
      <c r="K37">
        <v>6</v>
      </c>
      <c r="L37" t="str">
        <f t="array" ref="L37">INDEX($A$1:$C$172,MATCH(1,($G37=$A$1:$A$172)*($H37=$B$1:$B$172),0),3)</f>
        <v>HCM_NM_TPT_X</v>
      </c>
    </row>
    <row r="38" spans="1:12" x14ac:dyDescent="0.2">
      <c r="A38" t="s">
        <v>58</v>
      </c>
      <c r="B38" t="s">
        <v>1</v>
      </c>
      <c r="C38" t="s">
        <v>59</v>
      </c>
      <c r="G38" t="s">
        <v>60</v>
      </c>
      <c r="H38" t="s">
        <v>21</v>
      </c>
      <c r="I38">
        <v>1</v>
      </c>
      <c r="K38">
        <v>6</v>
      </c>
      <c r="L38" t="str">
        <f t="array" ref="L38">INDEX($A$1:$C$172,MATCH(1,($G38=$A$1:$A$172)*($H38=$B$1:$B$172),0),3)</f>
        <v>HCM_NM_TC18A_X</v>
      </c>
    </row>
    <row r="39" spans="1:12" x14ac:dyDescent="0.2">
      <c r="A39" t="s">
        <v>60</v>
      </c>
      <c r="B39" t="s">
        <v>1</v>
      </c>
      <c r="C39" t="s">
        <v>61</v>
      </c>
      <c r="G39" t="s">
        <v>62</v>
      </c>
      <c r="H39" t="s">
        <v>21</v>
      </c>
      <c r="I39">
        <v>1</v>
      </c>
      <c r="K39">
        <v>6</v>
      </c>
      <c r="L39" t="str">
        <f t="array" ref="L39">INDEX($A$1:$C$172,MATCH(1,($G39=$A$1:$A$172)*($H39=$B$1:$B$172),0),3)</f>
        <v>HCM_NM_AH1_X</v>
      </c>
    </row>
    <row r="40" spans="1:12" x14ac:dyDescent="0.2">
      <c r="A40" t="s">
        <v>62</v>
      </c>
      <c r="B40" t="s">
        <v>1</v>
      </c>
      <c r="C40" t="s">
        <v>63</v>
      </c>
      <c r="G40" t="s">
        <v>180</v>
      </c>
      <c r="H40" t="s">
        <v>1</v>
      </c>
      <c r="I40">
        <v>1</v>
      </c>
      <c r="K40">
        <v>7</v>
      </c>
      <c r="L40" t="str">
        <f t="array" ref="L40">INDEX($A$1:$C$172,MATCH(1,($G40=$A$1:$A$172)*($H40=$B$1:$B$172),0),3)</f>
        <v>HCM_NM_CĐA_L</v>
      </c>
    </row>
    <row r="41" spans="1:12" x14ac:dyDescent="0.2">
      <c r="A41" t="s">
        <v>64</v>
      </c>
      <c r="B41" t="s">
        <v>1</v>
      </c>
      <c r="C41" t="s">
        <v>65</v>
      </c>
      <c r="G41" t="s">
        <v>182</v>
      </c>
      <c r="H41" t="s">
        <v>1</v>
      </c>
      <c r="I41">
        <v>1</v>
      </c>
      <c r="K41">
        <v>7</v>
      </c>
      <c r="L41" t="str">
        <f t="array" ref="L41">INDEX($A$1:$C$172,MATCH(1,($G41=$A$1:$A$172)*($H41=$B$1:$B$172),0),3)</f>
        <v>HCM_NM_TrT_L</v>
      </c>
    </row>
    <row r="42" spans="1:12" x14ac:dyDescent="0.2">
      <c r="A42" t="s">
        <v>66</v>
      </c>
      <c r="B42" t="s">
        <v>1</v>
      </c>
      <c r="C42" t="s">
        <v>67</v>
      </c>
      <c r="G42" t="s">
        <v>184</v>
      </c>
      <c r="H42" t="s">
        <v>1</v>
      </c>
      <c r="I42">
        <v>1</v>
      </c>
      <c r="K42">
        <v>7</v>
      </c>
      <c r="L42" t="str">
        <f t="array" ref="L42">INDEX($A$1:$C$172,MATCH(1,($G42=$A$1:$A$172)*($H42=$B$1:$B$172),0),3)</f>
        <v>HCM_NM_NL_L</v>
      </c>
    </row>
    <row r="43" spans="1:12" x14ac:dyDescent="0.2">
      <c r="A43" t="s">
        <v>68</v>
      </c>
      <c r="B43" t="s">
        <v>1</v>
      </c>
      <c r="C43" t="s">
        <v>69</v>
      </c>
      <c r="G43" t="s">
        <v>186</v>
      </c>
      <c r="H43" t="s">
        <v>1</v>
      </c>
      <c r="I43">
        <v>1</v>
      </c>
      <c r="K43">
        <v>7</v>
      </c>
      <c r="L43" t="str">
        <f t="array" ref="L43">INDEX($A$1:$C$172,MATCH(1,($G43=$A$1:$A$172)*($H43=$B$1:$B$172),0),3)</f>
        <v>HCM_NM_LB_L</v>
      </c>
    </row>
    <row r="44" spans="1:12" x14ac:dyDescent="0.2">
      <c r="A44" t="s">
        <v>70</v>
      </c>
      <c r="B44" t="s">
        <v>1</v>
      </c>
      <c r="C44" t="s">
        <v>71</v>
      </c>
      <c r="G44" t="s">
        <v>180</v>
      </c>
      <c r="H44" t="s">
        <v>21</v>
      </c>
      <c r="I44">
        <v>1</v>
      </c>
      <c r="K44">
        <v>7</v>
      </c>
      <c r="L44" t="str">
        <f t="array" ref="L44">INDEX($A$1:$C$172,MATCH(1,($G44=$A$1:$A$172)*($H44=$B$1:$B$172),0),3)</f>
        <v>HCM_NM_CĐA_X</v>
      </c>
    </row>
    <row r="45" spans="1:12" x14ac:dyDescent="0.2">
      <c r="A45" t="s">
        <v>72</v>
      </c>
      <c r="B45" t="s">
        <v>1</v>
      </c>
      <c r="C45" t="s">
        <v>73</v>
      </c>
      <c r="G45" t="s">
        <v>182</v>
      </c>
      <c r="H45" t="s">
        <v>21</v>
      </c>
      <c r="I45">
        <v>1</v>
      </c>
      <c r="K45">
        <v>7</v>
      </c>
      <c r="L45" t="str">
        <f t="array" ref="L45">INDEX($A$1:$C$172,MATCH(1,($G45=$A$1:$A$172)*($H45=$B$1:$B$172),0),3)</f>
        <v>HCM_NM_TrT_X</v>
      </c>
    </row>
    <row r="46" spans="1:12" x14ac:dyDescent="0.2">
      <c r="A46" t="s">
        <v>56</v>
      </c>
      <c r="B46" t="s">
        <v>21</v>
      </c>
      <c r="C46" t="s">
        <v>74</v>
      </c>
      <c r="G46" t="s">
        <v>184</v>
      </c>
      <c r="H46" t="s">
        <v>21</v>
      </c>
      <c r="I46">
        <v>1</v>
      </c>
      <c r="K46">
        <v>7</v>
      </c>
      <c r="L46" t="str">
        <f t="array" ref="L46">INDEX($A$1:$C$172,MATCH(1,($G46=$A$1:$A$172)*($H46=$B$1:$B$172),0),3)</f>
        <v>HCM_NM_NL_X</v>
      </c>
    </row>
    <row r="47" spans="1:12" x14ac:dyDescent="0.2">
      <c r="A47" t="s">
        <v>58</v>
      </c>
      <c r="B47" t="s">
        <v>21</v>
      </c>
      <c r="C47" t="s">
        <v>75</v>
      </c>
      <c r="G47" t="s">
        <v>186</v>
      </c>
      <c r="H47" t="s">
        <v>21</v>
      </c>
      <c r="I47">
        <v>1</v>
      </c>
      <c r="K47">
        <v>7</v>
      </c>
      <c r="L47" t="str">
        <f t="array" ref="L47">INDEX($A$1:$C$172,MATCH(1,($G47=$A$1:$A$172)*($H47=$B$1:$B$172),0),3)</f>
        <v>HCM_NM_LB_X</v>
      </c>
    </row>
    <row r="48" spans="1:12" x14ac:dyDescent="0.2">
      <c r="A48" t="s">
        <v>60</v>
      </c>
      <c r="B48" t="s">
        <v>21</v>
      </c>
      <c r="C48" t="s">
        <v>76</v>
      </c>
      <c r="G48" t="s">
        <v>110</v>
      </c>
      <c r="H48" t="s">
        <v>1</v>
      </c>
      <c r="I48">
        <v>1</v>
      </c>
      <c r="K48">
        <v>8</v>
      </c>
      <c r="L48" t="str">
        <f t="array" ref="L48">INDEX($A$1:$C$172,MATCH(1,($G48=$A$1:$A$172)*($H48=$B$1:$B$172),0),3)</f>
        <v>HCM_NM_PĐ_L</v>
      </c>
    </row>
    <row r="49" spans="1:12" x14ac:dyDescent="0.2">
      <c r="A49" t="s">
        <v>62</v>
      </c>
      <c r="B49" t="s">
        <v>21</v>
      </c>
      <c r="C49" t="s">
        <v>77</v>
      </c>
      <c r="G49" t="s">
        <v>110</v>
      </c>
      <c r="H49" t="s">
        <v>21</v>
      </c>
      <c r="I49">
        <v>1</v>
      </c>
      <c r="K49">
        <v>8</v>
      </c>
      <c r="L49" t="str">
        <f t="array" ref="L49">INDEX($A$1:$C$172,MATCH(1,($G49=$A$1:$A$172)*($H49=$B$1:$B$172),0),3)</f>
        <v>HCM_NM_PĐ_X</v>
      </c>
    </row>
    <row r="50" spans="1:12" x14ac:dyDescent="0.2">
      <c r="A50" t="s">
        <v>64</v>
      </c>
      <c r="B50" t="s">
        <v>21</v>
      </c>
      <c r="C50" t="s">
        <v>78</v>
      </c>
      <c r="G50" t="s">
        <v>104</v>
      </c>
      <c r="H50" t="s">
        <v>1</v>
      </c>
      <c r="I50">
        <v>1</v>
      </c>
      <c r="J50">
        <v>1</v>
      </c>
      <c r="K50">
        <v>8</v>
      </c>
      <c r="L50" t="str">
        <f t="array" ref="L50">INDEX($A$1:$C$172,MATCH(1,($G50=$A$1:$A$172)*($H50=$B$1:$B$172),0),3)</f>
        <v>HCM_NM_HB_L</v>
      </c>
    </row>
    <row r="51" spans="1:12" x14ac:dyDescent="0.2">
      <c r="A51" t="s">
        <v>66</v>
      </c>
      <c r="B51" t="s">
        <v>21</v>
      </c>
      <c r="C51" t="s">
        <v>79</v>
      </c>
      <c r="G51" t="s">
        <v>106</v>
      </c>
      <c r="H51" t="s">
        <v>1</v>
      </c>
      <c r="I51">
        <v>1</v>
      </c>
      <c r="K51">
        <v>8</v>
      </c>
      <c r="L51" t="str">
        <f t="array" ref="L51">INDEX($A$1:$C$172,MATCH(1,($G51=$A$1:$A$172)*($H51=$B$1:$B$172),0),3)</f>
        <v>HCM_NM_OB_L</v>
      </c>
    </row>
    <row r="52" spans="1:12" x14ac:dyDescent="0.2">
      <c r="A52" t="s">
        <v>68</v>
      </c>
      <c r="B52" t="s">
        <v>21</v>
      </c>
      <c r="C52" t="s">
        <v>80</v>
      </c>
      <c r="G52" t="s">
        <v>108</v>
      </c>
      <c r="H52" t="s">
        <v>1</v>
      </c>
      <c r="I52">
        <v>1</v>
      </c>
      <c r="K52">
        <v>8</v>
      </c>
      <c r="L52" t="str">
        <f t="array" ref="L52">INDEX($A$1:$C$172,MATCH(1,($G52=$A$1:$A$172)*($H52=$B$1:$B$172),0),3)</f>
        <v>HCM_NM_RN_L</v>
      </c>
    </row>
    <row r="53" spans="1:12" x14ac:dyDescent="0.2">
      <c r="A53" t="s">
        <v>70</v>
      </c>
      <c r="B53" t="s">
        <v>21</v>
      </c>
      <c r="C53" t="s">
        <v>81</v>
      </c>
      <c r="G53" t="s">
        <v>104</v>
      </c>
      <c r="H53" t="s">
        <v>21</v>
      </c>
      <c r="I53">
        <v>1</v>
      </c>
      <c r="K53">
        <v>8</v>
      </c>
      <c r="L53" t="str">
        <f t="array" ref="L53">INDEX($A$1:$C$172,MATCH(1,($G53=$A$1:$A$172)*($H53=$B$1:$B$172),0),3)</f>
        <v>HCM_NM_HB_X</v>
      </c>
    </row>
    <row r="54" spans="1:12" x14ac:dyDescent="0.2">
      <c r="A54" t="s">
        <v>72</v>
      </c>
      <c r="B54" t="s">
        <v>21</v>
      </c>
      <c r="C54" t="s">
        <v>82</v>
      </c>
      <c r="G54" t="s">
        <v>106</v>
      </c>
      <c r="H54" t="s">
        <v>21</v>
      </c>
      <c r="I54">
        <v>1</v>
      </c>
      <c r="K54">
        <v>8</v>
      </c>
      <c r="L54" t="str">
        <f t="array" ref="L54">INDEX($A$1:$C$172,MATCH(1,($G54=$A$1:$A$172)*($H54=$B$1:$B$172),0),3)</f>
        <v>HCM_NM_OB_X</v>
      </c>
    </row>
    <row r="55" spans="1:12" x14ac:dyDescent="0.2">
      <c r="A55" t="s">
        <v>83</v>
      </c>
      <c r="B55" t="s">
        <v>1</v>
      </c>
      <c r="C55" t="s">
        <v>84</v>
      </c>
      <c r="G55" t="s">
        <v>108</v>
      </c>
      <c r="H55" t="s">
        <v>21</v>
      </c>
      <c r="I55">
        <v>1</v>
      </c>
      <c r="K55">
        <v>8</v>
      </c>
      <c r="L55" t="str">
        <f t="array" ref="L55">INDEX($A$1:$C$172,MATCH(1,($G55=$A$1:$A$172)*($H55=$B$1:$B$172),0),3)</f>
        <v>HCM_NM_RN_X</v>
      </c>
    </row>
    <row r="56" spans="1:12" x14ac:dyDescent="0.2">
      <c r="A56" t="s">
        <v>85</v>
      </c>
      <c r="B56" t="s">
        <v>1</v>
      </c>
      <c r="C56" t="s">
        <v>86</v>
      </c>
      <c r="G56" t="s">
        <v>207</v>
      </c>
      <c r="H56" t="s">
        <v>1</v>
      </c>
      <c r="I56">
        <v>1</v>
      </c>
      <c r="J56">
        <v>1</v>
      </c>
      <c r="K56">
        <v>11</v>
      </c>
      <c r="L56" t="str">
        <f t="array" ref="L56">INDEX($A$1:$C$172,MATCH(1,($G56=$A$1:$A$172)*($H56=$B$1:$B$172),0),3)</f>
        <v>HCM_NM_ĐPNM1_L</v>
      </c>
    </row>
    <row r="57" spans="1:12" x14ac:dyDescent="0.2">
      <c r="A57" t="s">
        <v>87</v>
      </c>
      <c r="B57" t="s">
        <v>1</v>
      </c>
      <c r="C57" t="s">
        <v>88</v>
      </c>
      <c r="G57" t="s">
        <v>209</v>
      </c>
      <c r="H57" t="s">
        <v>1</v>
      </c>
      <c r="I57">
        <v>1</v>
      </c>
      <c r="K57">
        <v>11</v>
      </c>
      <c r="L57" t="str">
        <f t="array" ref="L57">INDEX($A$1:$C$172,MATCH(1,($G57=$A$1:$A$172)*($H57=$B$1:$B$172),0),3)</f>
        <v>HCM_NM_ĐPNM4_L</v>
      </c>
    </row>
    <row r="58" spans="1:12" x14ac:dyDescent="0.2">
      <c r="A58" t="s">
        <v>89</v>
      </c>
      <c r="B58" t="s">
        <v>1</v>
      </c>
      <c r="C58" t="s">
        <v>90</v>
      </c>
      <c r="G58" t="s">
        <v>211</v>
      </c>
      <c r="H58" t="s">
        <v>1</v>
      </c>
      <c r="I58">
        <v>1</v>
      </c>
      <c r="K58">
        <v>11</v>
      </c>
      <c r="L58" t="str">
        <f t="array" ref="L58">INDEX($A$1:$C$172,MATCH(1,($G58=$A$1:$A$172)*($H58=$B$1:$B$172),0),3)</f>
        <v>HCM_NM_ĐPNM5_L</v>
      </c>
    </row>
    <row r="59" spans="1:12" x14ac:dyDescent="0.2">
      <c r="A59" t="s">
        <v>91</v>
      </c>
      <c r="B59" t="s">
        <v>1</v>
      </c>
      <c r="C59" t="s">
        <v>92</v>
      </c>
      <c r="G59" t="s">
        <v>213</v>
      </c>
      <c r="H59" t="s">
        <v>1</v>
      </c>
      <c r="I59">
        <v>1</v>
      </c>
      <c r="K59">
        <v>11</v>
      </c>
      <c r="L59" t="str">
        <f t="array" ref="L59">INDEX($A$1:$C$172,MATCH(1,($G59=$A$1:$A$172)*($H59=$B$1:$B$172),0),3)</f>
        <v>HCM_NM_ĐPNM8_L</v>
      </c>
    </row>
    <row r="60" spans="1:12" x14ac:dyDescent="0.2">
      <c r="A60" t="s">
        <v>93</v>
      </c>
      <c r="B60" t="s">
        <v>1</v>
      </c>
      <c r="C60" t="s">
        <v>94</v>
      </c>
      <c r="G60" t="s">
        <v>207</v>
      </c>
      <c r="H60" t="s">
        <v>21</v>
      </c>
      <c r="I60">
        <v>1</v>
      </c>
      <c r="K60">
        <v>11</v>
      </c>
      <c r="L60" t="str">
        <f t="array" ref="L60">INDEX($A$1:$C$172,MATCH(1,($G60=$A$1:$A$172)*($H60=$B$1:$B$172),0),3)</f>
        <v>HCM_NM_ĐPNM1_X</v>
      </c>
    </row>
    <row r="61" spans="1:12" x14ac:dyDescent="0.2">
      <c r="A61" t="s">
        <v>95</v>
      </c>
      <c r="B61" t="s">
        <v>1</v>
      </c>
      <c r="C61" t="s">
        <v>96</v>
      </c>
      <c r="G61" t="s">
        <v>209</v>
      </c>
      <c r="H61" t="s">
        <v>21</v>
      </c>
      <c r="I61">
        <v>1</v>
      </c>
      <c r="K61">
        <v>11</v>
      </c>
      <c r="L61" t="str">
        <f t="array" ref="L61">INDEX($A$1:$C$172,MATCH(1,($G61=$A$1:$A$172)*($H61=$B$1:$B$172),0),3)</f>
        <v>HCM_NM_ĐPNM4_X</v>
      </c>
    </row>
    <row r="62" spans="1:12" x14ac:dyDescent="0.2">
      <c r="A62" t="s">
        <v>83</v>
      </c>
      <c r="B62" t="s">
        <v>21</v>
      </c>
      <c r="C62" t="s">
        <v>97</v>
      </c>
      <c r="G62" t="s">
        <v>211</v>
      </c>
      <c r="H62" t="s">
        <v>21</v>
      </c>
      <c r="I62">
        <v>1</v>
      </c>
      <c r="K62">
        <v>11</v>
      </c>
      <c r="L62" t="str">
        <f t="array" ref="L62">INDEX($A$1:$C$172,MATCH(1,($G62=$A$1:$A$172)*($H62=$B$1:$B$172),0),3)</f>
        <v>HCM_NM_ĐPNM5_X</v>
      </c>
    </row>
    <row r="63" spans="1:12" x14ac:dyDescent="0.2">
      <c r="A63" t="s">
        <v>85</v>
      </c>
      <c r="B63" t="s">
        <v>21</v>
      </c>
      <c r="C63" t="s">
        <v>98</v>
      </c>
      <c r="G63" t="s">
        <v>213</v>
      </c>
      <c r="H63" t="s">
        <v>21</v>
      </c>
      <c r="I63">
        <v>1</v>
      </c>
      <c r="K63">
        <v>11</v>
      </c>
      <c r="L63" t="str">
        <f t="array" ref="L63">INDEX($A$1:$C$172,MATCH(1,($G63=$A$1:$A$172)*($H63=$B$1:$B$172),0),3)</f>
        <v>HCM_NM_ĐPNM8_X</v>
      </c>
    </row>
    <row r="64" spans="1:12" x14ac:dyDescent="0.2">
      <c r="A64" t="s">
        <v>87</v>
      </c>
      <c r="B64" t="s">
        <v>21</v>
      </c>
      <c r="C64" t="s">
        <v>99</v>
      </c>
      <c r="G64" t="s">
        <v>133</v>
      </c>
      <c r="H64" t="s">
        <v>1</v>
      </c>
      <c r="I64">
        <v>1</v>
      </c>
      <c r="J64">
        <v>1</v>
      </c>
      <c r="K64">
        <v>11</v>
      </c>
      <c r="L64" t="str">
        <f t="array" ref="L64">INDEX($A$1:$C$172,MATCH(1,($G64=$A$1:$A$172)*($H64=$B$1:$B$172),0),3)</f>
        <v>HCM_NM_BLa_L</v>
      </c>
    </row>
    <row r="65" spans="1:12" x14ac:dyDescent="0.2">
      <c r="A65" t="s">
        <v>89</v>
      </c>
      <c r="B65" t="s">
        <v>21</v>
      </c>
      <c r="C65" t="s">
        <v>100</v>
      </c>
      <c r="G65" t="s">
        <v>135</v>
      </c>
      <c r="H65" t="s">
        <v>1</v>
      </c>
      <c r="I65">
        <v>1</v>
      </c>
      <c r="K65">
        <v>11</v>
      </c>
      <c r="L65" t="str">
        <f t="array" ref="L65">INDEX($A$1:$C$172,MATCH(1,($G65=$A$1:$A$172)*($H65=$B$1:$B$172),0),3)</f>
        <v>HCM_NM_LHTK_L</v>
      </c>
    </row>
    <row r="66" spans="1:12" x14ac:dyDescent="0.2">
      <c r="A66" t="s">
        <v>91</v>
      </c>
      <c r="B66" t="s">
        <v>21</v>
      </c>
      <c r="C66" t="s">
        <v>101</v>
      </c>
      <c r="G66" t="s">
        <v>224</v>
      </c>
      <c r="H66" t="s">
        <v>1</v>
      </c>
      <c r="I66">
        <v>1</v>
      </c>
      <c r="K66">
        <v>11</v>
      </c>
      <c r="L66" t="str">
        <f t="array" ref="L66">INDEX($A$1:$C$172,MATCH(1,($G66=$A$1:$A$172)*($H66=$B$1:$B$172),0),3)</f>
        <v>HCM_NM_PX_L</v>
      </c>
    </row>
    <row r="67" spans="1:12" x14ac:dyDescent="0.2">
      <c r="A67" t="s">
        <v>93</v>
      </c>
      <c r="B67" t="s">
        <v>21</v>
      </c>
      <c r="C67" t="s">
        <v>102</v>
      </c>
      <c r="G67" t="s">
        <v>137</v>
      </c>
      <c r="H67" t="s">
        <v>1</v>
      </c>
      <c r="I67">
        <v>1</v>
      </c>
      <c r="K67">
        <v>11</v>
      </c>
      <c r="L67" t="str">
        <f t="array" ref="L67">INDEX($A$1:$C$172,MATCH(1,($G67=$A$1:$A$172)*($H67=$B$1:$B$172),0),3)</f>
        <v>HCM_NM_HPh_L</v>
      </c>
    </row>
    <row r="68" spans="1:12" x14ac:dyDescent="0.2">
      <c r="A68" t="s">
        <v>95</v>
      </c>
      <c r="B68" t="s">
        <v>21</v>
      </c>
      <c r="C68" t="s">
        <v>103</v>
      </c>
      <c r="G68" t="s">
        <v>133</v>
      </c>
      <c r="H68" t="s">
        <v>21</v>
      </c>
      <c r="I68">
        <v>1</v>
      </c>
      <c r="K68">
        <v>11</v>
      </c>
      <c r="L68" t="str">
        <f t="array" ref="L68">INDEX($A$1:$C$172,MATCH(1,($G68=$A$1:$A$172)*($H68=$B$1:$B$172),0),3)</f>
        <v>HCM_NM_BLa_X</v>
      </c>
    </row>
    <row r="69" spans="1:12" x14ac:dyDescent="0.2">
      <c r="A69" t="s">
        <v>104</v>
      </c>
      <c r="B69" t="s">
        <v>1</v>
      </c>
      <c r="C69" t="s">
        <v>105</v>
      </c>
      <c r="G69" t="s">
        <v>135</v>
      </c>
      <c r="H69" t="s">
        <v>21</v>
      </c>
      <c r="I69">
        <v>1</v>
      </c>
      <c r="K69">
        <v>11</v>
      </c>
      <c r="L69" t="str">
        <f t="array" ref="L69">INDEX($A$1:$C$172,MATCH(1,($G69=$A$1:$A$172)*($H69=$B$1:$B$172),0),3)</f>
        <v>HCM_NM_LHTK_X</v>
      </c>
    </row>
    <row r="70" spans="1:12" x14ac:dyDescent="0.2">
      <c r="A70" t="s">
        <v>106</v>
      </c>
      <c r="B70" t="s">
        <v>1</v>
      </c>
      <c r="C70" t="s">
        <v>107</v>
      </c>
      <c r="G70" t="s">
        <v>224</v>
      </c>
      <c r="H70" t="s">
        <v>21</v>
      </c>
      <c r="I70">
        <v>1</v>
      </c>
      <c r="K70">
        <v>11</v>
      </c>
      <c r="L70" t="str">
        <f t="array" ref="L70">INDEX($A$1:$C$172,MATCH(1,($G70=$A$1:$A$172)*($H70=$B$1:$B$172),0),3)</f>
        <v>HCM_NM_PX_X</v>
      </c>
    </row>
    <row r="71" spans="1:12" x14ac:dyDescent="0.2">
      <c r="A71" t="s">
        <v>108</v>
      </c>
      <c r="B71" t="s">
        <v>1</v>
      </c>
      <c r="C71" t="s">
        <v>109</v>
      </c>
      <c r="G71" t="s">
        <v>137</v>
      </c>
      <c r="H71" t="s">
        <v>21</v>
      </c>
      <c r="I71">
        <v>1</v>
      </c>
      <c r="K71">
        <v>11</v>
      </c>
      <c r="L71" t="str">
        <f t="array" ref="L71">INDEX($A$1:$C$172,MATCH(1,($G71=$A$1:$A$172)*($H71=$B$1:$B$172),0),3)</f>
        <v>HCM_NM_HPh_X</v>
      </c>
    </row>
    <row r="72" spans="1:12" x14ac:dyDescent="0.2">
      <c r="A72" t="s">
        <v>110</v>
      </c>
      <c r="B72" t="s">
        <v>1</v>
      </c>
      <c r="C72" t="s">
        <v>111</v>
      </c>
      <c r="G72" t="s">
        <v>0</v>
      </c>
      <c r="H72" t="s">
        <v>1</v>
      </c>
      <c r="I72">
        <v>1</v>
      </c>
      <c r="K72">
        <v>12</v>
      </c>
      <c r="L72" t="str">
        <f t="array" ref="L72">INDEX($A$1:$C$172,MATCH(1,($G72=$A$1:$A$172)*($H72=$B$1:$B$172),0),3)</f>
        <v>HCM_NM_CS1_L</v>
      </c>
    </row>
    <row r="73" spans="1:12" x14ac:dyDescent="0.2">
      <c r="A73" t="s">
        <v>112</v>
      </c>
      <c r="B73" t="s">
        <v>1</v>
      </c>
      <c r="C73" t="s">
        <v>113</v>
      </c>
      <c r="G73" t="s">
        <v>3</v>
      </c>
      <c r="H73" t="s">
        <v>1</v>
      </c>
      <c r="I73">
        <v>1</v>
      </c>
      <c r="K73">
        <v>12</v>
      </c>
      <c r="L73" t="str">
        <f t="array" ref="L73">INDEX($A$1:$C$172,MATCH(1,($G73=$A$1:$A$172)*($H73=$B$1:$B$172),0),3)</f>
        <v>HCM_NM_LVS_L</v>
      </c>
    </row>
    <row r="74" spans="1:12" x14ac:dyDescent="0.2">
      <c r="A74" t="s">
        <v>114</v>
      </c>
      <c r="B74" t="s">
        <v>1</v>
      </c>
      <c r="C74" t="s">
        <v>115</v>
      </c>
      <c r="G74" t="s">
        <v>5</v>
      </c>
      <c r="H74" t="s">
        <v>1</v>
      </c>
      <c r="I74">
        <v>1</v>
      </c>
      <c r="K74">
        <v>12</v>
      </c>
      <c r="L74" t="str">
        <f t="array" ref="L74">INDEX($A$1:$C$172,MATCH(1,($G74=$A$1:$A$172)*($H74=$B$1:$B$172),0),3)</f>
        <v>HCM_NM_HĐ_L</v>
      </c>
    </row>
    <row r="75" spans="1:12" x14ac:dyDescent="0.2">
      <c r="A75" t="s">
        <v>116</v>
      </c>
      <c r="B75" t="s">
        <v>1</v>
      </c>
      <c r="C75" t="s">
        <v>117</v>
      </c>
      <c r="G75" t="s">
        <v>7</v>
      </c>
      <c r="H75" t="s">
        <v>1</v>
      </c>
      <c r="I75">
        <v>1</v>
      </c>
      <c r="K75">
        <v>12</v>
      </c>
      <c r="L75" t="str">
        <f t="array" ref="L75">INDEX($A$1:$C$172,MATCH(1,($G75=$A$1:$A$172)*($H75=$B$1:$B$172),0),3)</f>
        <v>HCM_NM_ĐBP_L</v>
      </c>
    </row>
    <row r="76" spans="1:12" x14ac:dyDescent="0.2">
      <c r="A76" t="s">
        <v>104</v>
      </c>
      <c r="B76" t="s">
        <v>21</v>
      </c>
      <c r="C76" t="s">
        <v>118</v>
      </c>
      <c r="G76" t="s">
        <v>15</v>
      </c>
      <c r="H76" t="s">
        <v>1</v>
      </c>
      <c r="I76">
        <v>1</v>
      </c>
      <c r="K76">
        <v>12</v>
      </c>
      <c r="L76" t="str">
        <f t="array" ref="L76">INDEX($A$1:$C$172,MATCH(1,($G76=$A$1:$A$172)*($H76=$B$1:$B$172),0),3)</f>
        <v>HCM_NM_BHN_L</v>
      </c>
    </row>
    <row r="77" spans="1:12" x14ac:dyDescent="0.2">
      <c r="A77" t="s">
        <v>106</v>
      </c>
      <c r="B77" t="s">
        <v>21</v>
      </c>
      <c r="C77" t="s">
        <v>119</v>
      </c>
      <c r="G77" t="s">
        <v>0</v>
      </c>
      <c r="H77" t="s">
        <v>21</v>
      </c>
      <c r="I77">
        <v>1</v>
      </c>
      <c r="J77">
        <v>2</v>
      </c>
      <c r="K77">
        <v>12</v>
      </c>
      <c r="L77" t="str">
        <f t="array" ref="L77">INDEX($A$1:$C$172,MATCH(1,($G77=$A$1:$A$172)*($H77=$B$1:$B$172),0),3)</f>
        <v>HCM_NM_CS1_X</v>
      </c>
    </row>
    <row r="78" spans="1:12" x14ac:dyDescent="0.2">
      <c r="A78" t="s">
        <v>108</v>
      </c>
      <c r="B78" t="s">
        <v>21</v>
      </c>
      <c r="C78" t="s">
        <v>120</v>
      </c>
      <c r="G78" t="s">
        <v>3</v>
      </c>
      <c r="H78" t="s">
        <v>21</v>
      </c>
      <c r="I78">
        <v>1</v>
      </c>
      <c r="K78">
        <v>12</v>
      </c>
      <c r="L78" t="str">
        <f t="array" ref="L78">INDEX($A$1:$C$172,MATCH(1,($G78=$A$1:$A$172)*($H78=$B$1:$B$172),0),3)</f>
        <v>HCM_NM_LVS_X</v>
      </c>
    </row>
    <row r="79" spans="1:12" x14ac:dyDescent="0.2">
      <c r="A79" t="s">
        <v>110</v>
      </c>
      <c r="B79" t="s">
        <v>21</v>
      </c>
      <c r="C79" t="s">
        <v>121</v>
      </c>
      <c r="G79" t="s">
        <v>5</v>
      </c>
      <c r="H79" t="s">
        <v>21</v>
      </c>
      <c r="I79">
        <v>1</v>
      </c>
      <c r="K79">
        <v>12</v>
      </c>
      <c r="L79" t="str">
        <f t="array" ref="L79">INDEX($A$1:$C$172,MATCH(1,($G79=$A$1:$A$172)*($H79=$B$1:$B$172),0),3)</f>
        <v>HCM_NM_HĐ_X</v>
      </c>
    </row>
    <row r="80" spans="1:12" x14ac:dyDescent="0.2">
      <c r="A80" t="s">
        <v>112</v>
      </c>
      <c r="B80" t="s">
        <v>21</v>
      </c>
      <c r="C80" t="s">
        <v>122</v>
      </c>
      <c r="G80" t="s">
        <v>7</v>
      </c>
      <c r="H80" t="s">
        <v>21</v>
      </c>
      <c r="I80">
        <v>1</v>
      </c>
      <c r="K80">
        <v>12</v>
      </c>
      <c r="L80" t="str">
        <f t="array" ref="L80">INDEX($A$1:$C$172,MATCH(1,($G80=$A$1:$A$172)*($H80=$B$1:$B$172),0),3)</f>
        <v>HCM_NM_ĐBP_X</v>
      </c>
    </row>
    <row r="81" spans="1:12" x14ac:dyDescent="0.2">
      <c r="A81" t="s">
        <v>114</v>
      </c>
      <c r="B81" t="s">
        <v>21</v>
      </c>
      <c r="C81" t="s">
        <v>123</v>
      </c>
      <c r="G81" t="s">
        <v>15</v>
      </c>
      <c r="H81" t="s">
        <v>21</v>
      </c>
      <c r="I81">
        <v>1</v>
      </c>
      <c r="K81">
        <v>12</v>
      </c>
      <c r="L81" t="str">
        <f t="array" ref="L81">INDEX($A$1:$C$172,MATCH(1,($G81=$A$1:$A$172)*($H81=$B$1:$B$172),0),3)</f>
        <v>HCM_NM_BHN_X</v>
      </c>
    </row>
    <row r="82" spans="1:12" x14ac:dyDescent="0.2">
      <c r="A82" t="s">
        <v>116</v>
      </c>
      <c r="B82" t="s">
        <v>21</v>
      </c>
      <c r="C82" t="s">
        <v>124</v>
      </c>
      <c r="G82" t="s">
        <v>11</v>
      </c>
      <c r="H82" t="s">
        <v>1</v>
      </c>
      <c r="I82">
        <v>1</v>
      </c>
      <c r="K82">
        <v>12</v>
      </c>
      <c r="L82" t="str">
        <f t="array" ref="L82">INDEX($A$1:$C$172,MATCH(1,($G82=$A$1:$A$172)*($H82=$B$1:$B$172),0),3)</f>
        <v>HCM_NM_CĐ_L</v>
      </c>
    </row>
    <row r="83" spans="1:12" x14ac:dyDescent="0.2">
      <c r="A83" t="s">
        <v>125</v>
      </c>
      <c r="B83" t="s">
        <v>1</v>
      </c>
      <c r="C83" t="s">
        <v>126</v>
      </c>
      <c r="G83" t="s">
        <v>13</v>
      </c>
      <c r="H83" t="s">
        <v>1</v>
      </c>
      <c r="I83">
        <v>1</v>
      </c>
      <c r="K83">
        <v>12</v>
      </c>
      <c r="L83" t="str">
        <f t="array" ref="L83">INDEX($A$1:$C$172,MATCH(1,($G83=$A$1:$A$172)*($H83=$B$1:$B$172),0),3)</f>
        <v>HCM_NM_TN2_L</v>
      </c>
    </row>
    <row r="84" spans="1:12" x14ac:dyDescent="0.2">
      <c r="A84" t="s">
        <v>127</v>
      </c>
      <c r="B84" t="s">
        <v>1</v>
      </c>
      <c r="C84" t="s">
        <v>128</v>
      </c>
      <c r="G84" t="s">
        <v>9</v>
      </c>
      <c r="H84" t="s">
        <v>1</v>
      </c>
      <c r="I84">
        <v>1</v>
      </c>
      <c r="K84">
        <v>12</v>
      </c>
      <c r="L84" t="str">
        <f t="array" ref="L84">INDEX($A$1:$C$172,MATCH(1,($G84=$A$1:$A$172)*($H84=$B$1:$B$172),0),3)</f>
        <v>HCM_NM_BĐT_L</v>
      </c>
    </row>
    <row r="85" spans="1:12" x14ac:dyDescent="0.2">
      <c r="A85" t="s">
        <v>129</v>
      </c>
      <c r="B85" t="s">
        <v>1</v>
      </c>
      <c r="C85" t="s">
        <v>130</v>
      </c>
      <c r="G85" t="s">
        <v>17</v>
      </c>
      <c r="H85" t="s">
        <v>1</v>
      </c>
      <c r="I85">
        <v>1</v>
      </c>
      <c r="K85">
        <v>12</v>
      </c>
      <c r="L85" t="str">
        <f t="array" ref="L85">INDEX($A$1:$C$172,MATCH(1,($G85=$A$1:$A$172)*($H85=$B$1:$B$172),0),3)</f>
        <v>HCM_NM_RVT_L</v>
      </c>
    </row>
    <row r="86" spans="1:12" x14ac:dyDescent="0.2">
      <c r="A86" t="s">
        <v>131</v>
      </c>
      <c r="B86" t="s">
        <v>1</v>
      </c>
      <c r="C86" t="s">
        <v>132</v>
      </c>
      <c r="G86" t="s">
        <v>19</v>
      </c>
      <c r="H86" t="s">
        <v>1</v>
      </c>
      <c r="I86">
        <v>1</v>
      </c>
      <c r="K86">
        <v>12</v>
      </c>
      <c r="L86" t="str">
        <f t="array" ref="L86">INDEX($A$1:$C$172,MATCH(1,($G86=$A$1:$A$172)*($H86=$B$1:$B$172),0),3)</f>
        <v>HCM_NM_RVT2_L</v>
      </c>
    </row>
    <row r="87" spans="1:12" x14ac:dyDescent="0.2">
      <c r="A87" t="s">
        <v>133</v>
      </c>
      <c r="B87" t="s">
        <v>1</v>
      </c>
      <c r="C87" t="s">
        <v>134</v>
      </c>
      <c r="G87" t="s">
        <v>11</v>
      </c>
      <c r="H87" t="s">
        <v>21</v>
      </c>
      <c r="I87">
        <v>1</v>
      </c>
      <c r="J87">
        <v>1</v>
      </c>
      <c r="K87">
        <v>12</v>
      </c>
      <c r="L87" t="str">
        <f t="array" ref="L87">INDEX($A$1:$C$172,MATCH(1,($G87=$A$1:$A$172)*($H87=$B$1:$B$172),0),3)</f>
        <v>HCM_NM_CĐ_X</v>
      </c>
    </row>
    <row r="88" spans="1:12" x14ac:dyDescent="0.2">
      <c r="A88" t="s">
        <v>135</v>
      </c>
      <c r="B88" t="s">
        <v>1</v>
      </c>
      <c r="C88" t="s">
        <v>136</v>
      </c>
      <c r="G88" t="s">
        <v>13</v>
      </c>
      <c r="H88" t="s">
        <v>21</v>
      </c>
      <c r="I88">
        <v>1</v>
      </c>
      <c r="K88">
        <v>12</v>
      </c>
      <c r="L88" t="str">
        <f t="array" ref="L88">INDEX($A$1:$C$172,MATCH(1,($G88=$A$1:$A$172)*($H88=$B$1:$B$172),0),3)</f>
        <v>HCM_NM_TN2_X</v>
      </c>
    </row>
    <row r="89" spans="1:12" x14ac:dyDescent="0.2">
      <c r="A89" t="s">
        <v>137</v>
      </c>
      <c r="B89" t="s">
        <v>1</v>
      </c>
      <c r="C89" t="s">
        <v>138</v>
      </c>
      <c r="G89" t="s">
        <v>9</v>
      </c>
      <c r="H89" t="s">
        <v>21</v>
      </c>
      <c r="I89">
        <v>1</v>
      </c>
      <c r="K89">
        <v>12</v>
      </c>
      <c r="L89" t="str">
        <f t="array" ref="L89">INDEX($A$1:$C$172,MATCH(1,($G89=$A$1:$A$172)*($H89=$B$1:$B$172),0),3)</f>
        <v>HCM_NM_BĐT_X</v>
      </c>
    </row>
    <row r="90" spans="1:12" x14ac:dyDescent="0.2">
      <c r="A90" t="s">
        <v>125</v>
      </c>
      <c r="B90" t="s">
        <v>21</v>
      </c>
      <c r="C90" t="s">
        <v>139</v>
      </c>
      <c r="G90" t="s">
        <v>17</v>
      </c>
      <c r="H90" t="s">
        <v>21</v>
      </c>
      <c r="I90">
        <v>1</v>
      </c>
      <c r="K90">
        <v>12</v>
      </c>
      <c r="L90" t="str">
        <f t="array" ref="L90">INDEX($A$1:$C$172,MATCH(1,($G90=$A$1:$A$172)*($H90=$B$1:$B$172),0),3)</f>
        <v>HCM_NM_RVT_X</v>
      </c>
    </row>
    <row r="91" spans="1:12" x14ac:dyDescent="0.2">
      <c r="A91" t="s">
        <v>127</v>
      </c>
      <c r="B91" t="s">
        <v>21</v>
      </c>
      <c r="C91" t="s">
        <v>140</v>
      </c>
      <c r="G91" t="s">
        <v>19</v>
      </c>
      <c r="H91" t="s">
        <v>21</v>
      </c>
      <c r="I91">
        <v>1</v>
      </c>
      <c r="K91">
        <v>12</v>
      </c>
      <c r="L91" t="str">
        <f t="array" ref="L91">INDEX($A$1:$C$172,MATCH(1,($G91=$A$1:$A$172)*($H91=$B$1:$B$172),0),3)</f>
        <v>HCM_NM_RVT2_X</v>
      </c>
    </row>
    <row r="92" spans="1:12" x14ac:dyDescent="0.2">
      <c r="A92" t="s">
        <v>129</v>
      </c>
      <c r="B92" t="s">
        <v>21</v>
      </c>
      <c r="C92" t="s">
        <v>141</v>
      </c>
      <c r="G92" t="s">
        <v>64</v>
      </c>
      <c r="H92" t="s">
        <v>1</v>
      </c>
      <c r="I92">
        <v>1</v>
      </c>
      <c r="K92">
        <v>13</v>
      </c>
      <c r="L92" t="str">
        <f t="array" ref="L92">INDEX($A$1:$C$172,MATCH(1,($G92=$A$1:$A$172)*($H92=$B$1:$B$172),0),3)</f>
        <v>HCM_NM_CTL9_L</v>
      </c>
    </row>
    <row r="93" spans="1:12" x14ac:dyDescent="0.2">
      <c r="A93" t="s">
        <v>131</v>
      </c>
      <c r="B93" t="s">
        <v>21</v>
      </c>
      <c r="C93" t="s">
        <v>142</v>
      </c>
      <c r="G93" t="s">
        <v>66</v>
      </c>
      <c r="H93" t="s">
        <v>1</v>
      </c>
      <c r="I93">
        <v>1</v>
      </c>
      <c r="K93">
        <v>13</v>
      </c>
      <c r="L93" t="str">
        <f t="array" ref="L93">INDEX($A$1:$C$172,MATCH(1,($G93=$A$1:$A$172)*($H93=$B$1:$B$172),0),3)</f>
        <v>HCM_NM_XTS_L</v>
      </c>
    </row>
    <row r="94" spans="1:12" x14ac:dyDescent="0.2">
      <c r="A94" t="s">
        <v>133</v>
      </c>
      <c r="B94" t="s">
        <v>21</v>
      </c>
      <c r="C94" t="s">
        <v>143</v>
      </c>
      <c r="G94" t="s">
        <v>68</v>
      </c>
      <c r="H94" t="s">
        <v>1</v>
      </c>
      <c r="I94">
        <v>1</v>
      </c>
      <c r="K94">
        <v>13</v>
      </c>
      <c r="L94" t="str">
        <f t="array" ref="L94">INDEX($A$1:$C$172,MATCH(1,($G94=$A$1:$A$172)*($H94=$B$1:$B$172),0),3)</f>
        <v>HCM_NM_CLo_L</v>
      </c>
    </row>
    <row r="95" spans="1:12" x14ac:dyDescent="0.2">
      <c r="A95" t="s">
        <v>135</v>
      </c>
      <c r="B95" t="s">
        <v>21</v>
      </c>
      <c r="C95" t="s">
        <v>144</v>
      </c>
      <c r="G95" t="s">
        <v>70</v>
      </c>
      <c r="H95" t="s">
        <v>1</v>
      </c>
      <c r="I95">
        <v>1</v>
      </c>
      <c r="K95">
        <v>13</v>
      </c>
      <c r="L95" t="str">
        <f t="array" ref="L95">INDEX($A$1:$C$172,MATCH(1,($G95=$A$1:$A$172)*($H95=$B$1:$B$172),0),3)</f>
        <v>HCM_NM_AH_L</v>
      </c>
    </row>
    <row r="96" spans="1:12" x14ac:dyDescent="0.2">
      <c r="A96" t="s">
        <v>137</v>
      </c>
      <c r="B96" t="s">
        <v>21</v>
      </c>
      <c r="C96" t="s">
        <v>145</v>
      </c>
      <c r="G96" t="s">
        <v>72</v>
      </c>
      <c r="H96" t="s">
        <v>1</v>
      </c>
      <c r="I96">
        <v>1</v>
      </c>
      <c r="K96">
        <v>13</v>
      </c>
      <c r="L96" t="str">
        <f t="array" ref="L96">INDEX($A$1:$C$172,MATCH(1,($G96=$A$1:$A$172)*($H96=$B$1:$B$172),0),3)</f>
        <v>HCM_NM_RR_L</v>
      </c>
    </row>
    <row r="97" spans="1:12" x14ac:dyDescent="0.2">
      <c r="A97" t="s">
        <v>146</v>
      </c>
      <c r="B97" t="s">
        <v>1</v>
      </c>
      <c r="C97" t="s">
        <v>147</v>
      </c>
      <c r="G97" t="s">
        <v>64</v>
      </c>
      <c r="H97" t="s">
        <v>21</v>
      </c>
      <c r="I97">
        <v>1</v>
      </c>
      <c r="K97">
        <v>13</v>
      </c>
      <c r="L97" t="str">
        <f t="array" ref="L97">INDEX($A$1:$C$172,MATCH(1,($G97=$A$1:$A$172)*($H97=$B$1:$B$172),0),3)</f>
        <v>HCM_NM_CTL9_X</v>
      </c>
    </row>
    <row r="98" spans="1:12" x14ac:dyDescent="0.2">
      <c r="A98" t="s">
        <v>148</v>
      </c>
      <c r="B98" t="s">
        <v>1</v>
      </c>
      <c r="C98" t="s">
        <v>149</v>
      </c>
      <c r="G98" t="s">
        <v>66</v>
      </c>
      <c r="H98" t="s">
        <v>21</v>
      </c>
      <c r="I98">
        <v>1</v>
      </c>
      <c r="K98">
        <v>13</v>
      </c>
      <c r="L98" t="str">
        <f t="array" ref="L98">INDEX($A$1:$C$172,MATCH(1,($G98=$A$1:$A$172)*($H98=$B$1:$B$172),0),3)</f>
        <v>HCM_NM_XTS_X</v>
      </c>
    </row>
    <row r="99" spans="1:12" x14ac:dyDescent="0.2">
      <c r="A99" t="s">
        <v>150</v>
      </c>
      <c r="B99" t="s">
        <v>1</v>
      </c>
      <c r="C99" t="s">
        <v>151</v>
      </c>
      <c r="G99" t="s">
        <v>68</v>
      </c>
      <c r="H99" t="s">
        <v>21</v>
      </c>
      <c r="I99">
        <v>1</v>
      </c>
      <c r="K99">
        <v>13</v>
      </c>
      <c r="L99" t="str">
        <f t="array" ref="L99">INDEX($A$1:$C$172,MATCH(1,($G99=$A$1:$A$172)*($H99=$B$1:$B$172),0),3)</f>
        <v>HCM_NM_CLo_X</v>
      </c>
    </row>
    <row r="100" spans="1:12" x14ac:dyDescent="0.2">
      <c r="A100" t="s">
        <v>152</v>
      </c>
      <c r="B100" t="s">
        <v>1</v>
      </c>
      <c r="C100" t="s">
        <v>153</v>
      </c>
      <c r="G100" t="s">
        <v>70</v>
      </c>
      <c r="H100" t="s">
        <v>21</v>
      </c>
      <c r="I100">
        <v>1</v>
      </c>
      <c r="K100">
        <v>13</v>
      </c>
      <c r="L100" t="str">
        <f t="array" ref="L100">INDEX($A$1:$C$172,MATCH(1,($G100=$A$1:$A$172)*($H100=$B$1:$B$172),0),3)</f>
        <v>HCM_NM_AH_X</v>
      </c>
    </row>
    <row r="101" spans="1:12" x14ac:dyDescent="0.2">
      <c r="A101" t="s">
        <v>154</v>
      </c>
      <c r="B101" t="s">
        <v>1</v>
      </c>
      <c r="C101" t="s">
        <v>155</v>
      </c>
      <c r="G101" t="s">
        <v>72</v>
      </c>
      <c r="H101" t="s">
        <v>21</v>
      </c>
      <c r="I101">
        <v>1</v>
      </c>
      <c r="J101">
        <v>1</v>
      </c>
      <c r="K101">
        <v>13</v>
      </c>
      <c r="L101" t="str">
        <f t="array" ref="L101">INDEX($A$1:$C$172,MATCH(1,($G101=$A$1:$A$172)*($H101=$B$1:$B$172),0),3)</f>
        <v>HCM_NM_RR_X</v>
      </c>
    </row>
    <row r="102" spans="1:12" x14ac:dyDescent="0.2">
      <c r="A102" t="s">
        <v>156</v>
      </c>
      <c r="B102" t="s">
        <v>1</v>
      </c>
      <c r="C102" t="s">
        <v>157</v>
      </c>
      <c r="G102" t="s">
        <v>146</v>
      </c>
      <c r="H102" t="s">
        <v>1</v>
      </c>
      <c r="I102">
        <v>1</v>
      </c>
      <c r="J102">
        <v>1</v>
      </c>
      <c r="K102">
        <v>14</v>
      </c>
      <c r="L102" t="str">
        <f t="array" ref="L102">INDEX($A$1:$C$172,MATCH(1,($G102=$A$1:$A$172)*($H102=$B$1:$B$172),0),3)</f>
        <v>HCM_NM_VT_L</v>
      </c>
    </row>
    <row r="103" spans="1:12" x14ac:dyDescent="0.2">
      <c r="A103" t="s">
        <v>158</v>
      </c>
      <c r="B103" t="s">
        <v>1</v>
      </c>
      <c r="C103" t="s">
        <v>159</v>
      </c>
      <c r="G103" t="s">
        <v>148</v>
      </c>
      <c r="H103" t="s">
        <v>1</v>
      </c>
      <c r="I103">
        <v>1</v>
      </c>
      <c r="K103">
        <v>14</v>
      </c>
      <c r="L103" t="str">
        <f t="array" ref="L103">INDEX($A$1:$C$172,MATCH(1,($G103=$A$1:$A$172)*($H103=$B$1:$B$172),0),3)</f>
        <v>HCM_NM_AL_L</v>
      </c>
    </row>
    <row r="104" spans="1:12" x14ac:dyDescent="0.2">
      <c r="A104" t="s">
        <v>160</v>
      </c>
      <c r="B104" t="s">
        <v>1</v>
      </c>
      <c r="C104" t="s">
        <v>161</v>
      </c>
      <c r="G104" t="s">
        <v>150</v>
      </c>
      <c r="H104" t="s">
        <v>1</v>
      </c>
      <c r="I104">
        <v>1</v>
      </c>
      <c r="K104">
        <v>14</v>
      </c>
      <c r="L104" t="str">
        <f t="array" ref="L104">INDEX($A$1:$C$172,MATCH(1,($G104=$A$1:$A$172)*($H104=$B$1:$B$172),0),3)</f>
        <v>HCM_NM_BCa_L</v>
      </c>
    </row>
    <row r="105" spans="1:12" x14ac:dyDescent="0.2">
      <c r="A105" t="s">
        <v>146</v>
      </c>
      <c r="B105" t="s">
        <v>21</v>
      </c>
      <c r="C105" t="s">
        <v>162</v>
      </c>
      <c r="G105" t="s">
        <v>152</v>
      </c>
      <c r="H105" t="s">
        <v>1</v>
      </c>
      <c r="I105">
        <v>1</v>
      </c>
      <c r="K105">
        <v>14</v>
      </c>
      <c r="L105" t="str">
        <f t="array" ref="L105">INDEX($A$1:$C$172,MATCH(1,($G105=$A$1:$A$172)*($H105=$B$1:$B$172),0),3)</f>
        <v>HCM_NM_TĐ_L</v>
      </c>
    </row>
    <row r="106" spans="1:12" x14ac:dyDescent="0.2">
      <c r="A106" t="s">
        <v>148</v>
      </c>
      <c r="B106" t="s">
        <v>21</v>
      </c>
      <c r="C106" t="s">
        <v>163</v>
      </c>
      <c r="G106" t="s">
        <v>146</v>
      </c>
      <c r="H106" t="s">
        <v>21</v>
      </c>
      <c r="I106">
        <v>1</v>
      </c>
      <c r="J106">
        <v>1</v>
      </c>
      <c r="K106">
        <v>14</v>
      </c>
      <c r="L106" t="str">
        <f t="array" ref="L106">INDEX($A$1:$C$172,MATCH(1,($G106=$A$1:$A$172)*($H106=$B$1:$B$172),0),3)</f>
        <v>HCM_NM_VT_X</v>
      </c>
    </row>
    <row r="107" spans="1:12" x14ac:dyDescent="0.2">
      <c r="A107" t="s">
        <v>150</v>
      </c>
      <c r="B107" t="s">
        <v>21</v>
      </c>
      <c r="C107" t="s">
        <v>164</v>
      </c>
      <c r="G107" t="s">
        <v>148</v>
      </c>
      <c r="H107" t="s">
        <v>21</v>
      </c>
      <c r="I107">
        <v>1</v>
      </c>
      <c r="K107">
        <v>14</v>
      </c>
      <c r="L107" t="str">
        <f t="array" ref="L107">INDEX($A$1:$C$172,MATCH(1,($G107=$A$1:$A$172)*($H107=$B$1:$B$172),0),3)</f>
        <v>HCM_NM_AL_X</v>
      </c>
    </row>
    <row r="108" spans="1:12" x14ac:dyDescent="0.2">
      <c r="A108" t="s">
        <v>152</v>
      </c>
      <c r="B108" t="s">
        <v>21</v>
      </c>
      <c r="C108" t="s">
        <v>165</v>
      </c>
      <c r="G108" t="s">
        <v>150</v>
      </c>
      <c r="H108" t="s">
        <v>21</v>
      </c>
      <c r="I108">
        <v>1</v>
      </c>
      <c r="K108">
        <v>14</v>
      </c>
      <c r="L108" t="str">
        <f t="array" ref="L108">INDEX($A$1:$C$172,MATCH(1,($G108=$A$1:$A$172)*($H108=$B$1:$B$172),0),3)</f>
        <v>HCM_NM_BCa_X</v>
      </c>
    </row>
    <row r="109" spans="1:12" x14ac:dyDescent="0.2">
      <c r="A109" t="s">
        <v>154</v>
      </c>
      <c r="B109" t="s">
        <v>21</v>
      </c>
      <c r="C109" t="s">
        <v>166</v>
      </c>
      <c r="G109" t="s">
        <v>152</v>
      </c>
      <c r="H109" t="s">
        <v>21</v>
      </c>
      <c r="I109">
        <v>1</v>
      </c>
      <c r="K109">
        <v>14</v>
      </c>
      <c r="L109" t="str">
        <f t="array" ref="L109">INDEX($A$1:$C$172,MATCH(1,($G109=$A$1:$A$172)*($H109=$B$1:$B$172),0),3)</f>
        <v>HCM_NM_TĐ_X</v>
      </c>
    </row>
    <row r="110" spans="1:12" x14ac:dyDescent="0.2">
      <c r="A110" t="s">
        <v>156</v>
      </c>
      <c r="B110" t="s">
        <v>21</v>
      </c>
      <c r="C110" t="s">
        <v>167</v>
      </c>
      <c r="G110" t="s">
        <v>154</v>
      </c>
      <c r="H110" t="s">
        <v>1</v>
      </c>
      <c r="I110">
        <v>1</v>
      </c>
      <c r="J110">
        <v>1</v>
      </c>
      <c r="K110">
        <v>15</v>
      </c>
      <c r="L110" t="str">
        <f t="array" ref="L110">INDEX($A$1:$C$172,MATCH(1,($G110=$A$1:$A$172)*($H110=$B$1:$B$172),0),3)</f>
        <v>HCM_NM_CC_L</v>
      </c>
    </row>
    <row r="111" spans="1:12" x14ac:dyDescent="0.2">
      <c r="A111" t="s">
        <v>158</v>
      </c>
      <c r="B111" t="s">
        <v>21</v>
      </c>
      <c r="C111" t="s">
        <v>168</v>
      </c>
      <c r="G111" t="s">
        <v>156</v>
      </c>
      <c r="H111" t="s">
        <v>1</v>
      </c>
      <c r="I111">
        <v>1</v>
      </c>
      <c r="K111">
        <v>15</v>
      </c>
      <c r="L111" t="str">
        <f t="array" ref="L111">INDEX($A$1:$C$172,MATCH(1,($G111=$A$1:$A$172)*($H111=$B$1:$B$172),0),3)</f>
        <v>HCM_NM_TL_L</v>
      </c>
    </row>
    <row r="112" spans="1:12" x14ac:dyDescent="0.2">
      <c r="A112" t="s">
        <v>160</v>
      </c>
      <c r="B112" t="s">
        <v>21</v>
      </c>
      <c r="C112" t="s">
        <v>169</v>
      </c>
      <c r="G112" t="s">
        <v>158</v>
      </c>
      <c r="H112" t="s">
        <v>1</v>
      </c>
      <c r="I112">
        <v>1</v>
      </c>
      <c r="K112">
        <v>15</v>
      </c>
      <c r="L112" t="str">
        <f t="array" ref="L112">INDEX($A$1:$C$172,MATCH(1,($G112=$A$1:$A$172)*($H112=$B$1:$B$172),0),3)</f>
        <v>HCM_NM_CB_L</v>
      </c>
    </row>
    <row r="113" spans="1:12" x14ac:dyDescent="0.2">
      <c r="A113" t="s">
        <v>170</v>
      </c>
      <c r="B113" t="s">
        <v>1</v>
      </c>
      <c r="C113" t="s">
        <v>171</v>
      </c>
      <c r="G113" t="s">
        <v>160</v>
      </c>
      <c r="H113" t="s">
        <v>1</v>
      </c>
      <c r="I113">
        <v>1</v>
      </c>
      <c r="J113">
        <v>1</v>
      </c>
      <c r="K113">
        <v>15</v>
      </c>
      <c r="L113" t="str">
        <f t="array" ref="L113">INDEX($A$1:$C$172,MATCH(1,($G113=$A$1:$A$172)*($H113=$B$1:$B$172),0),3)</f>
        <v>HCM_NM_CN1_L</v>
      </c>
    </row>
    <row r="114" spans="1:12" x14ac:dyDescent="0.2">
      <c r="A114" t="s">
        <v>172</v>
      </c>
      <c r="B114" t="s">
        <v>1</v>
      </c>
      <c r="C114" t="s">
        <v>173</v>
      </c>
      <c r="G114" t="s">
        <v>154</v>
      </c>
      <c r="H114" t="s">
        <v>21</v>
      </c>
      <c r="I114">
        <v>1</v>
      </c>
      <c r="K114">
        <v>15</v>
      </c>
      <c r="L114" t="str">
        <f t="array" ref="L114">INDEX($A$1:$C$172,MATCH(1,($G114=$A$1:$A$172)*($H114=$B$1:$B$172),0),3)</f>
        <v>HCM_NM_CC_X</v>
      </c>
    </row>
    <row r="115" spans="1:12" x14ac:dyDescent="0.2">
      <c r="A115" t="s">
        <v>174</v>
      </c>
      <c r="B115" t="s">
        <v>1</v>
      </c>
      <c r="C115" t="s">
        <v>175</v>
      </c>
      <c r="G115" t="s">
        <v>156</v>
      </c>
      <c r="H115" t="s">
        <v>21</v>
      </c>
      <c r="I115">
        <v>1</v>
      </c>
      <c r="K115">
        <v>15</v>
      </c>
      <c r="L115" t="str">
        <f t="array" ref="L115">INDEX($A$1:$C$172,MATCH(1,($G115=$A$1:$A$172)*($H115=$B$1:$B$172),0),3)</f>
        <v>HCM_NM_TL_X</v>
      </c>
    </row>
    <row r="116" spans="1:12" x14ac:dyDescent="0.2">
      <c r="A116" t="s">
        <v>176</v>
      </c>
      <c r="B116" t="s">
        <v>1</v>
      </c>
      <c r="C116" t="s">
        <v>177</v>
      </c>
      <c r="G116" t="s">
        <v>158</v>
      </c>
      <c r="H116" t="s">
        <v>21</v>
      </c>
      <c r="I116">
        <v>1</v>
      </c>
      <c r="K116">
        <v>15</v>
      </c>
      <c r="L116" t="str">
        <f t="array" ref="L116">INDEX($A$1:$C$172,MATCH(1,($G116=$A$1:$A$172)*($H116=$B$1:$B$172),0),3)</f>
        <v>HCM_NM_CB_X</v>
      </c>
    </row>
    <row r="117" spans="1:12" x14ac:dyDescent="0.2">
      <c r="A117" t="s">
        <v>178</v>
      </c>
      <c r="B117" t="s">
        <v>1</v>
      </c>
      <c r="C117" t="s">
        <v>179</v>
      </c>
      <c r="G117" t="s">
        <v>160</v>
      </c>
      <c r="H117" t="s">
        <v>21</v>
      </c>
      <c r="I117">
        <v>1</v>
      </c>
      <c r="K117">
        <v>15</v>
      </c>
      <c r="L117" t="str">
        <f t="array" ref="L117">INDEX($A$1:$C$172,MATCH(1,($G117=$A$1:$A$172)*($H117=$B$1:$B$172),0),3)</f>
        <v>HCM_NM_CN1_X</v>
      </c>
    </row>
    <row r="118" spans="1:12" x14ac:dyDescent="0.2">
      <c r="A118" t="s">
        <v>180</v>
      </c>
      <c r="B118" t="s">
        <v>1</v>
      </c>
      <c r="C118" t="s">
        <v>181</v>
      </c>
      <c r="G118" t="s">
        <v>170</v>
      </c>
      <c r="H118" t="s">
        <v>1</v>
      </c>
      <c r="I118">
        <v>1</v>
      </c>
      <c r="K118">
        <v>19</v>
      </c>
      <c r="L118" t="str">
        <f t="array" ref="L118">INDEX($A$1:$C$172,MATCH(1,($G118=$A$1:$A$172)*($H118=$B$1:$B$172),0),3)</f>
        <v>HCM_NM_GCNM2_L</v>
      </c>
    </row>
    <row r="119" spans="1:12" x14ac:dyDescent="0.2">
      <c r="A119" t="s">
        <v>182</v>
      </c>
      <c r="B119" t="s">
        <v>1</v>
      </c>
      <c r="C119" t="s">
        <v>183</v>
      </c>
      <c r="G119" t="s">
        <v>172</v>
      </c>
      <c r="H119" t="s">
        <v>1</v>
      </c>
      <c r="I119">
        <v>1</v>
      </c>
      <c r="K119">
        <v>19</v>
      </c>
      <c r="L119" t="str">
        <f t="array" ref="L119">INDEX($A$1:$C$172,MATCH(1,($G119=$A$1:$A$172)*($H119=$B$1:$B$172),0),3)</f>
        <v>HCM_NM_GCNM3_L</v>
      </c>
    </row>
    <row r="120" spans="1:12" x14ac:dyDescent="0.2">
      <c r="A120" t="s">
        <v>184</v>
      </c>
      <c r="B120" t="s">
        <v>1</v>
      </c>
      <c r="C120" t="s">
        <v>185</v>
      </c>
      <c r="G120" t="s">
        <v>174</v>
      </c>
      <c r="H120" t="s">
        <v>1</v>
      </c>
      <c r="I120">
        <v>1</v>
      </c>
      <c r="K120">
        <v>19</v>
      </c>
      <c r="L120" t="str">
        <f t="array" ref="L120">INDEX($A$1:$C$172,MATCH(1,($G120=$A$1:$A$172)*($H120=$B$1:$B$172),0),3)</f>
        <v>HCM_NM_BT2_L</v>
      </c>
    </row>
    <row r="121" spans="1:12" x14ac:dyDescent="0.2">
      <c r="A121" t="s">
        <v>186</v>
      </c>
      <c r="B121" t="s">
        <v>1</v>
      </c>
      <c r="C121" t="s">
        <v>187</v>
      </c>
      <c r="G121" t="s">
        <v>176</v>
      </c>
      <c r="H121" t="s">
        <v>1</v>
      </c>
      <c r="I121">
        <v>1</v>
      </c>
      <c r="K121">
        <v>19</v>
      </c>
      <c r="L121" t="str">
        <f t="array" ref="L121">INDEX($A$1:$C$172,MATCH(1,($G121=$A$1:$A$172)*($H121=$B$1:$B$172),0),3)</f>
        <v>HCM_NM_NĐ_L</v>
      </c>
    </row>
    <row r="122" spans="1:12" x14ac:dyDescent="0.2">
      <c r="A122" t="s">
        <v>170</v>
      </c>
      <c r="B122" t="s">
        <v>21</v>
      </c>
      <c r="C122" t="s">
        <v>188</v>
      </c>
      <c r="G122" t="s">
        <v>178</v>
      </c>
      <c r="H122" t="s">
        <v>1</v>
      </c>
      <c r="I122">
        <v>1</v>
      </c>
      <c r="K122">
        <v>19</v>
      </c>
      <c r="L122" t="str">
        <f t="array" ref="L122">INDEX($A$1:$C$172,MATCH(1,($G122=$A$1:$A$172)*($H122=$B$1:$B$172),0),3)</f>
        <v>HCM_NM_CSC_L</v>
      </c>
    </row>
    <row r="123" spans="1:12" x14ac:dyDescent="0.2">
      <c r="A123" t="s">
        <v>172</v>
      </c>
      <c r="B123" t="s">
        <v>21</v>
      </c>
      <c r="C123" t="s">
        <v>189</v>
      </c>
      <c r="G123" t="s">
        <v>170</v>
      </c>
      <c r="H123" t="s">
        <v>21</v>
      </c>
      <c r="I123">
        <v>1</v>
      </c>
      <c r="K123">
        <v>19</v>
      </c>
      <c r="L123" t="str">
        <f t="array" ref="L123">INDEX($A$1:$C$172,MATCH(1,($G123=$A$1:$A$172)*($H123=$B$1:$B$172),0),3)</f>
        <v>HCM_NM_GCNM2_X</v>
      </c>
    </row>
    <row r="124" spans="1:12" x14ac:dyDescent="0.2">
      <c r="A124" t="s">
        <v>174</v>
      </c>
      <c r="B124" t="s">
        <v>21</v>
      </c>
      <c r="C124" t="s">
        <v>190</v>
      </c>
      <c r="G124" t="s">
        <v>172</v>
      </c>
      <c r="H124" t="s">
        <v>21</v>
      </c>
      <c r="I124">
        <v>1</v>
      </c>
      <c r="K124">
        <v>19</v>
      </c>
      <c r="L124" t="str">
        <f t="array" ref="L124">INDEX($A$1:$C$172,MATCH(1,($G124=$A$1:$A$172)*($H124=$B$1:$B$172),0),3)</f>
        <v>HCM_NM_GCNM3_X</v>
      </c>
    </row>
    <row r="125" spans="1:12" x14ac:dyDescent="0.2">
      <c r="A125" t="s">
        <v>176</v>
      </c>
      <c r="B125" t="s">
        <v>21</v>
      </c>
      <c r="C125" t="s">
        <v>191</v>
      </c>
      <c r="G125" t="s">
        <v>174</v>
      </c>
      <c r="H125" t="s">
        <v>21</v>
      </c>
      <c r="I125">
        <v>1</v>
      </c>
      <c r="K125">
        <v>19</v>
      </c>
      <c r="L125" t="str">
        <f t="array" ref="L125">INDEX($A$1:$C$172,MATCH(1,($G125=$A$1:$A$172)*($H125=$B$1:$B$172),0),3)</f>
        <v>HCM_NM_BT2_X</v>
      </c>
    </row>
    <row r="126" spans="1:12" x14ac:dyDescent="0.2">
      <c r="A126" t="s">
        <v>178</v>
      </c>
      <c r="B126" t="s">
        <v>21</v>
      </c>
      <c r="C126" t="s">
        <v>192</v>
      </c>
      <c r="G126" t="s">
        <v>176</v>
      </c>
      <c r="H126" t="s">
        <v>21</v>
      </c>
      <c r="I126">
        <v>1</v>
      </c>
      <c r="K126">
        <v>19</v>
      </c>
      <c r="L126" t="str">
        <f t="array" ref="L126">INDEX($A$1:$C$172,MATCH(1,($G126=$A$1:$A$172)*($H126=$B$1:$B$172),0),3)</f>
        <v>HCM_NM_NĐ_X</v>
      </c>
    </row>
    <row r="127" spans="1:12" x14ac:dyDescent="0.2">
      <c r="A127" t="s">
        <v>180</v>
      </c>
      <c r="B127" t="s">
        <v>21</v>
      </c>
      <c r="C127" t="s">
        <v>193</v>
      </c>
      <c r="G127" t="s">
        <v>178</v>
      </c>
      <c r="H127" t="s">
        <v>21</v>
      </c>
      <c r="I127">
        <v>1</v>
      </c>
      <c r="K127">
        <v>19</v>
      </c>
      <c r="L127" t="str">
        <f t="array" ref="L127">INDEX($A$1:$C$172,MATCH(1,($G127=$A$1:$A$172)*($H127=$B$1:$B$172),0),3)</f>
        <v>HCM_NM_CSC_X</v>
      </c>
    </row>
    <row r="128" spans="1:12" x14ac:dyDescent="0.2">
      <c r="A128" t="s">
        <v>182</v>
      </c>
      <c r="B128" t="s">
        <v>21</v>
      </c>
      <c r="C128" t="s">
        <v>194</v>
      </c>
      <c r="G128" t="s">
        <v>197</v>
      </c>
      <c r="H128" t="s">
        <v>1</v>
      </c>
      <c r="I128">
        <v>1</v>
      </c>
      <c r="K128">
        <v>20</v>
      </c>
      <c r="L128" t="str">
        <f t="array" ref="L128">INDEX($A$1:$C$172,MATCH(1,($G128=$A$1:$A$172)*($H128=$B$1:$B$172),0),3)</f>
        <v>HCM_NM_CBT_L</v>
      </c>
    </row>
    <row r="129" spans="1:12" x14ac:dyDescent="0.2">
      <c r="A129" t="s">
        <v>184</v>
      </c>
      <c r="B129" t="s">
        <v>21</v>
      </c>
      <c r="C129" t="s">
        <v>195</v>
      </c>
      <c r="G129" t="s">
        <v>199</v>
      </c>
      <c r="H129" t="s">
        <v>1</v>
      </c>
      <c r="I129">
        <v>1</v>
      </c>
      <c r="K129">
        <v>20</v>
      </c>
      <c r="L129" t="str">
        <f t="array" ref="L129">INDEX($A$1:$C$172,MATCH(1,($G129=$A$1:$A$172)*($H129=$B$1:$B$172),0),3)</f>
        <v>HCM_NM_TTa_L</v>
      </c>
    </row>
    <row r="130" spans="1:12" x14ac:dyDescent="0.2">
      <c r="A130" t="s">
        <v>186</v>
      </c>
      <c r="B130" t="s">
        <v>21</v>
      </c>
      <c r="C130" t="s">
        <v>196</v>
      </c>
      <c r="G130" t="s">
        <v>201</v>
      </c>
      <c r="H130" t="s">
        <v>1</v>
      </c>
      <c r="I130">
        <v>1</v>
      </c>
      <c r="K130">
        <v>20</v>
      </c>
      <c r="L130" t="str">
        <f t="array" ref="L130">INDEX($A$1:$C$172,MATCH(1,($G130=$A$1:$A$172)*($H130=$B$1:$B$172),0),3)</f>
        <v>HCM_NM_KC_L</v>
      </c>
    </row>
    <row r="131" spans="1:12" x14ac:dyDescent="0.2">
      <c r="A131" t="s">
        <v>197</v>
      </c>
      <c r="B131" t="s">
        <v>1</v>
      </c>
      <c r="C131" t="s">
        <v>198</v>
      </c>
      <c r="G131" t="s">
        <v>203</v>
      </c>
      <c r="H131" t="s">
        <v>1</v>
      </c>
      <c r="I131">
        <v>1</v>
      </c>
      <c r="K131">
        <v>20</v>
      </c>
      <c r="L131" t="str">
        <f t="array" ref="L131">INDEX($A$1:$C$172,MATCH(1,($G131=$A$1:$A$172)*($H131=$B$1:$B$172),0),3)</f>
        <v>HCM_NM_KC6_L</v>
      </c>
    </row>
    <row r="132" spans="1:12" x14ac:dyDescent="0.2">
      <c r="A132" t="s">
        <v>199</v>
      </c>
      <c r="B132" t="s">
        <v>1</v>
      </c>
      <c r="C132" t="s">
        <v>200</v>
      </c>
      <c r="G132" t="s">
        <v>205</v>
      </c>
      <c r="H132" t="s">
        <v>1</v>
      </c>
      <c r="I132">
        <v>1</v>
      </c>
      <c r="J132">
        <v>1</v>
      </c>
      <c r="K132">
        <v>20</v>
      </c>
      <c r="L132" t="str">
        <f t="array" ref="L132">INDEX($A$1:$C$172,MATCH(1,($G132=$A$1:$A$172)*($H132=$B$1:$B$172),0),3)</f>
        <v>HCM_NM_KC8_L</v>
      </c>
    </row>
    <row r="133" spans="1:12" x14ac:dyDescent="0.2">
      <c r="A133" t="s">
        <v>201</v>
      </c>
      <c r="B133" t="s">
        <v>1</v>
      </c>
      <c r="C133" t="s">
        <v>202</v>
      </c>
      <c r="G133" t="s">
        <v>197</v>
      </c>
      <c r="H133" t="s">
        <v>21</v>
      </c>
      <c r="I133">
        <v>1</v>
      </c>
      <c r="K133">
        <v>20</v>
      </c>
      <c r="L133" t="str">
        <f t="array" ref="L133">INDEX($A$1:$C$172,MATCH(1,($G133=$A$1:$A$172)*($H133=$B$1:$B$172),0),3)</f>
        <v>HCM_NM_CBT_X</v>
      </c>
    </row>
    <row r="134" spans="1:12" x14ac:dyDescent="0.2">
      <c r="A134" t="s">
        <v>203</v>
      </c>
      <c r="B134" t="s">
        <v>1</v>
      </c>
      <c r="C134" t="s">
        <v>204</v>
      </c>
      <c r="G134" t="s">
        <v>199</v>
      </c>
      <c r="H134" t="s">
        <v>21</v>
      </c>
      <c r="I134">
        <v>1</v>
      </c>
      <c r="K134">
        <v>20</v>
      </c>
      <c r="L134" t="str">
        <f t="array" ref="L134">INDEX($A$1:$C$172,MATCH(1,($G134=$A$1:$A$172)*($H134=$B$1:$B$172),0),3)</f>
        <v>HCM_NM_TTa_X</v>
      </c>
    </row>
    <row r="135" spans="1:12" x14ac:dyDescent="0.2">
      <c r="A135" t="s">
        <v>205</v>
      </c>
      <c r="B135" t="s">
        <v>1</v>
      </c>
      <c r="C135" t="s">
        <v>206</v>
      </c>
      <c r="G135" t="s">
        <v>201</v>
      </c>
      <c r="H135" t="s">
        <v>21</v>
      </c>
      <c r="I135">
        <v>1</v>
      </c>
      <c r="K135">
        <v>20</v>
      </c>
      <c r="L135" t="str">
        <f t="array" ref="L135">INDEX($A$1:$C$172,MATCH(1,($G135=$A$1:$A$172)*($H135=$B$1:$B$172),0),3)</f>
        <v>HCM_NM_KC_X</v>
      </c>
    </row>
    <row r="136" spans="1:12" x14ac:dyDescent="0.2">
      <c r="A136" t="s">
        <v>207</v>
      </c>
      <c r="B136" t="s">
        <v>1</v>
      </c>
      <c r="C136" t="s">
        <v>208</v>
      </c>
      <c r="G136" t="s">
        <v>203</v>
      </c>
      <c r="H136" t="s">
        <v>21</v>
      </c>
      <c r="I136">
        <v>1</v>
      </c>
      <c r="K136">
        <v>20</v>
      </c>
      <c r="L136" t="str">
        <f t="array" ref="L136">INDEX($A$1:$C$172,MATCH(1,($G136=$A$1:$A$172)*($H136=$B$1:$B$172),0),3)</f>
        <v>HCM_NM_KC6_X</v>
      </c>
    </row>
    <row r="137" spans="1:12" x14ac:dyDescent="0.2">
      <c r="A137" t="s">
        <v>209</v>
      </c>
      <c r="B137" t="s">
        <v>1</v>
      </c>
      <c r="C137" t="s">
        <v>210</v>
      </c>
      <c r="G137" t="s">
        <v>205</v>
      </c>
      <c r="H137" t="s">
        <v>21</v>
      </c>
      <c r="I137">
        <v>1</v>
      </c>
      <c r="K137">
        <v>20</v>
      </c>
      <c r="L137" t="str">
        <f t="array" ref="L137">INDEX($A$1:$C$172,MATCH(1,($G137=$A$1:$A$172)*($H137=$B$1:$B$172),0),3)</f>
        <v>HCM_NM_KC8_X</v>
      </c>
    </row>
    <row r="138" spans="1:12" x14ac:dyDescent="0.2">
      <c r="A138" t="s">
        <v>211</v>
      </c>
      <c r="B138" t="s">
        <v>1</v>
      </c>
      <c r="C138" t="s">
        <v>212</v>
      </c>
      <c r="G138" t="s">
        <v>125</v>
      </c>
      <c r="H138" t="s">
        <v>1</v>
      </c>
      <c r="I138">
        <v>1</v>
      </c>
      <c r="K138">
        <v>21</v>
      </c>
      <c r="L138" t="str">
        <f t="array" ref="L138">INDEX($A$1:$C$172,MATCH(1,($G138=$A$1:$A$172)*($H138=$B$1:$B$172),0),3)</f>
        <v>HCM_NM_CRN_L</v>
      </c>
    </row>
    <row r="139" spans="1:12" x14ac:dyDescent="0.2">
      <c r="A139" t="s">
        <v>213</v>
      </c>
      <c r="B139" t="s">
        <v>1</v>
      </c>
      <c r="C139" t="s">
        <v>214</v>
      </c>
      <c r="G139" t="s">
        <v>127</v>
      </c>
      <c r="H139" t="s">
        <v>1</v>
      </c>
      <c r="I139">
        <v>1</v>
      </c>
      <c r="K139">
        <v>21</v>
      </c>
      <c r="L139" t="str">
        <f t="array" ref="L139">INDEX($A$1:$C$172,MATCH(1,($G139=$A$1:$A$172)*($H139=$B$1:$B$172),0),3)</f>
        <v>HCM_NM_XC_L</v>
      </c>
    </row>
    <row r="140" spans="1:12" x14ac:dyDescent="0.2">
      <c r="A140" t="s">
        <v>197</v>
      </c>
      <c r="B140" t="s">
        <v>21</v>
      </c>
      <c r="C140" t="s">
        <v>215</v>
      </c>
      <c r="G140" t="s">
        <v>129</v>
      </c>
      <c r="H140" t="s">
        <v>1</v>
      </c>
      <c r="I140">
        <v>1</v>
      </c>
      <c r="K140">
        <v>21</v>
      </c>
      <c r="L140" t="str">
        <f t="array" ref="L140">INDEX($A$1:$C$172,MATCH(1,($G140=$A$1:$A$172)*($H140=$B$1:$B$172),0),3)</f>
        <v>HCM_NM_OL_L</v>
      </c>
    </row>
    <row r="141" spans="1:12" x14ac:dyDescent="0.2">
      <c r="A141" t="s">
        <v>199</v>
      </c>
      <c r="B141" t="s">
        <v>21</v>
      </c>
      <c r="C141" t="s">
        <v>216</v>
      </c>
      <c r="G141" t="s">
        <v>131</v>
      </c>
      <c r="H141" t="s">
        <v>1</v>
      </c>
      <c r="I141">
        <v>1</v>
      </c>
      <c r="K141">
        <v>21</v>
      </c>
      <c r="L141" t="str">
        <f t="array" ref="L141">INDEX($A$1:$C$172,MATCH(1,($G141=$A$1:$A$172)*($H141=$B$1:$B$172),0),3)</f>
        <v>HCM_NM_CG_L</v>
      </c>
    </row>
    <row r="142" spans="1:12" x14ac:dyDescent="0.2">
      <c r="A142" t="s">
        <v>201</v>
      </c>
      <c r="B142" t="s">
        <v>21</v>
      </c>
      <c r="C142" t="s">
        <v>217</v>
      </c>
      <c r="G142" t="s">
        <v>125</v>
      </c>
      <c r="H142" t="s">
        <v>21</v>
      </c>
      <c r="I142">
        <v>1</v>
      </c>
      <c r="J142">
        <v>1</v>
      </c>
      <c r="K142">
        <v>21</v>
      </c>
      <c r="L142" t="str">
        <f t="array" ref="L142">INDEX($A$1:$C$172,MATCH(1,($G142=$A$1:$A$172)*($H142=$B$1:$B$172),0),3)</f>
        <v>HCM_NM_CRN_X</v>
      </c>
    </row>
    <row r="143" spans="1:12" x14ac:dyDescent="0.2">
      <c r="A143" t="s">
        <v>203</v>
      </c>
      <c r="B143" t="s">
        <v>21</v>
      </c>
      <c r="C143" t="s">
        <v>218</v>
      </c>
      <c r="G143" t="s">
        <v>127</v>
      </c>
      <c r="H143" t="s">
        <v>21</v>
      </c>
      <c r="I143">
        <v>1</v>
      </c>
      <c r="K143">
        <v>21</v>
      </c>
      <c r="L143" t="str">
        <f t="array" ref="L143">INDEX($A$1:$C$172,MATCH(1,($G143=$A$1:$A$172)*($H143=$B$1:$B$172),0),3)</f>
        <v>HCM_NM_XC_X</v>
      </c>
    </row>
    <row r="144" spans="1:12" x14ac:dyDescent="0.2">
      <c r="A144" t="s">
        <v>205</v>
      </c>
      <c r="B144" t="s">
        <v>21</v>
      </c>
      <c r="C144" t="s">
        <v>219</v>
      </c>
      <c r="G144" t="s">
        <v>129</v>
      </c>
      <c r="H144" t="s">
        <v>21</v>
      </c>
      <c r="I144">
        <v>1</v>
      </c>
      <c r="K144">
        <v>21</v>
      </c>
      <c r="L144" t="str">
        <f t="array" ref="L144">INDEX($A$1:$C$172,MATCH(1,($G144=$A$1:$A$172)*($H144=$B$1:$B$172),0),3)</f>
        <v>HCM_NM_OL_X</v>
      </c>
    </row>
    <row r="145" spans="1:12" x14ac:dyDescent="0.2">
      <c r="A145" t="s">
        <v>207</v>
      </c>
      <c r="B145" t="s">
        <v>21</v>
      </c>
      <c r="C145" t="s">
        <v>220</v>
      </c>
      <c r="G145" t="s">
        <v>131</v>
      </c>
      <c r="H145" t="s">
        <v>21</v>
      </c>
      <c r="I145">
        <v>1</v>
      </c>
      <c r="K145">
        <v>21</v>
      </c>
      <c r="L145" t="str">
        <f t="array" ref="L145">INDEX($A$1:$C$172,MATCH(1,($G145=$A$1:$A$172)*($H145=$B$1:$B$172),0),3)</f>
        <v>HCM_NM_CG_X</v>
      </c>
    </row>
    <row r="146" spans="1:12" x14ac:dyDescent="0.2">
      <c r="A146" t="s">
        <v>209</v>
      </c>
      <c r="B146" t="s">
        <v>21</v>
      </c>
      <c r="C146" t="s">
        <v>221</v>
      </c>
      <c r="G146" t="s">
        <v>207</v>
      </c>
      <c r="H146" t="s">
        <v>1</v>
      </c>
      <c r="I146">
        <v>1</v>
      </c>
      <c r="K146">
        <v>22</v>
      </c>
      <c r="L146" t="str">
        <f t="array" ref="L146">INDEX($A$1:$C$172,MATCH(1,($G146=$A$1:$A$172)*($H146=$B$1:$B$172),0),3)</f>
        <v>HCM_NM_ĐPNM1_L</v>
      </c>
    </row>
    <row r="147" spans="1:12" x14ac:dyDescent="0.2">
      <c r="A147" t="s">
        <v>211</v>
      </c>
      <c r="B147" t="s">
        <v>21</v>
      </c>
      <c r="C147" t="s">
        <v>222</v>
      </c>
      <c r="G147" t="s">
        <v>209</v>
      </c>
      <c r="H147" t="s">
        <v>1</v>
      </c>
      <c r="I147">
        <v>1</v>
      </c>
      <c r="K147">
        <v>22</v>
      </c>
      <c r="L147" t="str">
        <f t="array" ref="L147">INDEX($A$1:$C$172,MATCH(1,($G147=$A$1:$A$172)*($H147=$B$1:$B$172),0),3)</f>
        <v>HCM_NM_ĐPNM4_L</v>
      </c>
    </row>
    <row r="148" spans="1:12" x14ac:dyDescent="0.2">
      <c r="A148" t="s">
        <v>213</v>
      </c>
      <c r="B148" t="s">
        <v>21</v>
      </c>
      <c r="C148" t="s">
        <v>223</v>
      </c>
      <c r="G148" t="s">
        <v>211</v>
      </c>
      <c r="H148" t="s">
        <v>1</v>
      </c>
      <c r="I148">
        <v>1</v>
      </c>
      <c r="K148">
        <v>22</v>
      </c>
      <c r="L148" t="str">
        <f t="array" ref="L148">INDEX($A$1:$C$172,MATCH(1,($G148=$A$1:$A$172)*($H148=$B$1:$B$172),0),3)</f>
        <v>HCM_NM_ĐPNM5_L</v>
      </c>
    </row>
    <row r="149" spans="1:12" x14ac:dyDescent="0.2">
      <c r="A149" t="s">
        <v>224</v>
      </c>
      <c r="B149" t="s">
        <v>1</v>
      </c>
      <c r="C149" t="s">
        <v>225</v>
      </c>
      <c r="G149" t="s">
        <v>213</v>
      </c>
      <c r="H149" t="s">
        <v>1</v>
      </c>
      <c r="I149">
        <v>1</v>
      </c>
      <c r="K149">
        <v>22</v>
      </c>
      <c r="L149" t="str">
        <f t="array" ref="L149">INDEX($A$1:$C$172,MATCH(1,($G149=$A$1:$A$172)*($H149=$B$1:$B$172),0),3)</f>
        <v>HCM_NM_ĐPNM8_L</v>
      </c>
    </row>
    <row r="150" spans="1:12" x14ac:dyDescent="0.2">
      <c r="A150" t="s">
        <v>224</v>
      </c>
      <c r="B150" t="s">
        <v>21</v>
      </c>
      <c r="C150" t="s">
        <v>226</v>
      </c>
      <c r="G150" t="s">
        <v>207</v>
      </c>
      <c r="H150" t="s">
        <v>21</v>
      </c>
      <c r="I150">
        <v>1</v>
      </c>
      <c r="K150">
        <v>22</v>
      </c>
      <c r="L150" t="str">
        <f t="array" ref="L150">INDEX($A$1:$C$172,MATCH(1,($G150=$A$1:$A$172)*($H150=$B$1:$B$172),0),3)</f>
        <v>HCM_NM_ĐPNM1_X</v>
      </c>
    </row>
    <row r="151" spans="1:12" x14ac:dyDescent="0.2">
      <c r="A151" t="s">
        <v>227</v>
      </c>
      <c r="B151" t="s">
        <v>1</v>
      </c>
      <c r="C151" t="s">
        <v>228</v>
      </c>
      <c r="G151" t="s">
        <v>209</v>
      </c>
      <c r="H151" t="s">
        <v>21</v>
      </c>
      <c r="I151">
        <v>1</v>
      </c>
      <c r="K151">
        <v>22</v>
      </c>
      <c r="L151" t="str">
        <f t="array" ref="L151">INDEX($A$1:$C$172,MATCH(1,($G151=$A$1:$A$172)*($H151=$B$1:$B$172),0),3)</f>
        <v>HCM_NM_ĐPNM4_X</v>
      </c>
    </row>
    <row r="152" spans="1:12" x14ac:dyDescent="0.2">
      <c r="A152" t="s">
        <v>227</v>
      </c>
      <c r="B152" t="s">
        <v>21</v>
      </c>
      <c r="C152" t="s">
        <v>229</v>
      </c>
      <c r="G152" t="s">
        <v>211</v>
      </c>
      <c r="H152" t="s">
        <v>21</v>
      </c>
      <c r="I152">
        <v>1</v>
      </c>
      <c r="K152">
        <v>22</v>
      </c>
      <c r="L152" t="str">
        <f t="array" ref="L152">INDEX($A$1:$C$172,MATCH(1,($G152=$A$1:$A$172)*($H152=$B$1:$B$172),0),3)</f>
        <v>HCM_NM_ĐPNM5_X</v>
      </c>
    </row>
    <row r="153" spans="1:12" x14ac:dyDescent="0.2">
      <c r="A153" t="s">
        <v>32</v>
      </c>
      <c r="B153" t="s">
        <v>1</v>
      </c>
      <c r="C153" t="s">
        <v>33</v>
      </c>
      <c r="G153" t="s">
        <v>213</v>
      </c>
      <c r="H153" t="s">
        <v>21</v>
      </c>
      <c r="I153">
        <v>1</v>
      </c>
      <c r="K153">
        <v>22</v>
      </c>
      <c r="L153" t="str">
        <f t="array" ref="L153">INDEX($A$1:$C$172,MATCH(1,($G153=$A$1:$A$172)*($H153=$B$1:$B$172),0),3)</f>
        <v>HCM_NM_ĐPNM8_X</v>
      </c>
    </row>
    <row r="154" spans="1:12" x14ac:dyDescent="0.2">
      <c r="A154" t="s">
        <v>34</v>
      </c>
      <c r="B154" t="s">
        <v>1</v>
      </c>
      <c r="C154" t="s">
        <v>35</v>
      </c>
      <c r="G154" t="s">
        <v>227</v>
      </c>
      <c r="H154" t="s">
        <v>1</v>
      </c>
      <c r="I154">
        <v>1</v>
      </c>
      <c r="K154">
        <v>26</v>
      </c>
      <c r="L154" t="str">
        <f t="array" ref="L154">INDEX($A$1:$C$172,MATCH(1,($G154=$A$1:$A$172)*($H154=$B$1:$B$172),0),3)</f>
        <v>HCM_NM_CGC_L</v>
      </c>
    </row>
    <row r="155" spans="1:12" x14ac:dyDescent="0.2">
      <c r="A155" t="s">
        <v>38</v>
      </c>
      <c r="B155" t="s">
        <v>1</v>
      </c>
      <c r="C155" t="s">
        <v>39</v>
      </c>
      <c r="G155" t="s">
        <v>227</v>
      </c>
      <c r="H155" t="s">
        <v>21</v>
      </c>
      <c r="I155">
        <v>1</v>
      </c>
      <c r="K155">
        <v>26</v>
      </c>
      <c r="L155" t="str">
        <f t="array" ref="L155">INDEX($A$1:$C$172,MATCH(1,($G155=$A$1:$A$172)*($H155=$B$1:$B$172),0),3)</f>
        <v>HCM_NM_CGC_X</v>
      </c>
    </row>
    <row r="156" spans="1:12" x14ac:dyDescent="0.2">
      <c r="A156" t="s">
        <v>40</v>
      </c>
      <c r="B156" t="s">
        <v>1</v>
      </c>
      <c r="C156" t="s">
        <v>41</v>
      </c>
      <c r="G156" t="s">
        <v>112</v>
      </c>
      <c r="H156" t="s">
        <v>1</v>
      </c>
      <c r="I156">
        <v>1</v>
      </c>
      <c r="K156">
        <v>27</v>
      </c>
      <c r="L156" t="str">
        <f t="array" ref="L156">INDEX($A$1:$C$172,MATCH(1,($G156=$A$1:$A$172)*($H156=$B$1:$B$172),0),3)</f>
        <v>HCM_NM_HNL_L</v>
      </c>
    </row>
    <row r="157" spans="1:12" x14ac:dyDescent="0.2">
      <c r="A157" t="s">
        <v>42</v>
      </c>
      <c r="B157" t="s">
        <v>1</v>
      </c>
      <c r="C157" t="s">
        <v>43</v>
      </c>
      <c r="G157" t="s">
        <v>114</v>
      </c>
      <c r="H157" t="s">
        <v>1</v>
      </c>
      <c r="I157">
        <v>1</v>
      </c>
      <c r="K157">
        <v>27</v>
      </c>
      <c r="L157" t="str">
        <f t="array" ref="L157">INDEX($A$1:$C$172,MATCH(1,($G157=$A$1:$A$172)*($H157=$B$1:$B$172),0),3)</f>
        <v>HCM_NM_BĐ_L</v>
      </c>
    </row>
    <row r="158" spans="1:12" x14ac:dyDescent="0.2">
      <c r="A158" t="s">
        <v>44</v>
      </c>
      <c r="B158" t="s">
        <v>1</v>
      </c>
      <c r="C158" t="s">
        <v>45</v>
      </c>
      <c r="G158" t="s">
        <v>116</v>
      </c>
      <c r="H158" t="s">
        <v>1</v>
      </c>
      <c r="I158">
        <v>1</v>
      </c>
      <c r="K158">
        <v>27</v>
      </c>
      <c r="L158" t="str">
        <f t="array" ref="L158">INDEX($A$1:$C$172,MATCH(1,($G158=$A$1:$A$172)*($H158=$B$1:$B$172),0),3)</f>
        <v>HCM_NM_CĐe_L</v>
      </c>
    </row>
    <row r="159" spans="1:12" x14ac:dyDescent="0.2">
      <c r="A159" t="s">
        <v>207</v>
      </c>
      <c r="B159" t="s">
        <v>1</v>
      </c>
      <c r="C159" t="s">
        <v>208</v>
      </c>
      <c r="G159" t="s">
        <v>112</v>
      </c>
      <c r="H159" t="s">
        <v>21</v>
      </c>
      <c r="I159">
        <v>1</v>
      </c>
      <c r="K159">
        <v>27</v>
      </c>
      <c r="L159" t="str">
        <f t="array" ref="L159">INDEX($A$1:$C$172,MATCH(1,($G159=$A$1:$A$172)*($H159=$B$1:$B$172),0),3)</f>
        <v>HCM_NM_HNL_X</v>
      </c>
    </row>
    <row r="160" spans="1:12" x14ac:dyDescent="0.2">
      <c r="A160" t="s">
        <v>209</v>
      </c>
      <c r="B160" t="s">
        <v>1</v>
      </c>
      <c r="C160" t="s">
        <v>210</v>
      </c>
      <c r="G160" t="s">
        <v>114</v>
      </c>
      <c r="H160" t="s">
        <v>21</v>
      </c>
      <c r="I160">
        <v>1</v>
      </c>
      <c r="K160">
        <v>27</v>
      </c>
      <c r="L160" t="str">
        <f t="array" ref="L160">INDEX($A$1:$C$172,MATCH(1,($G160=$A$1:$A$172)*($H160=$B$1:$B$172),0),3)</f>
        <v>HCM_NM_BĐ_X</v>
      </c>
    </row>
    <row r="161" spans="1:12" x14ac:dyDescent="0.2">
      <c r="A161" t="s">
        <v>211</v>
      </c>
      <c r="B161" t="s">
        <v>1</v>
      </c>
      <c r="C161" t="s">
        <v>212</v>
      </c>
      <c r="G161" t="s">
        <v>116</v>
      </c>
      <c r="H161" t="s">
        <v>21</v>
      </c>
      <c r="I161">
        <v>1</v>
      </c>
      <c r="K161">
        <v>27</v>
      </c>
      <c r="L161" t="str">
        <f t="array" ref="L161">INDEX($A$1:$C$172,MATCH(1,($G161=$A$1:$A$172)*($H161=$B$1:$B$172),0),3)</f>
        <v>HCM_NM_CĐe_X</v>
      </c>
    </row>
    <row r="162" spans="1:12" x14ac:dyDescent="0.2">
      <c r="A162" t="s">
        <v>213</v>
      </c>
      <c r="B162" t="s">
        <v>1</v>
      </c>
      <c r="C162" t="s">
        <v>214</v>
      </c>
      <c r="G162" t="s">
        <v>32</v>
      </c>
      <c r="H162" t="s">
        <v>1</v>
      </c>
      <c r="I162">
        <v>1</v>
      </c>
      <c r="K162">
        <v>28</v>
      </c>
      <c r="L162" t="str">
        <f t="array" ref="L162">INDEX($A$1:$C$172,MATCH(1,($G162=$A$1:$A$172)*($H162=$B$1:$B$172),0),3)</f>
        <v>HCM_NM_TBNM15_L</v>
      </c>
    </row>
    <row r="163" spans="1:12" x14ac:dyDescent="0.2">
      <c r="A163" t="s">
        <v>32</v>
      </c>
      <c r="B163" t="s">
        <v>21</v>
      </c>
      <c r="C163" t="s">
        <v>48</v>
      </c>
      <c r="G163" t="s">
        <v>34</v>
      </c>
      <c r="H163" t="s">
        <v>1</v>
      </c>
      <c r="I163">
        <v>1</v>
      </c>
      <c r="K163">
        <v>28</v>
      </c>
      <c r="L163" t="str">
        <f t="array" ref="L163">INDEX($A$1:$C$172,MATCH(1,($G163=$A$1:$A$172)*($H163=$B$1:$B$172),0),3)</f>
        <v>HCM_NM_TBNM5_L</v>
      </c>
    </row>
    <row r="164" spans="1:12" x14ac:dyDescent="0.2">
      <c r="A164" t="s">
        <v>34</v>
      </c>
      <c r="B164" t="s">
        <v>21</v>
      </c>
      <c r="C164" t="s">
        <v>49</v>
      </c>
      <c r="G164" t="s">
        <v>38</v>
      </c>
      <c r="H164" t="s">
        <v>1</v>
      </c>
      <c r="I164">
        <v>1</v>
      </c>
      <c r="K164">
        <v>28</v>
      </c>
      <c r="L164" t="str">
        <f t="array" ref="L164">INDEX($A$1:$C$172,MATCH(1,($G164=$A$1:$A$172)*($H164=$B$1:$B$172),0),3)</f>
        <v>HCM_NM_TBNM14_L</v>
      </c>
    </row>
    <row r="165" spans="1:12" x14ac:dyDescent="0.2">
      <c r="A165" t="s">
        <v>38</v>
      </c>
      <c r="B165" t="s">
        <v>21</v>
      </c>
      <c r="C165" t="s">
        <v>51</v>
      </c>
      <c r="G165" t="s">
        <v>40</v>
      </c>
      <c r="H165" t="s">
        <v>1</v>
      </c>
      <c r="I165">
        <v>1</v>
      </c>
      <c r="J165">
        <v>1</v>
      </c>
      <c r="K165">
        <v>28</v>
      </c>
      <c r="L165" t="str">
        <f t="array" ref="L165">INDEX($A$1:$C$172,MATCH(1,($G165=$A$1:$A$172)*($H165=$B$1:$B$172),0),3)</f>
        <v>HCM_NM_TBNM9_L</v>
      </c>
    </row>
    <row r="166" spans="1:12" x14ac:dyDescent="0.2">
      <c r="A166" t="s">
        <v>40</v>
      </c>
      <c r="B166" t="s">
        <v>21</v>
      </c>
      <c r="C166" t="s">
        <v>52</v>
      </c>
      <c r="G166" t="s">
        <v>42</v>
      </c>
      <c r="H166" t="s">
        <v>1</v>
      </c>
      <c r="I166">
        <v>1</v>
      </c>
      <c r="K166">
        <v>28</v>
      </c>
      <c r="L166" t="str">
        <f t="array" ref="L166">INDEX($A$1:$C$172,MATCH(1,($G166=$A$1:$A$172)*($H166=$B$1:$B$172),0),3)</f>
        <v>HCM_NM_TBNM11_L</v>
      </c>
    </row>
    <row r="167" spans="1:12" x14ac:dyDescent="0.2">
      <c r="A167" t="s">
        <v>42</v>
      </c>
      <c r="B167" t="s">
        <v>21</v>
      </c>
      <c r="C167" t="s">
        <v>53</v>
      </c>
      <c r="G167" t="s">
        <v>44</v>
      </c>
      <c r="H167" t="s">
        <v>1</v>
      </c>
      <c r="I167">
        <v>1</v>
      </c>
      <c r="K167">
        <v>28</v>
      </c>
      <c r="L167" t="str">
        <f t="array" ref="L167">INDEX($A$1:$C$172,MATCH(1,($G167=$A$1:$A$172)*($H167=$B$1:$B$172),0),3)</f>
        <v>HCM_NM_TBNM1_L</v>
      </c>
    </row>
    <row r="168" spans="1:12" x14ac:dyDescent="0.2">
      <c r="A168" t="s">
        <v>44</v>
      </c>
      <c r="B168" t="s">
        <v>21</v>
      </c>
      <c r="C168" t="s">
        <v>54</v>
      </c>
      <c r="G168" t="s">
        <v>32</v>
      </c>
      <c r="H168" t="s">
        <v>21</v>
      </c>
      <c r="I168">
        <v>1</v>
      </c>
      <c r="J168">
        <v>1</v>
      </c>
      <c r="K168">
        <v>28</v>
      </c>
      <c r="L168" t="str">
        <f t="array" ref="L168">INDEX($A$1:$C$172,MATCH(1,($G168=$A$1:$A$172)*($H168=$B$1:$B$172),0),3)</f>
        <v>HCM_NM_TBNM15_X</v>
      </c>
    </row>
    <row r="169" spans="1:12" x14ac:dyDescent="0.2">
      <c r="A169" t="s">
        <v>207</v>
      </c>
      <c r="B169" t="s">
        <v>21</v>
      </c>
      <c r="C169" t="s">
        <v>220</v>
      </c>
      <c r="G169" t="s">
        <v>34</v>
      </c>
      <c r="H169" t="s">
        <v>21</v>
      </c>
      <c r="I169">
        <v>1</v>
      </c>
      <c r="K169">
        <v>28</v>
      </c>
      <c r="L169" t="str">
        <f t="array" ref="L169">INDEX($A$1:$C$172,MATCH(1,($G169=$A$1:$A$172)*($H169=$B$1:$B$172),0),3)</f>
        <v>HCM_NM_TBNM5_X</v>
      </c>
    </row>
    <row r="170" spans="1:12" x14ac:dyDescent="0.2">
      <c r="A170" t="s">
        <v>209</v>
      </c>
      <c r="B170" t="s">
        <v>21</v>
      </c>
      <c r="C170" t="s">
        <v>221</v>
      </c>
      <c r="G170" t="s">
        <v>38</v>
      </c>
      <c r="H170" t="s">
        <v>21</v>
      </c>
      <c r="I170">
        <v>1</v>
      </c>
      <c r="K170">
        <v>28</v>
      </c>
      <c r="L170" t="str">
        <f t="array" ref="L170">INDEX($A$1:$C$172,MATCH(1,($G170=$A$1:$A$172)*($H170=$B$1:$B$172),0),3)</f>
        <v>HCM_NM_TBNM14_X</v>
      </c>
    </row>
    <row r="171" spans="1:12" x14ac:dyDescent="0.2">
      <c r="A171" t="s">
        <v>211</v>
      </c>
      <c r="B171" t="s">
        <v>21</v>
      </c>
      <c r="C171" t="s">
        <v>222</v>
      </c>
      <c r="G171" t="s">
        <v>40</v>
      </c>
      <c r="H171" t="s">
        <v>21</v>
      </c>
      <c r="I171">
        <v>1</v>
      </c>
      <c r="K171">
        <v>28</v>
      </c>
      <c r="L171" t="str">
        <f t="array" ref="L171">INDEX($A$1:$C$172,MATCH(1,($G171=$A$1:$A$172)*($H171=$B$1:$B$172),0),3)</f>
        <v>HCM_NM_TBNM9_X</v>
      </c>
    </row>
    <row r="172" spans="1:12" x14ac:dyDescent="0.2">
      <c r="A172" t="s">
        <v>213</v>
      </c>
      <c r="B172" t="s">
        <v>21</v>
      </c>
      <c r="C172" t="s">
        <v>223</v>
      </c>
      <c r="G172" t="s">
        <v>42</v>
      </c>
      <c r="H172" t="s">
        <v>21</v>
      </c>
      <c r="I172">
        <v>1</v>
      </c>
      <c r="K172">
        <v>28</v>
      </c>
      <c r="L172" t="str">
        <f t="array" ref="L172">INDEX($A$1:$C$172,MATCH(1,($G172=$A$1:$A$172)*($H172=$B$1:$B$172),0),3)</f>
        <v>HCM_NM_TBNM11_X</v>
      </c>
    </row>
    <row r="173" spans="1:12" x14ac:dyDescent="0.2">
      <c r="G173" t="s">
        <v>44</v>
      </c>
      <c r="H173" t="s">
        <v>21</v>
      </c>
      <c r="I173">
        <v>1</v>
      </c>
      <c r="K173">
        <v>28</v>
      </c>
      <c r="L173" t="str">
        <f t="array" ref="L173">INDEX($A$1:$C$172,MATCH(1,($G173=$A$1:$A$172)*($H173=$B$1:$B$172),0),3)</f>
        <v>HCM_NM_TBNM1_X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2809-3CED-4DC5-8FDF-E70F95F59785}">
  <dimension ref="A1:L29"/>
  <sheetViews>
    <sheetView workbookViewId="0">
      <selection activeCell="I14" sqref="I14"/>
    </sheetView>
  </sheetViews>
  <sheetFormatPr defaultRowHeight="14.25" x14ac:dyDescent="0.2"/>
  <sheetData>
    <row r="1" spans="1:12" x14ac:dyDescent="0.2">
      <c r="A1" t="s">
        <v>230</v>
      </c>
      <c r="B1" t="s">
        <v>1</v>
      </c>
      <c r="C1" t="s">
        <v>231</v>
      </c>
      <c r="G1" t="s">
        <v>272</v>
      </c>
      <c r="H1" t="s">
        <v>273</v>
      </c>
      <c r="I1" t="s">
        <v>274</v>
      </c>
      <c r="J1" t="s">
        <v>275</v>
      </c>
      <c r="K1" t="s">
        <v>276</v>
      </c>
      <c r="L1" t="s">
        <v>277</v>
      </c>
    </row>
    <row r="2" spans="1:12" x14ac:dyDescent="0.2">
      <c r="A2" t="s">
        <v>232</v>
      </c>
      <c r="B2" t="s">
        <v>1</v>
      </c>
      <c r="C2" t="s">
        <v>233</v>
      </c>
      <c r="G2" t="s">
        <v>260</v>
      </c>
      <c r="H2" t="s">
        <v>1</v>
      </c>
      <c r="I2">
        <v>1</v>
      </c>
      <c r="K2">
        <v>25</v>
      </c>
      <c r="L2" t="str">
        <f t="array" ref="L2">INDEX($A$1:$C$172,MATCH(1,($G2=$A$1:$A$172)*($H2=$B$1:$B$172),0),3)</f>
        <v>HCM_NM_LT1_L</v>
      </c>
    </row>
    <row r="3" spans="1:12" x14ac:dyDescent="0.2">
      <c r="A3" t="s">
        <v>234</v>
      </c>
      <c r="B3" t="s">
        <v>1</v>
      </c>
      <c r="C3" t="s">
        <v>235</v>
      </c>
      <c r="G3" t="s">
        <v>249</v>
      </c>
      <c r="H3" t="s">
        <v>1</v>
      </c>
      <c r="I3">
        <v>1</v>
      </c>
      <c r="K3">
        <v>25</v>
      </c>
      <c r="L3" t="str">
        <f t="array" ref="L3">INDEX($A$1:$C$172,MATCH(1,($G3=$A$1:$A$172)*($H3=$B$1:$B$172),0),3)</f>
        <v>HCM_NM_LT_L</v>
      </c>
    </row>
    <row r="4" spans="1:12" x14ac:dyDescent="0.2">
      <c r="A4" t="s">
        <v>236</v>
      </c>
      <c r="B4" t="s">
        <v>1</v>
      </c>
      <c r="C4" t="s">
        <v>237</v>
      </c>
      <c r="G4" t="s">
        <v>251</v>
      </c>
      <c r="H4" t="s">
        <v>1</v>
      </c>
      <c r="I4">
        <v>1</v>
      </c>
      <c r="K4">
        <v>25</v>
      </c>
      <c r="L4" t="str">
        <f t="array" ref="L4">INDEX($A$1:$C$172,MATCH(1,($G4=$A$1:$A$172)*($H4=$B$1:$B$172),0),3)</f>
        <v>HCM_NM_TTH_L</v>
      </c>
    </row>
    <row r="5" spans="1:12" x14ac:dyDescent="0.2">
      <c r="A5" t="s">
        <v>238</v>
      </c>
      <c r="B5" t="s">
        <v>1</v>
      </c>
      <c r="C5" t="s">
        <v>239</v>
      </c>
      <c r="G5" t="s">
        <v>253</v>
      </c>
      <c r="H5" t="s">
        <v>1</v>
      </c>
      <c r="I5">
        <v>1</v>
      </c>
      <c r="K5">
        <v>25</v>
      </c>
      <c r="L5" t="str">
        <f t="array" ref="L5">INDEX($A$1:$C$172,MATCH(1,($G5=$A$1:$A$172)*($H5=$B$1:$B$172),0),3)</f>
        <v>HCM_NM_ĐT1_L</v>
      </c>
    </row>
    <row r="6" spans="1:12" x14ac:dyDescent="0.2">
      <c r="A6" t="s">
        <v>230</v>
      </c>
      <c r="B6" t="s">
        <v>21</v>
      </c>
      <c r="C6" t="s">
        <v>240</v>
      </c>
      <c r="G6" t="s">
        <v>260</v>
      </c>
      <c r="H6" t="s">
        <v>21</v>
      </c>
      <c r="I6">
        <v>1</v>
      </c>
      <c r="K6">
        <v>25</v>
      </c>
      <c r="L6" t="str">
        <f t="array" ref="L6">INDEX($A$1:$C$172,MATCH(1,($G6=$A$1:$A$172)*($H6=$B$1:$B$172),0),3)</f>
        <v>HCM_NM_LT1_X</v>
      </c>
    </row>
    <row r="7" spans="1:12" x14ac:dyDescent="0.2">
      <c r="A7" t="s">
        <v>232</v>
      </c>
      <c r="B7" t="s">
        <v>21</v>
      </c>
      <c r="C7" t="s">
        <v>241</v>
      </c>
      <c r="G7" t="s">
        <v>249</v>
      </c>
      <c r="H7" t="s">
        <v>21</v>
      </c>
      <c r="I7">
        <v>1</v>
      </c>
      <c r="K7">
        <v>25</v>
      </c>
      <c r="L7" t="str">
        <f t="array" ref="L7">INDEX($A$1:$C$172,MATCH(1,($G7=$A$1:$A$172)*($H7=$B$1:$B$172),0),3)</f>
        <v>HCM_NM_LT_X</v>
      </c>
    </row>
    <row r="8" spans="1:12" x14ac:dyDescent="0.2">
      <c r="A8" t="s">
        <v>234</v>
      </c>
      <c r="B8" t="s">
        <v>21</v>
      </c>
      <c r="C8" t="s">
        <v>242</v>
      </c>
      <c r="G8" t="s">
        <v>251</v>
      </c>
      <c r="H8" t="s">
        <v>21</v>
      </c>
      <c r="I8">
        <v>1</v>
      </c>
      <c r="K8">
        <v>25</v>
      </c>
      <c r="L8" t="str">
        <f t="array" ref="L8">INDEX($A$1:$C$172,MATCH(1,($G8=$A$1:$A$172)*($H8=$B$1:$B$172),0),3)</f>
        <v>HCM_NM_TTH_X</v>
      </c>
    </row>
    <row r="9" spans="1:12" x14ac:dyDescent="0.2">
      <c r="A9" t="s">
        <v>236</v>
      </c>
      <c r="B9" t="s">
        <v>21</v>
      </c>
      <c r="C9" t="s">
        <v>243</v>
      </c>
      <c r="G9" t="s">
        <v>253</v>
      </c>
      <c r="H9" t="s">
        <v>21</v>
      </c>
      <c r="I9">
        <v>1</v>
      </c>
      <c r="K9">
        <v>25</v>
      </c>
      <c r="L9" t="str">
        <f t="array" ref="L9">INDEX($A$1:$C$172,MATCH(1,($G9=$A$1:$A$172)*($H9=$B$1:$B$172),0),3)</f>
        <v>HCM_NM_ĐT1_X</v>
      </c>
    </row>
    <row r="10" spans="1:12" x14ac:dyDescent="0.2">
      <c r="A10" t="s">
        <v>238</v>
      </c>
      <c r="B10" t="s">
        <v>21</v>
      </c>
      <c r="C10" t="s">
        <v>244</v>
      </c>
      <c r="G10" t="s">
        <v>230</v>
      </c>
      <c r="H10" t="s">
        <v>1</v>
      </c>
      <c r="I10">
        <v>1</v>
      </c>
      <c r="K10">
        <v>25</v>
      </c>
      <c r="L10" t="str">
        <f t="array" ref="L10">INDEX($A$1:$C$172,MATCH(1,($G10=$A$1:$A$172)*($H10=$B$1:$B$172),0),3)</f>
        <v>HCM_NM_BL_L</v>
      </c>
    </row>
    <row r="11" spans="1:12" x14ac:dyDescent="0.2">
      <c r="A11" t="s">
        <v>245</v>
      </c>
      <c r="B11" t="s">
        <v>1</v>
      </c>
      <c r="C11" t="s">
        <v>246</v>
      </c>
      <c r="G11" t="s">
        <v>232</v>
      </c>
      <c r="H11" t="s">
        <v>1</v>
      </c>
      <c r="I11">
        <v>1</v>
      </c>
      <c r="K11">
        <v>25</v>
      </c>
      <c r="L11" t="str">
        <f t="array" ref="L11">INDEX($A$1:$C$172,MATCH(1,($G11=$A$1:$A$172)*($H11=$B$1:$B$172),0),3)</f>
        <v>HCM_NM_SG_L</v>
      </c>
    </row>
    <row r="12" spans="1:12" x14ac:dyDescent="0.2">
      <c r="A12" t="s">
        <v>247</v>
      </c>
      <c r="B12" t="s">
        <v>1</v>
      </c>
      <c r="C12" t="s">
        <v>248</v>
      </c>
      <c r="G12" t="s">
        <v>230</v>
      </c>
      <c r="H12" t="s">
        <v>21</v>
      </c>
      <c r="I12">
        <v>1</v>
      </c>
      <c r="K12">
        <v>25</v>
      </c>
      <c r="L12" t="str">
        <f t="array" ref="L12">INDEX($A$1:$C$172,MATCH(1,($G12=$A$1:$A$172)*($H12=$B$1:$B$172),0),3)</f>
        <v>HCM_NM_BL_X</v>
      </c>
    </row>
    <row r="13" spans="1:12" x14ac:dyDescent="0.2">
      <c r="A13" t="s">
        <v>249</v>
      </c>
      <c r="B13" t="s">
        <v>1</v>
      </c>
      <c r="C13" t="s">
        <v>250</v>
      </c>
      <c r="G13" t="s">
        <v>232</v>
      </c>
      <c r="H13" t="s">
        <v>21</v>
      </c>
      <c r="I13">
        <v>1</v>
      </c>
      <c r="J13">
        <v>1</v>
      </c>
      <c r="K13">
        <v>25</v>
      </c>
      <c r="L13" t="str">
        <f t="array" ref="L13">INDEX($A$1:$C$172,MATCH(1,($G13=$A$1:$A$172)*($H13=$B$1:$B$172),0),3)</f>
        <v>HCM_NM_SG_X</v>
      </c>
    </row>
    <row r="14" spans="1:12" x14ac:dyDescent="0.2">
      <c r="A14" t="s">
        <v>251</v>
      </c>
      <c r="B14" t="s">
        <v>1</v>
      </c>
      <c r="C14" t="s">
        <v>252</v>
      </c>
      <c r="G14" t="s">
        <v>262</v>
      </c>
      <c r="H14" t="s">
        <v>1</v>
      </c>
      <c r="I14">
        <v>1</v>
      </c>
      <c r="K14">
        <v>26</v>
      </c>
      <c r="L14" t="str">
        <f t="array" ref="L14">INDEX($A$1:$C$172,MATCH(1,($G14=$A$1:$A$172)*($H14=$B$1:$B$172),0),3)</f>
        <v>HCM_NM_N7_L</v>
      </c>
    </row>
    <row r="15" spans="1:12" x14ac:dyDescent="0.2">
      <c r="A15" t="s">
        <v>253</v>
      </c>
      <c r="B15" t="s">
        <v>1</v>
      </c>
      <c r="C15" t="s">
        <v>254</v>
      </c>
      <c r="G15" t="s">
        <v>264</v>
      </c>
      <c r="H15" t="s">
        <v>1</v>
      </c>
      <c r="I15">
        <v>1</v>
      </c>
      <c r="K15">
        <v>26</v>
      </c>
      <c r="L15" t="str">
        <f t="array" ref="L15">INDEX($A$1:$C$172,MATCH(1,($G15=$A$1:$A$172)*($H15=$B$1:$B$172),0),3)</f>
        <v>HCM_NM_VS_L</v>
      </c>
    </row>
    <row r="16" spans="1:12" x14ac:dyDescent="0.2">
      <c r="A16" t="s">
        <v>245</v>
      </c>
      <c r="B16" t="s">
        <v>21</v>
      </c>
      <c r="C16" t="s">
        <v>255</v>
      </c>
      <c r="G16" t="s">
        <v>266</v>
      </c>
      <c r="H16" t="s">
        <v>1</v>
      </c>
      <c r="I16">
        <v>1</v>
      </c>
      <c r="K16">
        <v>26</v>
      </c>
      <c r="L16" t="str">
        <f t="array" ref="L16">INDEX($A$1:$C$172,MATCH(1,($G16=$A$1:$A$172)*($H16=$B$1:$B$172),0),3)</f>
        <v>HCM_NM_ĐT_L</v>
      </c>
    </row>
    <row r="17" spans="1:12" x14ac:dyDescent="0.2">
      <c r="A17" t="s">
        <v>247</v>
      </c>
      <c r="B17" t="s">
        <v>21</v>
      </c>
      <c r="C17" t="s">
        <v>256</v>
      </c>
      <c r="G17" t="s">
        <v>262</v>
      </c>
      <c r="H17" t="s">
        <v>21</v>
      </c>
      <c r="I17">
        <v>1</v>
      </c>
      <c r="K17">
        <v>26</v>
      </c>
      <c r="L17" t="str">
        <f t="array" ref="L17">INDEX($A$1:$C$172,MATCH(1,($G17=$A$1:$A$172)*($H17=$B$1:$B$172),0),3)</f>
        <v>HCM_NM_N7_X</v>
      </c>
    </row>
    <row r="18" spans="1:12" x14ac:dyDescent="0.2">
      <c r="A18" t="s">
        <v>249</v>
      </c>
      <c r="B18" t="s">
        <v>21</v>
      </c>
      <c r="C18" t="s">
        <v>257</v>
      </c>
      <c r="G18" t="s">
        <v>264</v>
      </c>
      <c r="H18" t="s">
        <v>21</v>
      </c>
      <c r="I18">
        <v>1</v>
      </c>
      <c r="K18">
        <v>26</v>
      </c>
      <c r="L18" t="str">
        <f t="array" ref="L18">INDEX($A$1:$C$172,MATCH(1,($G18=$A$1:$A$172)*($H18=$B$1:$B$172),0),3)</f>
        <v>HCM_NM_VS_X</v>
      </c>
    </row>
    <row r="19" spans="1:12" x14ac:dyDescent="0.2">
      <c r="A19" t="s">
        <v>251</v>
      </c>
      <c r="B19" t="s">
        <v>21</v>
      </c>
      <c r="C19" t="s">
        <v>258</v>
      </c>
      <c r="G19" t="s">
        <v>266</v>
      </c>
      <c r="H19" t="s">
        <v>21</v>
      </c>
      <c r="I19">
        <v>1</v>
      </c>
      <c r="K19">
        <v>26</v>
      </c>
      <c r="L19" t="str">
        <f t="array" ref="L19">INDEX($A$1:$C$172,MATCH(1,($G19=$A$1:$A$172)*($H19=$B$1:$B$172),0),3)</f>
        <v>HCM_NM_ĐT_X</v>
      </c>
    </row>
    <row r="20" spans="1:12" x14ac:dyDescent="0.2">
      <c r="A20" t="s">
        <v>253</v>
      </c>
      <c r="B20" t="s">
        <v>21</v>
      </c>
      <c r="C20" t="s">
        <v>259</v>
      </c>
      <c r="G20" t="s">
        <v>245</v>
      </c>
      <c r="H20" t="s">
        <v>1</v>
      </c>
      <c r="I20">
        <v>1</v>
      </c>
      <c r="K20">
        <v>26</v>
      </c>
      <c r="L20" t="str">
        <f t="array" ref="L20">INDEX($A$1:$C$172,MATCH(1,($G20=$A$1:$A$172)*($H20=$B$1:$B$172),0),3)</f>
        <v>HCM_NM_LP_L</v>
      </c>
    </row>
    <row r="21" spans="1:12" x14ac:dyDescent="0.2">
      <c r="A21" t="s">
        <v>260</v>
      </c>
      <c r="B21" t="s">
        <v>1</v>
      </c>
      <c r="C21" t="s">
        <v>261</v>
      </c>
      <c r="G21" t="s">
        <v>247</v>
      </c>
      <c r="H21" t="s">
        <v>1</v>
      </c>
      <c r="I21">
        <v>1</v>
      </c>
      <c r="K21">
        <v>26</v>
      </c>
      <c r="L21" t="str">
        <f t="array" ref="L21">INDEX($A$1:$C$172,MATCH(1,($G21=$A$1:$A$172)*($H21=$B$1:$B$172),0),3)</f>
        <v>HCM_NM_CL_L</v>
      </c>
    </row>
    <row r="22" spans="1:12" x14ac:dyDescent="0.2">
      <c r="A22" t="s">
        <v>262</v>
      </c>
      <c r="B22" t="s">
        <v>1</v>
      </c>
      <c r="C22" t="s">
        <v>263</v>
      </c>
      <c r="G22" t="s">
        <v>245</v>
      </c>
      <c r="H22" t="s">
        <v>21</v>
      </c>
      <c r="I22">
        <v>1</v>
      </c>
      <c r="K22">
        <v>26</v>
      </c>
      <c r="L22" t="str">
        <f t="array" ref="L22">INDEX($A$1:$C$172,MATCH(1,($G22=$A$1:$A$172)*($H22=$B$1:$B$172),0),3)</f>
        <v>HCM_NM_LP_X</v>
      </c>
    </row>
    <row r="23" spans="1:12" x14ac:dyDescent="0.2">
      <c r="A23" t="s">
        <v>264</v>
      </c>
      <c r="B23" t="s">
        <v>1</v>
      </c>
      <c r="C23" t="s">
        <v>265</v>
      </c>
      <c r="G23" t="s">
        <v>247</v>
      </c>
      <c r="H23" t="s">
        <v>21</v>
      </c>
      <c r="I23">
        <v>1</v>
      </c>
      <c r="K23">
        <v>26</v>
      </c>
      <c r="L23" t="str">
        <f t="array" ref="L23">INDEX($A$1:$C$172,MATCH(1,($G23=$A$1:$A$172)*($H23=$B$1:$B$172),0),3)</f>
        <v>HCM_NM_CL_X</v>
      </c>
    </row>
    <row r="24" spans="1:12" x14ac:dyDescent="0.2">
      <c r="A24" t="s">
        <v>266</v>
      </c>
      <c r="B24" t="s">
        <v>1</v>
      </c>
      <c r="C24" t="s">
        <v>267</v>
      </c>
      <c r="G24" t="s">
        <v>236</v>
      </c>
      <c r="H24" t="s">
        <v>1</v>
      </c>
      <c r="I24">
        <v>1</v>
      </c>
      <c r="K24">
        <v>27</v>
      </c>
      <c r="L24" t="str">
        <f t="array" ref="L24">INDEX($A$1:$C$172,MATCH(1,($G24=$A$1:$A$172)*($H24=$B$1:$B$172),0),3)</f>
        <v>HCM_NM_MĐĐ_L</v>
      </c>
    </row>
    <row r="25" spans="1:12" x14ac:dyDescent="0.2">
      <c r="A25" t="s">
        <v>260</v>
      </c>
      <c r="B25" t="s">
        <v>21</v>
      </c>
      <c r="C25" t="s">
        <v>268</v>
      </c>
      <c r="G25" t="s">
        <v>238</v>
      </c>
      <c r="H25" t="s">
        <v>1</v>
      </c>
      <c r="I25">
        <v>1</v>
      </c>
      <c r="K25">
        <v>27</v>
      </c>
      <c r="L25" t="str">
        <f t="array" ref="L25">INDEX($A$1:$C$172,MATCH(1,($G25=$A$1:$A$172)*($H25=$B$1:$B$172),0),3)</f>
        <v>HCM_NM_NB_L</v>
      </c>
    </row>
    <row r="26" spans="1:12" x14ac:dyDescent="0.2">
      <c r="A26" t="s">
        <v>262</v>
      </c>
      <c r="B26" t="s">
        <v>21</v>
      </c>
      <c r="C26" t="s">
        <v>269</v>
      </c>
      <c r="G26" t="s">
        <v>234</v>
      </c>
      <c r="H26" t="s">
        <v>1</v>
      </c>
      <c r="I26">
        <v>1</v>
      </c>
      <c r="K26">
        <v>27</v>
      </c>
      <c r="L26" t="str">
        <f t="array" ref="L26">INDEX($A$1:$C$172,MATCH(1,($G26=$A$1:$A$172)*($H26=$B$1:$B$172),0),3)</f>
        <v>HCM_NM_PM_L</v>
      </c>
    </row>
    <row r="27" spans="1:12" x14ac:dyDescent="0.2">
      <c r="A27" t="s">
        <v>264</v>
      </c>
      <c r="B27" t="s">
        <v>21</v>
      </c>
      <c r="C27" t="s">
        <v>270</v>
      </c>
      <c r="G27" t="s">
        <v>236</v>
      </c>
      <c r="H27" t="s">
        <v>21</v>
      </c>
      <c r="I27">
        <v>1</v>
      </c>
      <c r="K27">
        <v>27</v>
      </c>
      <c r="L27" t="str">
        <f t="array" ref="L27">INDEX($A$1:$C$172,MATCH(1,($G27=$A$1:$A$172)*($H27=$B$1:$B$172),0),3)</f>
        <v>HCM_NM_MĐĐ_X</v>
      </c>
    </row>
    <row r="28" spans="1:12" x14ac:dyDescent="0.2">
      <c r="A28" t="s">
        <v>266</v>
      </c>
      <c r="B28" t="s">
        <v>21</v>
      </c>
      <c r="C28" t="s">
        <v>271</v>
      </c>
      <c r="G28" t="s">
        <v>238</v>
      </c>
      <c r="H28" t="s">
        <v>21</v>
      </c>
      <c r="I28">
        <v>1</v>
      </c>
      <c r="K28">
        <v>27</v>
      </c>
      <c r="L28" t="str">
        <f t="array" ref="L28">INDEX($A$1:$C$172,MATCH(1,($G28=$A$1:$A$172)*($H28=$B$1:$B$172),0),3)</f>
        <v>HCM_NM_NB_X</v>
      </c>
    </row>
    <row r="29" spans="1:12" x14ac:dyDescent="0.2">
      <c r="G29" t="s">
        <v>234</v>
      </c>
      <c r="H29" t="s">
        <v>21</v>
      </c>
      <c r="I29">
        <v>1</v>
      </c>
      <c r="K29">
        <v>27</v>
      </c>
      <c r="L29" t="str">
        <f t="array" ref="L29">INDEX($A$1:$C$172,MATCH(1,($G29=$A$1:$A$172)*($H29=$B$1:$B$172),0),3)</f>
        <v>HCM_NM_PM_X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6BBB-69A8-4B03-8F17-94BFD1EE4842}">
  <dimension ref="A1:M172"/>
  <sheetViews>
    <sheetView topLeftCell="A115" workbookViewId="0">
      <selection activeCell="G1" sqref="G1:L134"/>
    </sheetView>
  </sheetViews>
  <sheetFormatPr defaultRowHeight="14.25" x14ac:dyDescent="0.2"/>
  <cols>
    <col min="7" max="7" width="43.25" bestFit="1" customWidth="1"/>
    <col min="8" max="8" width="41.375" bestFit="1" customWidth="1"/>
    <col min="12" max="12" width="31.75" customWidth="1"/>
  </cols>
  <sheetData>
    <row r="1" spans="1:13" x14ac:dyDescent="0.2">
      <c r="A1" t="s">
        <v>0</v>
      </c>
      <c r="B1" t="s">
        <v>1</v>
      </c>
      <c r="C1" t="s">
        <v>2</v>
      </c>
      <c r="E1" t="s">
        <v>1575</v>
      </c>
      <c r="F1" t="s">
        <v>1576</v>
      </c>
      <c r="G1" t="s">
        <v>272</v>
      </c>
      <c r="H1" t="s">
        <v>273</v>
      </c>
      <c r="I1" t="s">
        <v>274</v>
      </c>
      <c r="J1" t="s">
        <v>275</v>
      </c>
      <c r="K1" t="s">
        <v>276</v>
      </c>
      <c r="L1" t="s">
        <v>277</v>
      </c>
      <c r="M1" t="s">
        <v>277</v>
      </c>
    </row>
    <row r="2" spans="1:13" x14ac:dyDescent="0.2">
      <c r="A2" t="s">
        <v>3</v>
      </c>
      <c r="B2" t="s">
        <v>1</v>
      </c>
      <c r="C2" t="s">
        <v>4</v>
      </c>
      <c r="E2">
        <v>26</v>
      </c>
      <c r="F2" s="1" t="s">
        <v>1577</v>
      </c>
      <c r="G2" s="4" t="s">
        <v>278</v>
      </c>
      <c r="H2" s="4" t="s">
        <v>279</v>
      </c>
      <c r="I2" s="4">
        <v>1</v>
      </c>
      <c r="J2" s="4"/>
      <c r="K2" s="4">
        <v>11</v>
      </c>
      <c r="L2" s="4" t="str">
        <f>M2&amp;"."&amp;$E$2&amp;"."&amp;$F$2&amp;"."&amp;K2&amp;INDEX('TONG HOP DIA DIEM'!$A$1:$L$181,MATCH('CS2 NEW'!$G2,'TONG HOP DIA DIEM'!$G$1:$G$181,0),3)</f>
        <v>HCM_NM_ĐPNM1.26.05.11.01</v>
      </c>
      <c r="M2" s="4" t="str">
        <f>INDEX('TONG HOP DIA DIEM'!$A$1:$L$181,MATCH('CS2 NEW'!$G2,'TONG HOP DIA DIEM'!$G$1:$G$181,0),4)</f>
        <v>HCM_NM_ĐPNM1</v>
      </c>
    </row>
    <row r="3" spans="1:13" x14ac:dyDescent="0.2">
      <c r="A3" t="s">
        <v>5</v>
      </c>
      <c r="B3" t="s">
        <v>1</v>
      </c>
      <c r="C3" t="s">
        <v>6</v>
      </c>
      <c r="G3" s="4" t="s">
        <v>280</v>
      </c>
      <c r="H3" s="4" t="s">
        <v>281</v>
      </c>
      <c r="I3" s="4">
        <v>1</v>
      </c>
      <c r="J3" s="4"/>
      <c r="K3" s="4">
        <v>11</v>
      </c>
      <c r="L3" s="4" t="str">
        <f>M3&amp;"."&amp;$E$2&amp;"."&amp;$F$2&amp;"."&amp;K3&amp;INDEX('TONG HOP DIA DIEM'!$A$1:$L$181,MATCH('CS2 NEW'!$G3,'TONG HOP DIA DIEM'!$G$1:$G$181,0),3)</f>
        <v>HCM_NM_ĐPNM4.26.05.11.01</v>
      </c>
      <c r="M3" s="4" t="str">
        <f>INDEX('TONG HOP DIA DIEM'!$A$1:$L$181,MATCH('CS2 NEW'!$G3,'TONG HOP DIA DIEM'!$G$1:$G$181,0),4)</f>
        <v>HCM_NM_ĐPNM4</v>
      </c>
    </row>
    <row r="4" spans="1:13" x14ac:dyDescent="0.2">
      <c r="A4" t="s">
        <v>7</v>
      </c>
      <c r="B4" t="s">
        <v>1</v>
      </c>
      <c r="C4" t="s">
        <v>8</v>
      </c>
      <c r="G4" s="4" t="s">
        <v>282</v>
      </c>
      <c r="H4" s="4" t="s">
        <v>283</v>
      </c>
      <c r="I4" s="4">
        <v>1</v>
      </c>
      <c r="J4" s="4"/>
      <c r="K4" s="4">
        <v>11</v>
      </c>
      <c r="L4" s="4" t="str">
        <f>M4&amp;"."&amp;$E$2&amp;"."&amp;$F$2&amp;"."&amp;K4&amp;INDEX('TONG HOP DIA DIEM'!$A$1:$L$181,MATCH('CS2 NEW'!$G4,'TONG HOP DIA DIEM'!$G$1:$G$181,0),3)</f>
        <v>HCM_NM_ĐPNM5.26.05.11.01</v>
      </c>
      <c r="M4" s="4" t="str">
        <f>INDEX('TONG HOP DIA DIEM'!$A$1:$L$181,MATCH('CS2 NEW'!$G4,'TONG HOP DIA DIEM'!$G$1:$G$181,0),4)</f>
        <v>HCM_NM_ĐPNM5</v>
      </c>
    </row>
    <row r="5" spans="1:13" x14ac:dyDescent="0.2">
      <c r="A5" t="s">
        <v>9</v>
      </c>
      <c r="B5" t="s">
        <v>1</v>
      </c>
      <c r="C5" t="s">
        <v>10</v>
      </c>
      <c r="G5" s="4" t="s">
        <v>284</v>
      </c>
      <c r="H5" s="4" t="s">
        <v>285</v>
      </c>
      <c r="I5" s="4">
        <v>1</v>
      </c>
      <c r="J5" s="4"/>
      <c r="K5" s="4">
        <v>11</v>
      </c>
      <c r="L5" s="4" t="str">
        <f>M5&amp;"."&amp;$E$2&amp;"."&amp;$F$2&amp;"."&amp;K5&amp;INDEX('TONG HOP DIA DIEM'!$A$1:$L$181,MATCH('CS2 NEW'!$G5,'TONG HOP DIA DIEM'!$G$1:$G$181,0),3)</f>
        <v>HCM_NM_ĐPNM8.26.05.11.01</v>
      </c>
      <c r="M5" s="4" t="str">
        <f>INDEX('TONG HOP DIA DIEM'!$A$1:$L$181,MATCH('CS2 NEW'!$G5,'TONG HOP DIA DIEM'!$G$1:$G$181,0),4)</f>
        <v>HCM_NM_ĐPNM8</v>
      </c>
    </row>
    <row r="6" spans="1:13" x14ac:dyDescent="0.2">
      <c r="A6" t="s">
        <v>11</v>
      </c>
      <c r="B6" t="s">
        <v>1</v>
      </c>
      <c r="C6" t="s">
        <v>12</v>
      </c>
      <c r="G6" s="4" t="s">
        <v>286</v>
      </c>
      <c r="H6" s="4" t="s">
        <v>287</v>
      </c>
      <c r="I6" s="4">
        <v>1</v>
      </c>
      <c r="J6" s="4"/>
      <c r="K6" s="4">
        <v>11</v>
      </c>
      <c r="L6" s="4" t="str">
        <f>M6&amp;"."&amp;$E$2&amp;"."&amp;$F$2&amp;"."&amp;K6&amp;INDEX('TONG HOP DIA DIEM'!$A$1:$L$181,MATCH('CS2 NEW'!$G6,'TONG HOP DIA DIEM'!$G$1:$G$181,0),3)</f>
        <v>HCM_NM_ĐPNM1.26.05.11.02</v>
      </c>
      <c r="M6" s="4" t="str">
        <f>INDEX('TONG HOP DIA DIEM'!$A$1:$L$181,MATCH('CS2 NEW'!$G6,'TONG HOP DIA DIEM'!$G$1:$G$181,0),4)</f>
        <v>HCM_NM_ĐPNM1</v>
      </c>
    </row>
    <row r="7" spans="1:13" x14ac:dyDescent="0.2">
      <c r="A7" t="s">
        <v>13</v>
      </c>
      <c r="B7" t="s">
        <v>1</v>
      </c>
      <c r="C7" t="s">
        <v>14</v>
      </c>
      <c r="G7" s="4" t="s">
        <v>288</v>
      </c>
      <c r="H7" s="4" t="s">
        <v>289</v>
      </c>
      <c r="I7" s="4">
        <v>1</v>
      </c>
      <c r="J7" s="4"/>
      <c r="K7" s="4">
        <v>11</v>
      </c>
      <c r="L7" s="4" t="str">
        <f>M7&amp;"."&amp;$E$2&amp;"."&amp;$F$2&amp;"."&amp;K7&amp;INDEX('TONG HOP DIA DIEM'!$A$1:$L$181,MATCH('CS2 NEW'!$G7,'TONG HOP DIA DIEM'!$G$1:$G$181,0),3)</f>
        <v>HCM_NM_ĐPNM4.26.05.11.02</v>
      </c>
      <c r="M7" s="4" t="str">
        <f>INDEX('TONG HOP DIA DIEM'!$A$1:$L$181,MATCH('CS2 NEW'!$G7,'TONG HOP DIA DIEM'!$G$1:$G$181,0),4)</f>
        <v>HCM_NM_ĐPNM4</v>
      </c>
    </row>
    <row r="8" spans="1:13" x14ac:dyDescent="0.2">
      <c r="A8" t="s">
        <v>15</v>
      </c>
      <c r="B8" t="s">
        <v>1</v>
      </c>
      <c r="C8" t="s">
        <v>16</v>
      </c>
      <c r="G8" s="4" t="s">
        <v>290</v>
      </c>
      <c r="H8" s="4" t="s">
        <v>291</v>
      </c>
      <c r="I8" s="4">
        <v>1</v>
      </c>
      <c r="J8" s="4"/>
      <c r="K8" s="4">
        <v>11</v>
      </c>
      <c r="L8" s="4" t="str">
        <f>M8&amp;"."&amp;$E$2&amp;"."&amp;$F$2&amp;"."&amp;K8&amp;INDEX('TONG HOP DIA DIEM'!$A$1:$L$181,MATCH('CS2 NEW'!$G8,'TONG HOP DIA DIEM'!$G$1:$G$181,0),3)</f>
        <v>HCM_NM_ĐPNM5.26.05.11.02</v>
      </c>
      <c r="M8" s="4" t="str">
        <f>INDEX('TONG HOP DIA DIEM'!$A$1:$L$181,MATCH('CS2 NEW'!$G8,'TONG HOP DIA DIEM'!$G$1:$G$181,0),4)</f>
        <v>HCM_NM_ĐPNM5</v>
      </c>
    </row>
    <row r="9" spans="1:13" x14ac:dyDescent="0.2">
      <c r="A9" t="s">
        <v>17</v>
      </c>
      <c r="B9" t="s">
        <v>1</v>
      </c>
      <c r="C9" t="s">
        <v>18</v>
      </c>
      <c r="G9" s="4" t="s">
        <v>292</v>
      </c>
      <c r="H9" s="4" t="s">
        <v>293</v>
      </c>
      <c r="I9" s="4">
        <v>1</v>
      </c>
      <c r="J9" s="4"/>
      <c r="K9" s="4">
        <v>11</v>
      </c>
      <c r="L9" s="4" t="str">
        <f>M9&amp;"."&amp;$E$2&amp;"."&amp;$F$2&amp;"."&amp;K9&amp;INDEX('TONG HOP DIA DIEM'!$A$1:$L$181,MATCH('CS2 NEW'!$G9,'TONG HOP DIA DIEM'!$G$1:$G$181,0),3)</f>
        <v>HCM_NM_ĐPNM8.26.05.11.02</v>
      </c>
      <c r="M9" s="4" t="str">
        <f>INDEX('TONG HOP DIA DIEM'!$A$1:$L$181,MATCH('CS2 NEW'!$G9,'TONG HOP DIA DIEM'!$G$1:$G$181,0),4)</f>
        <v>HCM_NM_ĐPNM8</v>
      </c>
    </row>
    <row r="10" spans="1:13" x14ac:dyDescent="0.2">
      <c r="A10" t="s">
        <v>19</v>
      </c>
      <c r="B10" t="s">
        <v>1</v>
      </c>
      <c r="C10" t="s">
        <v>20</v>
      </c>
      <c r="G10" s="4" t="s">
        <v>294</v>
      </c>
      <c r="H10" s="4" t="s">
        <v>295</v>
      </c>
      <c r="I10" s="4">
        <v>1</v>
      </c>
      <c r="J10" s="4">
        <v>1</v>
      </c>
      <c r="K10" s="4">
        <v>11</v>
      </c>
      <c r="L10" s="4" t="str">
        <f>M10&amp;"."&amp;$E$2&amp;"."&amp;$F$2&amp;"."&amp;K10&amp;INDEX('TONG HOP DIA DIEM'!$A$1:$L$181,MATCH('CS2 NEW'!$G10,'TONG HOP DIA DIEM'!$G$1:$G$181,0),3)</f>
        <v>HCM_NM_BLa.26.05.11.L</v>
      </c>
      <c r="M10" s="4" t="str">
        <f>INDEX('TONG HOP DIA DIEM'!$A$1:$L$181,MATCH('CS2 NEW'!$G10,'TONG HOP DIA DIEM'!$G$1:$G$181,0),4)</f>
        <v>HCM_NM_BLa</v>
      </c>
    </row>
    <row r="11" spans="1:13" x14ac:dyDescent="0.2">
      <c r="A11" t="s">
        <v>0</v>
      </c>
      <c r="B11" t="s">
        <v>21</v>
      </c>
      <c r="C11" t="s">
        <v>22</v>
      </c>
      <c r="G11" s="4" t="s">
        <v>296</v>
      </c>
      <c r="H11" s="4" t="s">
        <v>297</v>
      </c>
      <c r="I11" s="4">
        <v>1</v>
      </c>
      <c r="J11" s="4"/>
      <c r="K11" s="4">
        <v>11</v>
      </c>
      <c r="L11" s="4" t="str">
        <f>M11&amp;"."&amp;$E$2&amp;"."&amp;$F$2&amp;"."&amp;K11&amp;INDEX('TONG HOP DIA DIEM'!$A$1:$L$181,MATCH('CS2 NEW'!$G11,'TONG HOP DIA DIEM'!$G$1:$G$181,0),3)</f>
        <v>HCM_NM_LHTK.26.05.11.L</v>
      </c>
      <c r="M11" s="4" t="str">
        <f>INDEX('TONG HOP DIA DIEM'!$A$1:$L$181,MATCH('CS2 NEW'!$G11,'TONG HOP DIA DIEM'!$G$1:$G$181,0),4)</f>
        <v>HCM_NM_LHTK</v>
      </c>
    </row>
    <row r="12" spans="1:13" x14ac:dyDescent="0.2">
      <c r="A12" t="s">
        <v>3</v>
      </c>
      <c r="B12" t="s">
        <v>21</v>
      </c>
      <c r="C12" t="s">
        <v>23</v>
      </c>
      <c r="G12" s="4" t="s">
        <v>298</v>
      </c>
      <c r="H12" s="4" t="s">
        <v>299</v>
      </c>
      <c r="I12" s="4">
        <v>1</v>
      </c>
      <c r="J12" s="4"/>
      <c r="K12" s="4">
        <v>11</v>
      </c>
      <c r="L12" s="4" t="str">
        <f>M12&amp;"."&amp;$E$2&amp;"."&amp;$F$2&amp;"."&amp;K12&amp;INDEX('TONG HOP DIA DIEM'!$A$1:$L$181,MATCH('CS2 NEW'!$G12,'TONG HOP DIA DIEM'!$G$1:$G$181,0),3)</f>
        <v>HCM_NM_PX.26.05.11.L</v>
      </c>
      <c r="M12" s="4" t="str">
        <f>INDEX('TONG HOP DIA DIEM'!$A$1:$L$181,MATCH('CS2 NEW'!$G12,'TONG HOP DIA DIEM'!$G$1:$G$181,0),4)</f>
        <v>HCM_NM_PX</v>
      </c>
    </row>
    <row r="13" spans="1:13" x14ac:dyDescent="0.2">
      <c r="A13" t="s">
        <v>5</v>
      </c>
      <c r="B13" t="s">
        <v>21</v>
      </c>
      <c r="C13" t="s">
        <v>24</v>
      </c>
      <c r="G13" s="4" t="s">
        <v>300</v>
      </c>
      <c r="H13" s="4" t="s">
        <v>301</v>
      </c>
      <c r="I13" s="4">
        <v>1</v>
      </c>
      <c r="J13" s="4"/>
      <c r="K13" s="4">
        <v>11</v>
      </c>
      <c r="L13" s="4" t="str">
        <f>M13&amp;"."&amp;$E$2&amp;"."&amp;$F$2&amp;"."&amp;K13&amp;INDEX('TONG HOP DIA DIEM'!$A$1:$L$181,MATCH('CS2 NEW'!$G13,'TONG HOP DIA DIEM'!$G$1:$G$181,0),3)</f>
        <v>HCM_NM_HPh.26.05.11.L</v>
      </c>
      <c r="M13" s="4" t="str">
        <f>INDEX('TONG HOP DIA DIEM'!$A$1:$L$181,MATCH('CS2 NEW'!$G13,'TONG HOP DIA DIEM'!$G$1:$G$181,0),4)</f>
        <v>HCM_NM_HPh</v>
      </c>
    </row>
    <row r="14" spans="1:13" x14ac:dyDescent="0.2">
      <c r="A14" t="s">
        <v>7</v>
      </c>
      <c r="B14" t="s">
        <v>21</v>
      </c>
      <c r="C14" t="s">
        <v>25</v>
      </c>
      <c r="G14" s="4" t="s">
        <v>302</v>
      </c>
      <c r="H14" s="4" t="s">
        <v>303</v>
      </c>
      <c r="I14" s="4">
        <v>1</v>
      </c>
      <c r="J14" s="4"/>
      <c r="K14" s="4">
        <v>11</v>
      </c>
      <c r="L14" s="4" t="str">
        <f>M14&amp;"."&amp;$E$2&amp;"."&amp;$F$2&amp;"."&amp;K14&amp;INDEX('TONG HOP DIA DIEM'!$A$1:$L$181,MATCH('CS2 NEW'!$G14,'TONG HOP DIA DIEM'!$G$1:$G$181,0),3)</f>
        <v>HCM_NM_BLa.26.05.11.X</v>
      </c>
      <c r="M14" s="4" t="str">
        <f>INDEX('TONG HOP DIA DIEM'!$A$1:$L$181,MATCH('CS2 NEW'!$G14,'TONG HOP DIA DIEM'!$G$1:$G$181,0),4)</f>
        <v>HCM_NM_BLa</v>
      </c>
    </row>
    <row r="15" spans="1:13" x14ac:dyDescent="0.2">
      <c r="A15" t="s">
        <v>9</v>
      </c>
      <c r="B15" t="s">
        <v>21</v>
      </c>
      <c r="C15" t="s">
        <v>26</v>
      </c>
      <c r="G15" s="4" t="s">
        <v>304</v>
      </c>
      <c r="H15" s="4" t="s">
        <v>305</v>
      </c>
      <c r="I15" s="4">
        <v>1</v>
      </c>
      <c r="J15" s="4"/>
      <c r="K15" s="4">
        <v>11</v>
      </c>
      <c r="L15" s="4" t="str">
        <f>M15&amp;"."&amp;$E$2&amp;"."&amp;$F$2&amp;"."&amp;K15&amp;INDEX('TONG HOP DIA DIEM'!$A$1:$L$181,MATCH('CS2 NEW'!$G15,'TONG HOP DIA DIEM'!$G$1:$G$181,0),3)</f>
        <v>HCM_NM_LHTK.26.05.11.X</v>
      </c>
      <c r="M15" s="4" t="str">
        <f>INDEX('TONG HOP DIA DIEM'!$A$1:$L$181,MATCH('CS2 NEW'!$G15,'TONG HOP DIA DIEM'!$G$1:$G$181,0),4)</f>
        <v>HCM_NM_LHTK</v>
      </c>
    </row>
    <row r="16" spans="1:13" x14ac:dyDescent="0.2">
      <c r="A16" t="s">
        <v>11</v>
      </c>
      <c r="B16" t="s">
        <v>21</v>
      </c>
      <c r="C16" t="s">
        <v>27</v>
      </c>
      <c r="G16" s="4" t="s">
        <v>306</v>
      </c>
      <c r="H16" s="4" t="s">
        <v>307</v>
      </c>
      <c r="I16" s="4">
        <v>1</v>
      </c>
      <c r="J16" s="4"/>
      <c r="K16" s="4">
        <v>11</v>
      </c>
      <c r="L16" s="4" t="str">
        <f>M16&amp;"."&amp;$E$2&amp;"."&amp;$F$2&amp;"."&amp;K16&amp;INDEX('TONG HOP DIA DIEM'!$A$1:$L$181,MATCH('CS2 NEW'!$G16,'TONG HOP DIA DIEM'!$G$1:$G$181,0),3)</f>
        <v>HCM_NM_PX.26.05.11.X</v>
      </c>
      <c r="M16" s="4" t="str">
        <f>INDEX('TONG HOP DIA DIEM'!$A$1:$L$181,MATCH('CS2 NEW'!$G16,'TONG HOP DIA DIEM'!$G$1:$G$181,0),4)</f>
        <v>HCM_NM_PX</v>
      </c>
    </row>
    <row r="17" spans="1:13" x14ac:dyDescent="0.2">
      <c r="A17" t="s">
        <v>13</v>
      </c>
      <c r="B17" t="s">
        <v>21</v>
      </c>
      <c r="C17" t="s">
        <v>28</v>
      </c>
      <c r="G17" s="4" t="s">
        <v>308</v>
      </c>
      <c r="H17" s="4" t="s">
        <v>309</v>
      </c>
      <c r="I17" s="4">
        <v>1</v>
      </c>
      <c r="J17" s="4"/>
      <c r="K17" s="4">
        <v>11</v>
      </c>
      <c r="L17" s="4" t="str">
        <f>M17&amp;"."&amp;$E$2&amp;"."&amp;$F$2&amp;"."&amp;K17&amp;INDEX('TONG HOP DIA DIEM'!$A$1:$L$181,MATCH('CS2 NEW'!$G17,'TONG HOP DIA DIEM'!$G$1:$G$181,0),3)</f>
        <v>HCM_NM_HPh.26.05.11.X</v>
      </c>
      <c r="M17" s="4" t="str">
        <f>INDEX('TONG HOP DIA DIEM'!$A$1:$L$181,MATCH('CS2 NEW'!$G17,'TONG HOP DIA DIEM'!$G$1:$G$181,0),4)</f>
        <v>HCM_NM_HPh</v>
      </c>
    </row>
    <row r="18" spans="1:13" x14ac:dyDescent="0.2">
      <c r="A18" t="s">
        <v>15</v>
      </c>
      <c r="B18" t="s">
        <v>21</v>
      </c>
      <c r="C18" t="s">
        <v>29</v>
      </c>
      <c r="G18" s="4" t="s">
        <v>310</v>
      </c>
      <c r="H18" s="4" t="s">
        <v>311</v>
      </c>
      <c r="I18" s="4">
        <v>1</v>
      </c>
      <c r="J18" s="4"/>
      <c r="K18" s="4">
        <v>12</v>
      </c>
      <c r="L18" s="4" t="str">
        <f>M18&amp;"."&amp;$E$2&amp;"."&amp;$F$2&amp;"."&amp;K18&amp;INDEX('TONG HOP DIA DIEM'!$A$1:$L$181,MATCH('CS2 NEW'!$G18,'TONG HOP DIA DIEM'!$G$1:$G$181,0),3)</f>
        <v>HCM_NM_CS1.26.05.12.L</v>
      </c>
      <c r="M18" s="4" t="str">
        <f>INDEX('TONG HOP DIA DIEM'!$A$1:$L$181,MATCH('CS2 NEW'!$G18,'TONG HOP DIA DIEM'!$G$1:$G$181,0),4)</f>
        <v>HCM_NM_CS1</v>
      </c>
    </row>
    <row r="19" spans="1:13" x14ac:dyDescent="0.2">
      <c r="A19" t="s">
        <v>17</v>
      </c>
      <c r="B19" t="s">
        <v>21</v>
      </c>
      <c r="C19" t="s">
        <v>30</v>
      </c>
      <c r="G19" s="4" t="s">
        <v>312</v>
      </c>
      <c r="H19" s="4" t="s">
        <v>313</v>
      </c>
      <c r="I19" s="4">
        <v>1</v>
      </c>
      <c r="J19" s="4"/>
      <c r="K19" s="4">
        <v>12</v>
      </c>
      <c r="L19" s="4" t="str">
        <f>M19&amp;"."&amp;$E$2&amp;"."&amp;$F$2&amp;"."&amp;K19&amp;INDEX('TONG HOP DIA DIEM'!$A$1:$L$181,MATCH('CS2 NEW'!$G19,'TONG HOP DIA DIEM'!$G$1:$G$181,0),3)</f>
        <v>HCM_NM_LVS.26.05.12.L</v>
      </c>
      <c r="M19" s="4" t="str">
        <f>INDEX('TONG HOP DIA DIEM'!$A$1:$L$181,MATCH('CS2 NEW'!$G19,'TONG HOP DIA DIEM'!$G$1:$G$181,0),4)</f>
        <v>HCM_NM_LVS</v>
      </c>
    </row>
    <row r="20" spans="1:13" x14ac:dyDescent="0.2">
      <c r="A20" t="s">
        <v>19</v>
      </c>
      <c r="B20" t="s">
        <v>21</v>
      </c>
      <c r="C20" t="s">
        <v>31</v>
      </c>
      <c r="G20" s="4" t="s">
        <v>314</v>
      </c>
      <c r="H20" s="4" t="s">
        <v>315</v>
      </c>
      <c r="I20" s="4">
        <v>1</v>
      </c>
      <c r="J20" s="4"/>
      <c r="K20" s="4">
        <v>12</v>
      </c>
      <c r="L20" s="4" t="str">
        <f>M20&amp;"."&amp;$E$2&amp;"."&amp;$F$2&amp;"."&amp;K20&amp;INDEX('TONG HOP DIA DIEM'!$A$1:$L$181,MATCH('CS2 NEW'!$G20,'TONG HOP DIA DIEM'!$G$1:$G$181,0),3)</f>
        <v>HCM_NM_HĐ.26.05.12.L</v>
      </c>
      <c r="M20" s="4" t="str">
        <f>INDEX('TONG HOP DIA DIEM'!$A$1:$L$181,MATCH('CS2 NEW'!$G20,'TONG HOP DIA DIEM'!$G$1:$G$181,0),4)</f>
        <v>HCM_NM_HĐ</v>
      </c>
    </row>
    <row r="21" spans="1:13" x14ac:dyDescent="0.2">
      <c r="A21" t="s">
        <v>32</v>
      </c>
      <c r="B21" t="s">
        <v>1</v>
      </c>
      <c r="C21" t="s">
        <v>33</v>
      </c>
      <c r="G21" s="4" t="s">
        <v>316</v>
      </c>
      <c r="H21" s="4" t="s">
        <v>317</v>
      </c>
      <c r="I21" s="4">
        <v>1</v>
      </c>
      <c r="J21" s="4"/>
      <c r="K21" s="4">
        <v>12</v>
      </c>
      <c r="L21" s="4" t="str">
        <f>M21&amp;"."&amp;$E$2&amp;"."&amp;$F$2&amp;"."&amp;K21&amp;INDEX('TONG HOP DIA DIEM'!$A$1:$L$181,MATCH('CS2 NEW'!$G21,'TONG HOP DIA DIEM'!$G$1:$G$181,0),3)</f>
        <v>HCM_NM_ĐBP.26.05.12.L</v>
      </c>
      <c r="M21" s="4" t="str">
        <f>INDEX('TONG HOP DIA DIEM'!$A$1:$L$181,MATCH('CS2 NEW'!$G21,'TONG HOP DIA DIEM'!$G$1:$G$181,0),4)</f>
        <v>HCM_NM_ĐBP</v>
      </c>
    </row>
    <row r="22" spans="1:13" x14ac:dyDescent="0.2">
      <c r="A22" t="s">
        <v>34</v>
      </c>
      <c r="B22" t="s">
        <v>1</v>
      </c>
      <c r="C22" t="s">
        <v>35</v>
      </c>
      <c r="G22" s="4" t="s">
        <v>318</v>
      </c>
      <c r="H22" s="4" t="s">
        <v>319</v>
      </c>
      <c r="I22" s="4">
        <v>1</v>
      </c>
      <c r="J22" s="4"/>
      <c r="K22" s="4">
        <v>12</v>
      </c>
      <c r="L22" s="4" t="str">
        <f>M22&amp;"."&amp;$E$2&amp;"."&amp;$F$2&amp;"."&amp;K22&amp;INDEX('TONG HOP DIA DIEM'!$A$1:$L$181,MATCH('CS2 NEW'!$G22,'TONG HOP DIA DIEM'!$G$1:$G$181,0),3)</f>
        <v>HCM_NM_BHN.26.05.12.L</v>
      </c>
      <c r="M22" s="4" t="str">
        <f>INDEX('TONG HOP DIA DIEM'!$A$1:$L$181,MATCH('CS2 NEW'!$G22,'TONG HOP DIA DIEM'!$G$1:$G$181,0),4)</f>
        <v>HCM_NM_BHN</v>
      </c>
    </row>
    <row r="23" spans="1:13" x14ac:dyDescent="0.2">
      <c r="A23" t="s">
        <v>36</v>
      </c>
      <c r="B23" t="s">
        <v>1</v>
      </c>
      <c r="C23" t="s">
        <v>37</v>
      </c>
      <c r="G23" s="4" t="s">
        <v>320</v>
      </c>
      <c r="H23" s="4" t="s">
        <v>321</v>
      </c>
      <c r="I23" s="4">
        <v>1</v>
      </c>
      <c r="J23" s="4">
        <v>3</v>
      </c>
      <c r="K23" s="4">
        <v>12</v>
      </c>
      <c r="L23" s="4" t="str">
        <f>M23&amp;"."&amp;$E$2&amp;"."&amp;$F$2&amp;"."&amp;K23&amp;INDEX('TONG HOP DIA DIEM'!$A$1:$L$181,MATCH('CS2 NEW'!$G23,'TONG HOP DIA DIEM'!$G$1:$G$181,0),3)</f>
        <v>HCM_NM_CS1.26.05.12.X</v>
      </c>
      <c r="M23" s="4" t="str">
        <f>INDEX('TONG HOP DIA DIEM'!$A$1:$L$181,MATCH('CS2 NEW'!$G23,'TONG HOP DIA DIEM'!$G$1:$G$181,0),4)</f>
        <v>HCM_NM_CS1</v>
      </c>
    </row>
    <row r="24" spans="1:13" x14ac:dyDescent="0.2">
      <c r="A24" t="s">
        <v>38</v>
      </c>
      <c r="B24" t="s">
        <v>1</v>
      </c>
      <c r="C24" t="s">
        <v>39</v>
      </c>
      <c r="G24" s="4" t="s">
        <v>322</v>
      </c>
      <c r="H24" s="4" t="s">
        <v>323</v>
      </c>
      <c r="I24" s="4">
        <v>1</v>
      </c>
      <c r="J24" s="4"/>
      <c r="K24" s="4">
        <v>12</v>
      </c>
      <c r="L24" s="4" t="str">
        <f>M24&amp;"."&amp;$E$2&amp;"."&amp;$F$2&amp;"."&amp;K24&amp;INDEX('TONG HOP DIA DIEM'!$A$1:$L$181,MATCH('CS2 NEW'!$G24,'TONG HOP DIA DIEM'!$G$1:$G$181,0),3)</f>
        <v>HCM_NM_LVS.26.05.12.X</v>
      </c>
      <c r="M24" s="4" t="str">
        <f>INDEX('TONG HOP DIA DIEM'!$A$1:$L$181,MATCH('CS2 NEW'!$G24,'TONG HOP DIA DIEM'!$G$1:$G$181,0),4)</f>
        <v>HCM_NM_LVS</v>
      </c>
    </row>
    <row r="25" spans="1:13" x14ac:dyDescent="0.2">
      <c r="A25" t="s">
        <v>40</v>
      </c>
      <c r="B25" t="s">
        <v>1</v>
      </c>
      <c r="C25" t="s">
        <v>41</v>
      </c>
      <c r="G25" s="4" t="s">
        <v>324</v>
      </c>
      <c r="H25" s="4" t="s">
        <v>325</v>
      </c>
      <c r="I25" s="4">
        <v>1</v>
      </c>
      <c r="J25" s="4"/>
      <c r="K25" s="4">
        <v>12</v>
      </c>
      <c r="L25" s="4" t="str">
        <f>M25&amp;"."&amp;$E$2&amp;"."&amp;$F$2&amp;"."&amp;K25&amp;INDEX('TONG HOP DIA DIEM'!$A$1:$L$181,MATCH('CS2 NEW'!$G25,'TONG HOP DIA DIEM'!$G$1:$G$181,0),3)</f>
        <v>HCM_NM_HĐ.26.05.12.X</v>
      </c>
      <c r="M25" s="4" t="str">
        <f>INDEX('TONG HOP DIA DIEM'!$A$1:$L$181,MATCH('CS2 NEW'!$G25,'TONG HOP DIA DIEM'!$G$1:$G$181,0),4)</f>
        <v>HCM_NM_HĐ</v>
      </c>
    </row>
    <row r="26" spans="1:13" x14ac:dyDescent="0.2">
      <c r="A26" t="s">
        <v>42</v>
      </c>
      <c r="B26" t="s">
        <v>1</v>
      </c>
      <c r="C26" t="s">
        <v>43</v>
      </c>
      <c r="G26" s="4" t="s">
        <v>326</v>
      </c>
      <c r="H26" s="4" t="s">
        <v>327</v>
      </c>
      <c r="I26" s="4">
        <v>1</v>
      </c>
      <c r="J26" s="4"/>
      <c r="K26" s="4">
        <v>12</v>
      </c>
      <c r="L26" s="4" t="str">
        <f>M26&amp;"."&amp;$E$2&amp;"."&amp;$F$2&amp;"."&amp;K26&amp;INDEX('TONG HOP DIA DIEM'!$A$1:$L$181,MATCH('CS2 NEW'!$G26,'TONG HOP DIA DIEM'!$G$1:$G$181,0),3)</f>
        <v>HCM_NM_ĐBP.26.05.12.X</v>
      </c>
      <c r="M26" s="4" t="str">
        <f>INDEX('TONG HOP DIA DIEM'!$A$1:$L$181,MATCH('CS2 NEW'!$G26,'TONG HOP DIA DIEM'!$G$1:$G$181,0),4)</f>
        <v>HCM_NM_ĐBP</v>
      </c>
    </row>
    <row r="27" spans="1:13" x14ac:dyDescent="0.2">
      <c r="A27" t="s">
        <v>44</v>
      </c>
      <c r="B27" t="s">
        <v>1</v>
      </c>
      <c r="C27" t="s">
        <v>45</v>
      </c>
      <c r="G27" s="4" t="s">
        <v>328</v>
      </c>
      <c r="H27" s="4" t="s">
        <v>329</v>
      </c>
      <c r="I27" s="4">
        <v>1</v>
      </c>
      <c r="J27" s="4"/>
      <c r="K27" s="4">
        <v>12</v>
      </c>
      <c r="L27" s="4" t="str">
        <f>M27&amp;"."&amp;$E$2&amp;"."&amp;$F$2&amp;"."&amp;K27&amp;INDEX('TONG HOP DIA DIEM'!$A$1:$L$181,MATCH('CS2 NEW'!$G27,'TONG HOP DIA DIEM'!$G$1:$G$181,0),3)</f>
        <v>HCM_NM_BHN.26.05.12.X</v>
      </c>
      <c r="M27" s="4" t="str">
        <f>INDEX('TONG HOP DIA DIEM'!$A$1:$L$181,MATCH('CS2 NEW'!$G27,'TONG HOP DIA DIEM'!$G$1:$G$181,0),4)</f>
        <v>HCM_NM_BHN</v>
      </c>
    </row>
    <row r="28" spans="1:13" x14ac:dyDescent="0.2">
      <c r="A28" t="s">
        <v>46</v>
      </c>
      <c r="B28" t="s">
        <v>1</v>
      </c>
      <c r="C28" t="s">
        <v>47</v>
      </c>
      <c r="G28" s="4" t="s">
        <v>330</v>
      </c>
      <c r="H28" s="4" t="s">
        <v>331</v>
      </c>
      <c r="I28" s="4">
        <v>1</v>
      </c>
      <c r="J28" s="4"/>
      <c r="K28" s="4">
        <v>12</v>
      </c>
      <c r="L28" s="4" t="str">
        <f>M28&amp;"."&amp;$E$2&amp;"."&amp;$F$2&amp;"."&amp;K28&amp;INDEX('TONG HOP DIA DIEM'!$A$1:$L$181,MATCH('CS2 NEW'!$G28,'TONG HOP DIA DIEM'!$G$1:$G$181,0),3)</f>
        <v>HCM_NM_CĐ.26.05.12.L</v>
      </c>
      <c r="M28" s="4" t="str">
        <f>INDEX('TONG HOP DIA DIEM'!$A$1:$L$181,MATCH('CS2 NEW'!$G28,'TONG HOP DIA DIEM'!$G$1:$G$181,0),4)</f>
        <v>HCM_NM_CĐ</v>
      </c>
    </row>
    <row r="29" spans="1:13" x14ac:dyDescent="0.2">
      <c r="A29" t="s">
        <v>32</v>
      </c>
      <c r="B29" t="s">
        <v>21</v>
      </c>
      <c r="C29" t="s">
        <v>48</v>
      </c>
      <c r="G29" s="4" t="s">
        <v>332</v>
      </c>
      <c r="H29" s="4" t="s">
        <v>333</v>
      </c>
      <c r="I29" s="4">
        <v>1</v>
      </c>
      <c r="J29" s="4"/>
      <c r="K29" s="4">
        <v>12</v>
      </c>
      <c r="L29" s="4" t="str">
        <f>M29&amp;"."&amp;$E$2&amp;"."&amp;$F$2&amp;"."&amp;K29&amp;INDEX('TONG HOP DIA DIEM'!$A$1:$L$181,MATCH('CS2 NEW'!$G29,'TONG HOP DIA DIEM'!$G$1:$G$181,0),3)</f>
        <v>HCM_NM_TN2.26.05.12.L</v>
      </c>
      <c r="M29" s="4" t="str">
        <f>INDEX('TONG HOP DIA DIEM'!$A$1:$L$181,MATCH('CS2 NEW'!$G29,'TONG HOP DIA DIEM'!$G$1:$G$181,0),4)</f>
        <v>HCM_NM_TN2</v>
      </c>
    </row>
    <row r="30" spans="1:13" x14ac:dyDescent="0.2">
      <c r="A30" t="s">
        <v>34</v>
      </c>
      <c r="B30" t="s">
        <v>21</v>
      </c>
      <c r="C30" t="s">
        <v>49</v>
      </c>
      <c r="G30" s="4" t="s">
        <v>334</v>
      </c>
      <c r="H30" s="4" t="s">
        <v>335</v>
      </c>
      <c r="I30" s="4">
        <v>1</v>
      </c>
      <c r="J30" s="4"/>
      <c r="K30" s="4">
        <v>12</v>
      </c>
      <c r="L30" s="4" t="str">
        <f>M30&amp;"."&amp;$E$2&amp;"."&amp;$F$2&amp;"."&amp;K30&amp;INDEX('TONG HOP DIA DIEM'!$A$1:$L$181,MATCH('CS2 NEW'!$G30,'TONG HOP DIA DIEM'!$G$1:$G$181,0),3)</f>
        <v>HCM_NM_BĐT.26.05.12.L</v>
      </c>
      <c r="M30" s="4" t="str">
        <f>INDEX('TONG HOP DIA DIEM'!$A$1:$L$181,MATCH('CS2 NEW'!$G30,'TONG HOP DIA DIEM'!$G$1:$G$181,0),4)</f>
        <v>HCM_NM_BĐT</v>
      </c>
    </row>
    <row r="31" spans="1:13" x14ac:dyDescent="0.2">
      <c r="A31" t="s">
        <v>36</v>
      </c>
      <c r="B31" t="s">
        <v>21</v>
      </c>
      <c r="C31" t="s">
        <v>50</v>
      </c>
      <c r="G31" s="4" t="s">
        <v>336</v>
      </c>
      <c r="H31" s="4" t="s">
        <v>337</v>
      </c>
      <c r="I31" s="4">
        <v>1</v>
      </c>
      <c r="J31" s="4"/>
      <c r="K31" s="4">
        <v>12</v>
      </c>
      <c r="L31" s="4" t="str">
        <f>M31&amp;"."&amp;$E$2&amp;"."&amp;$F$2&amp;"."&amp;K31&amp;INDEX('TONG HOP DIA DIEM'!$A$1:$L$181,MATCH('CS2 NEW'!$G31,'TONG HOP DIA DIEM'!$G$1:$G$181,0),3)</f>
        <v>HCM_NM_RVT.26.05.12.L</v>
      </c>
      <c r="M31" s="4" t="str">
        <f>INDEX('TONG HOP DIA DIEM'!$A$1:$L$181,MATCH('CS2 NEW'!$G31,'TONG HOP DIA DIEM'!$G$1:$G$181,0),4)</f>
        <v>HCM_NM_RVT</v>
      </c>
    </row>
    <row r="32" spans="1:13" x14ac:dyDescent="0.2">
      <c r="A32" t="s">
        <v>38</v>
      </c>
      <c r="B32" t="s">
        <v>21</v>
      </c>
      <c r="C32" t="s">
        <v>51</v>
      </c>
      <c r="G32" s="4" t="s">
        <v>338</v>
      </c>
      <c r="H32" s="4" t="s">
        <v>339</v>
      </c>
      <c r="I32" s="4">
        <v>1</v>
      </c>
      <c r="J32" s="4"/>
      <c r="K32" s="4">
        <v>12</v>
      </c>
      <c r="L32" s="4" t="str">
        <f>M32&amp;"."&amp;$E$2&amp;"."&amp;$F$2&amp;"."&amp;K32&amp;INDEX('TONG HOP DIA DIEM'!$A$1:$L$181,MATCH('CS2 NEW'!$G32,'TONG HOP DIA DIEM'!$G$1:$G$181,0),3)</f>
        <v>HCM_NM_RVT2.26.05.12.L</v>
      </c>
      <c r="M32" s="4" t="str">
        <f>INDEX('TONG HOP DIA DIEM'!$A$1:$L$181,MATCH('CS2 NEW'!$G32,'TONG HOP DIA DIEM'!$G$1:$G$181,0),4)</f>
        <v>HCM_NM_RVT2</v>
      </c>
    </row>
    <row r="33" spans="1:13" x14ac:dyDescent="0.2">
      <c r="A33" t="s">
        <v>40</v>
      </c>
      <c r="B33" t="s">
        <v>21</v>
      </c>
      <c r="C33" t="s">
        <v>52</v>
      </c>
      <c r="G33" s="4" t="s">
        <v>340</v>
      </c>
      <c r="H33" s="4" t="s">
        <v>341</v>
      </c>
      <c r="I33" s="4">
        <v>1</v>
      </c>
      <c r="J33" s="4">
        <v>1</v>
      </c>
      <c r="K33" s="4">
        <v>12</v>
      </c>
      <c r="L33" s="4" t="str">
        <f>M33&amp;"."&amp;$E$2&amp;"."&amp;$F$2&amp;"."&amp;K33&amp;INDEX('TONG HOP DIA DIEM'!$A$1:$L$181,MATCH('CS2 NEW'!$G33,'TONG HOP DIA DIEM'!$G$1:$G$181,0),3)</f>
        <v>HCM_NM_CĐ.26.05.12.X</v>
      </c>
      <c r="M33" s="4" t="str">
        <f>INDEX('TONG HOP DIA DIEM'!$A$1:$L$181,MATCH('CS2 NEW'!$G33,'TONG HOP DIA DIEM'!$G$1:$G$181,0),4)</f>
        <v>HCM_NM_CĐ</v>
      </c>
    </row>
    <row r="34" spans="1:13" x14ac:dyDescent="0.2">
      <c r="A34" t="s">
        <v>42</v>
      </c>
      <c r="B34" t="s">
        <v>21</v>
      </c>
      <c r="C34" t="s">
        <v>53</v>
      </c>
      <c r="G34" s="4" t="s">
        <v>342</v>
      </c>
      <c r="H34" s="4" t="s">
        <v>343</v>
      </c>
      <c r="I34" s="4">
        <v>1</v>
      </c>
      <c r="J34" s="4"/>
      <c r="K34" s="4">
        <v>12</v>
      </c>
      <c r="L34" s="4" t="str">
        <f>M34&amp;"."&amp;$E$2&amp;"."&amp;$F$2&amp;"."&amp;K34&amp;INDEX('TONG HOP DIA DIEM'!$A$1:$L$181,MATCH('CS2 NEW'!$G34,'TONG HOP DIA DIEM'!$G$1:$G$181,0),3)</f>
        <v>HCM_NM_TN2.26.05.12.X</v>
      </c>
      <c r="M34" s="4" t="str">
        <f>INDEX('TONG HOP DIA DIEM'!$A$1:$L$181,MATCH('CS2 NEW'!$G34,'TONG HOP DIA DIEM'!$G$1:$G$181,0),4)</f>
        <v>HCM_NM_TN2</v>
      </c>
    </row>
    <row r="35" spans="1:13" x14ac:dyDescent="0.2">
      <c r="A35" t="s">
        <v>44</v>
      </c>
      <c r="B35" t="s">
        <v>21</v>
      </c>
      <c r="C35" t="s">
        <v>54</v>
      </c>
      <c r="G35" s="4" t="s">
        <v>344</v>
      </c>
      <c r="H35" s="4" t="s">
        <v>345</v>
      </c>
      <c r="I35" s="4">
        <v>1</v>
      </c>
      <c r="J35" s="4"/>
      <c r="K35" s="4">
        <v>12</v>
      </c>
      <c r="L35" s="4" t="str">
        <f>M35&amp;"."&amp;$E$2&amp;"."&amp;$F$2&amp;"."&amp;K35&amp;INDEX('TONG HOP DIA DIEM'!$A$1:$L$181,MATCH('CS2 NEW'!$G35,'TONG HOP DIA DIEM'!$G$1:$G$181,0),3)</f>
        <v>HCM_NM_BĐT.26.05.12.X</v>
      </c>
      <c r="M35" s="4" t="str">
        <f>INDEX('TONG HOP DIA DIEM'!$A$1:$L$181,MATCH('CS2 NEW'!$G35,'TONG HOP DIA DIEM'!$G$1:$G$181,0),4)</f>
        <v>HCM_NM_BĐT</v>
      </c>
    </row>
    <row r="36" spans="1:13" x14ac:dyDescent="0.2">
      <c r="A36" t="s">
        <v>46</v>
      </c>
      <c r="B36" t="s">
        <v>21</v>
      </c>
      <c r="C36" t="s">
        <v>55</v>
      </c>
      <c r="G36" s="4" t="s">
        <v>346</v>
      </c>
      <c r="H36" s="4" t="s">
        <v>347</v>
      </c>
      <c r="I36" s="4">
        <v>1</v>
      </c>
      <c r="J36" s="4"/>
      <c r="K36" s="4">
        <v>12</v>
      </c>
      <c r="L36" s="4" t="str">
        <f>M36&amp;"."&amp;$E$2&amp;"."&amp;$F$2&amp;"."&amp;K36&amp;INDEX('TONG HOP DIA DIEM'!$A$1:$L$181,MATCH('CS2 NEW'!$G36,'TONG HOP DIA DIEM'!$G$1:$G$181,0),3)</f>
        <v>HCM_NM_RVT.26.05.12.X</v>
      </c>
      <c r="M36" s="4" t="str">
        <f>INDEX('TONG HOP DIA DIEM'!$A$1:$L$181,MATCH('CS2 NEW'!$G36,'TONG HOP DIA DIEM'!$G$1:$G$181,0),4)</f>
        <v>HCM_NM_RVT</v>
      </c>
    </row>
    <row r="37" spans="1:13" x14ac:dyDescent="0.2">
      <c r="A37" t="s">
        <v>56</v>
      </c>
      <c r="B37" t="s">
        <v>1</v>
      </c>
      <c r="C37" t="s">
        <v>57</v>
      </c>
      <c r="G37" s="4" t="s">
        <v>348</v>
      </c>
      <c r="H37" s="4" t="s">
        <v>349</v>
      </c>
      <c r="I37" s="4">
        <v>1</v>
      </c>
      <c r="J37" s="4"/>
      <c r="K37" s="4">
        <v>12</v>
      </c>
      <c r="L37" s="4" t="str">
        <f>M37&amp;"."&amp;$E$2&amp;"."&amp;$F$2&amp;"."&amp;K37&amp;INDEX('TONG HOP DIA DIEM'!$A$1:$L$181,MATCH('CS2 NEW'!$G37,'TONG HOP DIA DIEM'!$G$1:$G$181,0),3)</f>
        <v>HCM_NM_RVT2.26.05.12.X</v>
      </c>
      <c r="M37" s="4" t="str">
        <f>INDEX('TONG HOP DIA DIEM'!$A$1:$L$181,MATCH('CS2 NEW'!$G37,'TONG HOP DIA DIEM'!$G$1:$G$181,0),4)</f>
        <v>HCM_NM_RVT2</v>
      </c>
    </row>
    <row r="38" spans="1:13" x14ac:dyDescent="0.2">
      <c r="A38" t="s">
        <v>58</v>
      </c>
      <c r="B38" t="s">
        <v>1</v>
      </c>
      <c r="C38" t="s">
        <v>59</v>
      </c>
      <c r="G38" s="4" t="s">
        <v>350</v>
      </c>
      <c r="H38" s="4" t="s">
        <v>351</v>
      </c>
      <c r="I38" s="4">
        <v>1</v>
      </c>
      <c r="J38" s="4"/>
      <c r="K38" s="4">
        <v>13</v>
      </c>
      <c r="L38" s="4" t="str">
        <f>M38&amp;"."&amp;$E$2&amp;"."&amp;$F$2&amp;"."&amp;K38&amp;INDEX('TONG HOP DIA DIEM'!$A$1:$L$181,MATCH('CS2 NEW'!$G38,'TONG HOP DIA DIEM'!$G$1:$G$181,0),3)</f>
        <v>HCM_NM_CTL9.26.05.13.L</v>
      </c>
      <c r="M38" s="4" t="str">
        <f>INDEX('TONG HOP DIA DIEM'!$A$1:$L$181,MATCH('CS2 NEW'!$G38,'TONG HOP DIA DIEM'!$G$1:$G$181,0),4)</f>
        <v>HCM_NM_CTL9</v>
      </c>
    </row>
    <row r="39" spans="1:13" x14ac:dyDescent="0.2">
      <c r="A39" t="s">
        <v>60</v>
      </c>
      <c r="B39" t="s">
        <v>1</v>
      </c>
      <c r="C39" t="s">
        <v>61</v>
      </c>
      <c r="G39" s="4" t="s">
        <v>352</v>
      </c>
      <c r="H39" s="4" t="s">
        <v>353</v>
      </c>
      <c r="I39" s="4">
        <v>1</v>
      </c>
      <c r="J39" s="4"/>
      <c r="K39" s="4">
        <v>13</v>
      </c>
      <c r="L39" s="4" t="str">
        <f>M39&amp;"."&amp;$E$2&amp;"."&amp;$F$2&amp;"."&amp;K39&amp;INDEX('TONG HOP DIA DIEM'!$A$1:$L$181,MATCH('CS2 NEW'!$G39,'TONG HOP DIA DIEM'!$G$1:$G$181,0),3)</f>
        <v>HCM_NM_XTS.26.05.13.L</v>
      </c>
      <c r="M39" s="4" t="str">
        <f>INDEX('TONG HOP DIA DIEM'!$A$1:$L$181,MATCH('CS2 NEW'!$G39,'TONG HOP DIA DIEM'!$G$1:$G$181,0),4)</f>
        <v>HCM_NM_XTS</v>
      </c>
    </row>
    <row r="40" spans="1:13" x14ac:dyDescent="0.2">
      <c r="A40" t="s">
        <v>62</v>
      </c>
      <c r="B40" t="s">
        <v>1</v>
      </c>
      <c r="C40" t="s">
        <v>63</v>
      </c>
      <c r="G40" s="4" t="s">
        <v>354</v>
      </c>
      <c r="H40" s="4" t="s">
        <v>355</v>
      </c>
      <c r="I40" s="4">
        <v>1</v>
      </c>
      <c r="J40" s="4"/>
      <c r="K40" s="4">
        <v>13</v>
      </c>
      <c r="L40" s="4" t="str">
        <f>M40&amp;"."&amp;$E$2&amp;"."&amp;$F$2&amp;"."&amp;K40&amp;INDEX('TONG HOP DIA DIEM'!$A$1:$L$181,MATCH('CS2 NEW'!$G40,'TONG HOP DIA DIEM'!$G$1:$G$181,0),3)</f>
        <v>HCM_NM_CLo.26.05.13.L</v>
      </c>
      <c r="M40" s="4" t="str">
        <f>INDEX('TONG HOP DIA DIEM'!$A$1:$L$181,MATCH('CS2 NEW'!$G40,'TONG HOP DIA DIEM'!$G$1:$G$181,0),4)</f>
        <v>HCM_NM_CLo</v>
      </c>
    </row>
    <row r="41" spans="1:13" x14ac:dyDescent="0.2">
      <c r="A41" t="s">
        <v>64</v>
      </c>
      <c r="B41" t="s">
        <v>1</v>
      </c>
      <c r="C41" t="s">
        <v>65</v>
      </c>
      <c r="G41" s="4" t="s">
        <v>356</v>
      </c>
      <c r="H41" s="4" t="s">
        <v>357</v>
      </c>
      <c r="I41" s="4">
        <v>1</v>
      </c>
      <c r="J41" s="4"/>
      <c r="K41" s="4">
        <v>13</v>
      </c>
      <c r="L41" s="4" t="str">
        <f>M41&amp;"."&amp;$E$2&amp;"."&amp;$F$2&amp;"."&amp;K41&amp;INDEX('TONG HOP DIA DIEM'!$A$1:$L$181,MATCH('CS2 NEW'!$G41,'TONG HOP DIA DIEM'!$G$1:$G$181,0),3)</f>
        <v>HCM_NM_AH.26.05.13.L</v>
      </c>
      <c r="M41" s="4" t="str">
        <f>INDEX('TONG HOP DIA DIEM'!$A$1:$L$181,MATCH('CS2 NEW'!$G41,'TONG HOP DIA DIEM'!$G$1:$G$181,0),4)</f>
        <v>HCM_NM_AH</v>
      </c>
    </row>
    <row r="42" spans="1:13" x14ac:dyDescent="0.2">
      <c r="A42" t="s">
        <v>66</v>
      </c>
      <c r="B42" t="s">
        <v>1</v>
      </c>
      <c r="C42" t="s">
        <v>67</v>
      </c>
      <c r="G42" s="4" t="s">
        <v>358</v>
      </c>
      <c r="H42" s="4" t="s">
        <v>359</v>
      </c>
      <c r="I42" s="4">
        <v>1</v>
      </c>
      <c r="J42" s="4"/>
      <c r="K42" s="4">
        <v>13</v>
      </c>
      <c r="L42" s="4" t="str">
        <f>M42&amp;"."&amp;$E$2&amp;"."&amp;$F$2&amp;"."&amp;K42&amp;INDEX('TONG HOP DIA DIEM'!$A$1:$L$181,MATCH('CS2 NEW'!$G42,'TONG HOP DIA DIEM'!$G$1:$G$181,0),3)</f>
        <v>HCM_NM_RR.26.05.13.L</v>
      </c>
      <c r="M42" s="4" t="str">
        <f>INDEX('TONG HOP DIA DIEM'!$A$1:$L$181,MATCH('CS2 NEW'!$G42,'TONG HOP DIA DIEM'!$G$1:$G$181,0),4)</f>
        <v>HCM_NM_RR</v>
      </c>
    </row>
    <row r="43" spans="1:13" x14ac:dyDescent="0.2">
      <c r="A43" t="s">
        <v>68</v>
      </c>
      <c r="B43" t="s">
        <v>1</v>
      </c>
      <c r="C43" t="s">
        <v>69</v>
      </c>
      <c r="G43" s="4" t="s">
        <v>360</v>
      </c>
      <c r="H43" s="4" t="s">
        <v>361</v>
      </c>
      <c r="I43" s="4">
        <v>1</v>
      </c>
      <c r="J43" s="4"/>
      <c r="K43" s="4">
        <v>13</v>
      </c>
      <c r="L43" s="4" t="str">
        <f>M43&amp;"."&amp;$E$2&amp;"."&amp;$F$2&amp;"."&amp;K43&amp;INDEX('TONG HOP DIA DIEM'!$A$1:$L$181,MATCH('CS2 NEW'!$G43,'TONG HOP DIA DIEM'!$G$1:$G$181,0),3)</f>
        <v>HCM_NM_CTL9.26.05.13.X</v>
      </c>
      <c r="M43" s="4" t="str">
        <f>INDEX('TONG HOP DIA DIEM'!$A$1:$L$181,MATCH('CS2 NEW'!$G43,'TONG HOP DIA DIEM'!$G$1:$G$181,0),4)</f>
        <v>HCM_NM_CTL9</v>
      </c>
    </row>
    <row r="44" spans="1:13" x14ac:dyDescent="0.2">
      <c r="A44" t="s">
        <v>70</v>
      </c>
      <c r="B44" t="s">
        <v>1</v>
      </c>
      <c r="C44" t="s">
        <v>71</v>
      </c>
      <c r="G44" s="4" t="s">
        <v>362</v>
      </c>
      <c r="H44" s="4" t="s">
        <v>363</v>
      </c>
      <c r="I44" s="4">
        <v>1</v>
      </c>
      <c r="J44" s="4"/>
      <c r="K44" s="4">
        <v>13</v>
      </c>
      <c r="L44" s="4" t="str">
        <f>M44&amp;"."&amp;$E$2&amp;"."&amp;$F$2&amp;"."&amp;K44&amp;INDEX('TONG HOP DIA DIEM'!$A$1:$L$181,MATCH('CS2 NEW'!$G44,'TONG HOP DIA DIEM'!$G$1:$G$181,0),3)</f>
        <v>HCM_NM_XTS.26.05.13.X</v>
      </c>
      <c r="M44" s="4" t="str">
        <f>INDEX('TONG HOP DIA DIEM'!$A$1:$L$181,MATCH('CS2 NEW'!$G44,'TONG HOP DIA DIEM'!$G$1:$G$181,0),4)</f>
        <v>HCM_NM_XTS</v>
      </c>
    </row>
    <row r="45" spans="1:13" x14ac:dyDescent="0.2">
      <c r="A45" t="s">
        <v>72</v>
      </c>
      <c r="B45" t="s">
        <v>1</v>
      </c>
      <c r="C45" t="s">
        <v>73</v>
      </c>
      <c r="G45" s="4" t="s">
        <v>364</v>
      </c>
      <c r="H45" s="4" t="s">
        <v>365</v>
      </c>
      <c r="I45" s="4">
        <v>1</v>
      </c>
      <c r="J45" s="4"/>
      <c r="K45" s="4">
        <v>13</v>
      </c>
      <c r="L45" s="4" t="str">
        <f>M45&amp;"."&amp;$E$2&amp;"."&amp;$F$2&amp;"."&amp;K45&amp;INDEX('TONG HOP DIA DIEM'!$A$1:$L$181,MATCH('CS2 NEW'!$G45,'TONG HOP DIA DIEM'!$G$1:$G$181,0),3)</f>
        <v>HCM_NM_CLo.26.05.13.X</v>
      </c>
      <c r="M45" s="4" t="str">
        <f>INDEX('TONG HOP DIA DIEM'!$A$1:$L$181,MATCH('CS2 NEW'!$G45,'TONG HOP DIA DIEM'!$G$1:$G$181,0),4)</f>
        <v>HCM_NM_CLo</v>
      </c>
    </row>
    <row r="46" spans="1:13" x14ac:dyDescent="0.2">
      <c r="A46" t="s">
        <v>56</v>
      </c>
      <c r="B46" t="s">
        <v>21</v>
      </c>
      <c r="C46" t="s">
        <v>74</v>
      </c>
      <c r="G46" s="4" t="s">
        <v>366</v>
      </c>
      <c r="H46" s="4" t="s">
        <v>367</v>
      </c>
      <c r="I46" s="4">
        <v>1</v>
      </c>
      <c r="J46" s="4"/>
      <c r="K46" s="4">
        <v>13</v>
      </c>
      <c r="L46" s="4" t="str">
        <f>M46&amp;"."&amp;$E$2&amp;"."&amp;$F$2&amp;"."&amp;K46&amp;INDEX('TONG HOP DIA DIEM'!$A$1:$L$181,MATCH('CS2 NEW'!$G46,'TONG HOP DIA DIEM'!$G$1:$G$181,0),3)</f>
        <v>HCM_NM_AH.26.05.13.X</v>
      </c>
      <c r="M46" s="4" t="str">
        <f>INDEX('TONG HOP DIA DIEM'!$A$1:$L$181,MATCH('CS2 NEW'!$G46,'TONG HOP DIA DIEM'!$G$1:$G$181,0),4)</f>
        <v>HCM_NM_AH</v>
      </c>
    </row>
    <row r="47" spans="1:13" x14ac:dyDescent="0.2">
      <c r="A47" t="s">
        <v>58</v>
      </c>
      <c r="B47" t="s">
        <v>21</v>
      </c>
      <c r="C47" t="s">
        <v>75</v>
      </c>
      <c r="G47" s="4" t="s">
        <v>368</v>
      </c>
      <c r="H47" s="4" t="s">
        <v>369</v>
      </c>
      <c r="I47" s="4">
        <v>1</v>
      </c>
      <c r="J47" s="4">
        <v>1</v>
      </c>
      <c r="K47" s="4">
        <v>13</v>
      </c>
      <c r="L47" s="4" t="str">
        <f>M47&amp;"."&amp;$E$2&amp;"."&amp;$F$2&amp;"."&amp;K47&amp;INDEX('TONG HOP DIA DIEM'!$A$1:$L$181,MATCH('CS2 NEW'!$G47,'TONG HOP DIA DIEM'!$G$1:$G$181,0),3)</f>
        <v>HCM_NM_RR.26.05.13.X</v>
      </c>
      <c r="M47" s="4" t="str">
        <f>INDEX('TONG HOP DIA DIEM'!$A$1:$L$181,MATCH('CS2 NEW'!$G47,'TONG HOP DIA DIEM'!$G$1:$G$181,0),4)</f>
        <v>HCM_NM_RR</v>
      </c>
    </row>
    <row r="48" spans="1:13" x14ac:dyDescent="0.2">
      <c r="A48" t="s">
        <v>60</v>
      </c>
      <c r="B48" t="s">
        <v>21</v>
      </c>
      <c r="C48" t="s">
        <v>76</v>
      </c>
      <c r="G48" s="4" t="s">
        <v>370</v>
      </c>
      <c r="H48" s="4" t="s">
        <v>371</v>
      </c>
      <c r="I48" s="4">
        <v>1</v>
      </c>
      <c r="J48" s="4">
        <v>2</v>
      </c>
      <c r="K48" s="4">
        <v>14</v>
      </c>
      <c r="L48" s="4" t="str">
        <f>M48&amp;"."&amp;$E$2&amp;"."&amp;$F$2&amp;"."&amp;K48&amp;INDEX('TONG HOP DIA DIEM'!$A$1:$L$181,MATCH('CS2 NEW'!$G48,'TONG HOP DIA DIEM'!$G$1:$G$181,0),3)</f>
        <v>HCM_NM_VT.26.05.14.L</v>
      </c>
      <c r="M48" s="4" t="str">
        <f>INDEX('TONG HOP DIA DIEM'!$A$1:$L$181,MATCH('CS2 NEW'!$G48,'TONG HOP DIA DIEM'!$G$1:$G$181,0),4)</f>
        <v>HCM_NM_VT</v>
      </c>
    </row>
    <row r="49" spans="1:13" x14ac:dyDescent="0.2">
      <c r="A49" t="s">
        <v>62</v>
      </c>
      <c r="B49" t="s">
        <v>21</v>
      </c>
      <c r="C49" t="s">
        <v>77</v>
      </c>
      <c r="G49" s="4" t="s">
        <v>372</v>
      </c>
      <c r="H49" s="4" t="s">
        <v>373</v>
      </c>
      <c r="I49" s="4">
        <v>1</v>
      </c>
      <c r="J49" s="4"/>
      <c r="K49" s="4">
        <v>14</v>
      </c>
      <c r="L49" s="4" t="str">
        <f>M49&amp;"."&amp;$E$2&amp;"."&amp;$F$2&amp;"."&amp;K49&amp;INDEX('TONG HOP DIA DIEM'!$A$1:$L$181,MATCH('CS2 NEW'!$G49,'TONG HOP DIA DIEM'!$G$1:$G$181,0),3)</f>
        <v>HCM_NM_AL.26.05.14.L</v>
      </c>
      <c r="M49" s="4" t="str">
        <f>INDEX('TONG HOP DIA DIEM'!$A$1:$L$181,MATCH('CS2 NEW'!$G49,'TONG HOP DIA DIEM'!$G$1:$G$181,0),4)</f>
        <v>HCM_NM_AL</v>
      </c>
    </row>
    <row r="50" spans="1:13" x14ac:dyDescent="0.2">
      <c r="A50" t="s">
        <v>64</v>
      </c>
      <c r="B50" t="s">
        <v>21</v>
      </c>
      <c r="C50" t="s">
        <v>78</v>
      </c>
      <c r="G50" s="4" t="s">
        <v>374</v>
      </c>
      <c r="H50" s="4" t="s">
        <v>375</v>
      </c>
      <c r="I50" s="4">
        <v>1</v>
      </c>
      <c r="J50" s="4"/>
      <c r="K50" s="4">
        <v>14</v>
      </c>
      <c r="L50" s="4" t="str">
        <f>M50&amp;"."&amp;$E$2&amp;"."&amp;$F$2&amp;"."&amp;K50&amp;INDEX('TONG HOP DIA DIEM'!$A$1:$L$181,MATCH('CS2 NEW'!$G50,'TONG HOP DIA DIEM'!$G$1:$G$181,0),3)</f>
        <v>HCM_NM_BCa.26.05.14.L</v>
      </c>
      <c r="M50" s="4" t="str">
        <f>INDEX('TONG HOP DIA DIEM'!$A$1:$L$181,MATCH('CS2 NEW'!$G50,'TONG HOP DIA DIEM'!$G$1:$G$181,0),4)</f>
        <v>HCM_NM_BCa</v>
      </c>
    </row>
    <row r="51" spans="1:13" x14ac:dyDescent="0.2">
      <c r="A51" t="s">
        <v>66</v>
      </c>
      <c r="B51" t="s">
        <v>21</v>
      </c>
      <c r="C51" t="s">
        <v>79</v>
      </c>
      <c r="G51" s="4" t="s">
        <v>376</v>
      </c>
      <c r="H51" s="4" t="s">
        <v>377</v>
      </c>
      <c r="I51" s="4">
        <v>1</v>
      </c>
      <c r="J51" s="4"/>
      <c r="K51" s="4">
        <v>14</v>
      </c>
      <c r="L51" s="4" t="str">
        <f>M51&amp;"."&amp;$E$2&amp;"."&amp;$F$2&amp;"."&amp;K51&amp;INDEX('TONG HOP DIA DIEM'!$A$1:$L$181,MATCH('CS2 NEW'!$G51,'TONG HOP DIA DIEM'!$G$1:$G$181,0),3)</f>
        <v>HCM_NM_TĐ.26.05.14.L</v>
      </c>
      <c r="M51" s="4" t="str">
        <f>INDEX('TONG HOP DIA DIEM'!$A$1:$L$181,MATCH('CS2 NEW'!$G51,'TONG HOP DIA DIEM'!$G$1:$G$181,0),4)</f>
        <v>HCM_NM_TĐ</v>
      </c>
    </row>
    <row r="52" spans="1:13" x14ac:dyDescent="0.2">
      <c r="A52" t="s">
        <v>68</v>
      </c>
      <c r="B52" t="s">
        <v>21</v>
      </c>
      <c r="C52" t="s">
        <v>80</v>
      </c>
      <c r="G52" s="4" t="s">
        <v>378</v>
      </c>
      <c r="H52" s="4" t="s">
        <v>379</v>
      </c>
      <c r="I52" s="4">
        <v>1</v>
      </c>
      <c r="J52" s="4">
        <v>1</v>
      </c>
      <c r="K52" s="4">
        <v>14</v>
      </c>
      <c r="L52" s="4" t="str">
        <f>M52&amp;"."&amp;$E$2&amp;"."&amp;$F$2&amp;"."&amp;K52&amp;INDEX('TONG HOP DIA DIEM'!$A$1:$L$181,MATCH('CS2 NEW'!$G52,'TONG HOP DIA DIEM'!$G$1:$G$181,0),3)</f>
        <v>HCM_NM_VT.26.05.14.X</v>
      </c>
      <c r="M52" s="4" t="str">
        <f>INDEX('TONG HOP DIA DIEM'!$A$1:$L$181,MATCH('CS2 NEW'!$G52,'TONG HOP DIA DIEM'!$G$1:$G$181,0),4)</f>
        <v>HCM_NM_VT</v>
      </c>
    </row>
    <row r="53" spans="1:13" x14ac:dyDescent="0.2">
      <c r="A53" t="s">
        <v>70</v>
      </c>
      <c r="B53" t="s">
        <v>21</v>
      </c>
      <c r="C53" t="s">
        <v>81</v>
      </c>
      <c r="G53" s="4" t="s">
        <v>380</v>
      </c>
      <c r="H53" s="4" t="s">
        <v>381</v>
      </c>
      <c r="I53" s="4">
        <v>1</v>
      </c>
      <c r="J53" s="4"/>
      <c r="K53" s="4">
        <v>14</v>
      </c>
      <c r="L53" s="4" t="str">
        <f>M53&amp;"."&amp;$E$2&amp;"."&amp;$F$2&amp;"."&amp;K53&amp;INDEX('TONG HOP DIA DIEM'!$A$1:$L$181,MATCH('CS2 NEW'!$G53,'TONG HOP DIA DIEM'!$G$1:$G$181,0),3)</f>
        <v>HCM_NM_AL.26.05.14.X</v>
      </c>
      <c r="M53" s="4" t="str">
        <f>INDEX('TONG HOP DIA DIEM'!$A$1:$L$181,MATCH('CS2 NEW'!$G53,'TONG HOP DIA DIEM'!$G$1:$G$181,0),4)</f>
        <v>HCM_NM_AL</v>
      </c>
    </row>
    <row r="54" spans="1:13" x14ac:dyDescent="0.2">
      <c r="A54" t="s">
        <v>72</v>
      </c>
      <c r="B54" t="s">
        <v>21</v>
      </c>
      <c r="C54" t="s">
        <v>82</v>
      </c>
      <c r="G54" s="4" t="s">
        <v>382</v>
      </c>
      <c r="H54" s="4" t="s">
        <v>383</v>
      </c>
      <c r="I54" s="4">
        <v>1</v>
      </c>
      <c r="J54" s="4"/>
      <c r="K54" s="4">
        <v>14</v>
      </c>
      <c r="L54" s="4" t="str">
        <f>M54&amp;"."&amp;$E$2&amp;"."&amp;$F$2&amp;"."&amp;K54&amp;INDEX('TONG HOP DIA DIEM'!$A$1:$L$181,MATCH('CS2 NEW'!$G54,'TONG HOP DIA DIEM'!$G$1:$G$181,0),3)</f>
        <v>HCM_NM_BCa.26.05.14.X</v>
      </c>
      <c r="M54" s="4" t="str">
        <f>INDEX('TONG HOP DIA DIEM'!$A$1:$L$181,MATCH('CS2 NEW'!$G54,'TONG HOP DIA DIEM'!$G$1:$G$181,0),4)</f>
        <v>HCM_NM_BCa</v>
      </c>
    </row>
    <row r="55" spans="1:13" x14ac:dyDescent="0.2">
      <c r="A55" t="s">
        <v>83</v>
      </c>
      <c r="B55" t="s">
        <v>1</v>
      </c>
      <c r="C55" t="s">
        <v>84</v>
      </c>
      <c r="G55" s="4" t="s">
        <v>384</v>
      </c>
      <c r="H55" s="4" t="s">
        <v>385</v>
      </c>
      <c r="I55" s="4">
        <v>1</v>
      </c>
      <c r="J55" s="4"/>
      <c r="K55" s="4">
        <v>14</v>
      </c>
      <c r="L55" s="4" t="str">
        <f>M55&amp;"."&amp;$E$2&amp;"."&amp;$F$2&amp;"."&amp;K55&amp;INDEX('TONG HOP DIA DIEM'!$A$1:$L$181,MATCH('CS2 NEW'!$G55,'TONG HOP DIA DIEM'!$G$1:$G$181,0),3)</f>
        <v>HCM_NM_TĐ.26.05.14.X</v>
      </c>
      <c r="M55" s="4" t="str">
        <f>INDEX('TONG HOP DIA DIEM'!$A$1:$L$181,MATCH('CS2 NEW'!$G55,'TONG HOP DIA DIEM'!$G$1:$G$181,0),4)</f>
        <v>HCM_NM_TĐ</v>
      </c>
    </row>
    <row r="56" spans="1:13" x14ac:dyDescent="0.2">
      <c r="A56" t="s">
        <v>85</v>
      </c>
      <c r="B56" t="s">
        <v>1</v>
      </c>
      <c r="C56" t="s">
        <v>86</v>
      </c>
      <c r="G56" s="4" t="s">
        <v>386</v>
      </c>
      <c r="H56" s="4" t="s">
        <v>387</v>
      </c>
      <c r="I56" s="4">
        <v>1</v>
      </c>
      <c r="J56" s="4">
        <v>2</v>
      </c>
      <c r="K56" s="4">
        <v>15</v>
      </c>
      <c r="L56" s="4" t="str">
        <f>M56&amp;"."&amp;$E$2&amp;"."&amp;$F$2&amp;"."&amp;K56&amp;INDEX('TONG HOP DIA DIEM'!$A$1:$L$181,MATCH('CS2 NEW'!$G56,'TONG HOP DIA DIEM'!$G$1:$G$181,0),3)</f>
        <v>HCM_NM_CC.26.05.15.L</v>
      </c>
      <c r="M56" s="4" t="str">
        <f>INDEX('TONG HOP DIA DIEM'!$A$1:$L$181,MATCH('CS2 NEW'!$G56,'TONG HOP DIA DIEM'!$G$1:$G$181,0),4)</f>
        <v>HCM_NM_CC</v>
      </c>
    </row>
    <row r="57" spans="1:13" x14ac:dyDescent="0.2">
      <c r="A57" t="s">
        <v>87</v>
      </c>
      <c r="B57" t="s">
        <v>1</v>
      </c>
      <c r="C57" t="s">
        <v>88</v>
      </c>
      <c r="G57" s="4" t="s">
        <v>388</v>
      </c>
      <c r="H57" s="4" t="s">
        <v>389</v>
      </c>
      <c r="I57" s="4">
        <v>1</v>
      </c>
      <c r="J57" s="4"/>
      <c r="K57" s="4">
        <v>15</v>
      </c>
      <c r="L57" s="4" t="str">
        <f>M57&amp;"."&amp;$E$2&amp;"."&amp;$F$2&amp;"."&amp;K57&amp;INDEX('TONG HOP DIA DIEM'!$A$1:$L$181,MATCH('CS2 NEW'!$G57,'TONG HOP DIA DIEM'!$G$1:$G$181,0),3)</f>
        <v>HCM_NM_TL.26.05.15.L</v>
      </c>
      <c r="M57" s="4" t="str">
        <f>INDEX('TONG HOP DIA DIEM'!$A$1:$L$181,MATCH('CS2 NEW'!$G57,'TONG HOP DIA DIEM'!$G$1:$G$181,0),4)</f>
        <v>HCM_NM_TL</v>
      </c>
    </row>
    <row r="58" spans="1:13" x14ac:dyDescent="0.2">
      <c r="A58" t="s">
        <v>89</v>
      </c>
      <c r="B58" t="s">
        <v>1</v>
      </c>
      <c r="C58" t="s">
        <v>90</v>
      </c>
      <c r="G58" s="4" t="s">
        <v>390</v>
      </c>
      <c r="H58" s="4" t="s">
        <v>391</v>
      </c>
      <c r="I58" s="4">
        <v>1</v>
      </c>
      <c r="J58" s="4"/>
      <c r="K58" s="4">
        <v>15</v>
      </c>
      <c r="L58" s="4" t="str">
        <f>M58&amp;"."&amp;$E$2&amp;"."&amp;$F$2&amp;"."&amp;K58&amp;INDEX('TONG HOP DIA DIEM'!$A$1:$L$181,MATCH('CS2 NEW'!$G58,'TONG HOP DIA DIEM'!$G$1:$G$181,0),3)</f>
        <v>HCM_NM_CB.26.05.15.L</v>
      </c>
      <c r="M58" s="4" t="str">
        <f>INDEX('TONG HOP DIA DIEM'!$A$1:$L$181,MATCH('CS2 NEW'!$G58,'TONG HOP DIA DIEM'!$G$1:$G$181,0),4)</f>
        <v>HCM_NM_CB</v>
      </c>
    </row>
    <row r="59" spans="1:13" x14ac:dyDescent="0.2">
      <c r="A59" t="s">
        <v>91</v>
      </c>
      <c r="B59" t="s">
        <v>1</v>
      </c>
      <c r="C59" t="s">
        <v>92</v>
      </c>
      <c r="G59" s="4" t="s">
        <v>392</v>
      </c>
      <c r="H59" s="4" t="s">
        <v>393</v>
      </c>
      <c r="I59" s="4">
        <v>1</v>
      </c>
      <c r="J59" s="4">
        <v>1</v>
      </c>
      <c r="K59" s="4">
        <v>15</v>
      </c>
      <c r="L59" s="4" t="str">
        <f>M59&amp;"."&amp;$E$2&amp;"."&amp;$F$2&amp;"."&amp;K59&amp;INDEX('TONG HOP DIA DIEM'!$A$1:$L$181,MATCH('CS2 NEW'!$G59,'TONG HOP DIA DIEM'!$G$1:$G$181,0),3)</f>
        <v>HCM_NM_CN1.26.05.15.L</v>
      </c>
      <c r="M59" s="4" t="str">
        <f>INDEX('TONG HOP DIA DIEM'!$A$1:$L$181,MATCH('CS2 NEW'!$G59,'TONG HOP DIA DIEM'!$G$1:$G$181,0),4)</f>
        <v>HCM_NM_CN1</v>
      </c>
    </row>
    <row r="60" spans="1:13" x14ac:dyDescent="0.2">
      <c r="A60" t="s">
        <v>93</v>
      </c>
      <c r="B60" t="s">
        <v>1</v>
      </c>
      <c r="C60" t="s">
        <v>94</v>
      </c>
      <c r="G60" s="4" t="s">
        <v>394</v>
      </c>
      <c r="H60" s="4" t="s">
        <v>395</v>
      </c>
      <c r="I60" s="4">
        <v>1</v>
      </c>
      <c r="J60" s="4"/>
      <c r="K60" s="4">
        <v>15</v>
      </c>
      <c r="L60" s="4" t="str">
        <f>M60&amp;"."&amp;$E$2&amp;"."&amp;$F$2&amp;"."&amp;K60&amp;INDEX('TONG HOP DIA DIEM'!$A$1:$L$181,MATCH('CS2 NEW'!$G60,'TONG HOP DIA DIEM'!$G$1:$G$181,0),3)</f>
        <v>HCM_NM_CC.26.05.15.X</v>
      </c>
      <c r="M60" s="4" t="str">
        <f>INDEX('TONG HOP DIA DIEM'!$A$1:$L$181,MATCH('CS2 NEW'!$G60,'TONG HOP DIA DIEM'!$G$1:$G$181,0),4)</f>
        <v>HCM_NM_CC</v>
      </c>
    </row>
    <row r="61" spans="1:13" x14ac:dyDescent="0.2">
      <c r="A61" t="s">
        <v>95</v>
      </c>
      <c r="B61" t="s">
        <v>1</v>
      </c>
      <c r="C61" t="s">
        <v>96</v>
      </c>
      <c r="G61" s="4" t="s">
        <v>396</v>
      </c>
      <c r="H61" s="4" t="s">
        <v>397</v>
      </c>
      <c r="I61" s="4">
        <v>1</v>
      </c>
      <c r="J61" s="4"/>
      <c r="K61" s="4">
        <v>15</v>
      </c>
      <c r="L61" s="4" t="str">
        <f>M61&amp;"."&amp;$E$2&amp;"."&amp;$F$2&amp;"."&amp;K61&amp;INDEX('TONG HOP DIA DIEM'!$A$1:$L$181,MATCH('CS2 NEW'!$G61,'TONG HOP DIA DIEM'!$G$1:$G$181,0),3)</f>
        <v>HCM_NM_TL.26.05.15.X</v>
      </c>
      <c r="M61" s="4" t="str">
        <f>INDEX('TONG HOP DIA DIEM'!$A$1:$L$181,MATCH('CS2 NEW'!$G61,'TONG HOP DIA DIEM'!$G$1:$G$181,0),4)</f>
        <v>HCM_NM_TL</v>
      </c>
    </row>
    <row r="62" spans="1:13" x14ac:dyDescent="0.2">
      <c r="A62" t="s">
        <v>83</v>
      </c>
      <c r="B62" t="s">
        <v>21</v>
      </c>
      <c r="C62" t="s">
        <v>97</v>
      </c>
      <c r="G62" s="4" t="s">
        <v>398</v>
      </c>
      <c r="H62" s="4" t="s">
        <v>399</v>
      </c>
      <c r="I62" s="4">
        <v>1</v>
      </c>
      <c r="J62" s="4"/>
      <c r="K62" s="4">
        <v>15</v>
      </c>
      <c r="L62" s="4" t="str">
        <f>M62&amp;"."&amp;$E$2&amp;"."&amp;$F$2&amp;"."&amp;K62&amp;INDEX('TONG HOP DIA DIEM'!$A$1:$L$181,MATCH('CS2 NEW'!$G62,'TONG HOP DIA DIEM'!$G$1:$G$181,0),3)</f>
        <v>HCM_NM_CB.26.05.15.X</v>
      </c>
      <c r="M62" s="4" t="str">
        <f>INDEX('TONG HOP DIA DIEM'!$A$1:$L$181,MATCH('CS2 NEW'!$G62,'TONG HOP DIA DIEM'!$G$1:$G$181,0),4)</f>
        <v>HCM_NM_CB</v>
      </c>
    </row>
    <row r="63" spans="1:13" x14ac:dyDescent="0.2">
      <c r="A63" t="s">
        <v>85</v>
      </c>
      <c r="B63" t="s">
        <v>21</v>
      </c>
      <c r="C63" t="s">
        <v>98</v>
      </c>
      <c r="G63" s="4" t="s">
        <v>400</v>
      </c>
      <c r="H63" s="4" t="s">
        <v>401</v>
      </c>
      <c r="I63" s="4">
        <v>1</v>
      </c>
      <c r="J63" s="4"/>
      <c r="K63" s="4">
        <v>15</v>
      </c>
      <c r="L63" s="4" t="str">
        <f>M63&amp;"."&amp;$E$2&amp;"."&amp;$F$2&amp;"."&amp;K63&amp;INDEX('TONG HOP DIA DIEM'!$A$1:$L$181,MATCH('CS2 NEW'!$G63,'TONG HOP DIA DIEM'!$G$1:$G$181,0),3)</f>
        <v>HCM_NM_CN1.26.05.15.X</v>
      </c>
      <c r="M63" s="4" t="str">
        <f>INDEX('TONG HOP DIA DIEM'!$A$1:$L$181,MATCH('CS2 NEW'!$G63,'TONG HOP DIA DIEM'!$G$1:$G$181,0),4)</f>
        <v>HCM_NM_CN1</v>
      </c>
    </row>
    <row r="64" spans="1:13" x14ac:dyDescent="0.2">
      <c r="A64" t="s">
        <v>87</v>
      </c>
      <c r="B64" t="s">
        <v>21</v>
      </c>
      <c r="C64" t="s">
        <v>99</v>
      </c>
      <c r="G64" s="4" t="s">
        <v>402</v>
      </c>
      <c r="H64" s="4" t="s">
        <v>403</v>
      </c>
      <c r="I64" s="4">
        <v>1</v>
      </c>
      <c r="J64" s="4"/>
      <c r="K64" s="4">
        <v>19</v>
      </c>
      <c r="L64" s="4" t="str">
        <f>M64&amp;"."&amp;$E$2&amp;"."&amp;$F$2&amp;"."&amp;K64&amp;INDEX('TONG HOP DIA DIEM'!$A$1:$L$181,MATCH('CS2 NEW'!$G64,'TONG HOP DIA DIEM'!$G$1:$G$181,0),3)</f>
        <v>HCM_NM_GCNM2.26.05.19.01</v>
      </c>
      <c r="M64" s="4" t="str">
        <f>INDEX('TONG HOP DIA DIEM'!$A$1:$L$181,MATCH('CS2 NEW'!$G64,'TONG HOP DIA DIEM'!$G$1:$G$181,0),4)</f>
        <v>HCM_NM_GCNM2</v>
      </c>
    </row>
    <row r="65" spans="1:13" x14ac:dyDescent="0.2">
      <c r="A65" t="s">
        <v>89</v>
      </c>
      <c r="B65" t="s">
        <v>21</v>
      </c>
      <c r="C65" t="s">
        <v>100</v>
      </c>
      <c r="G65" s="4" t="s">
        <v>404</v>
      </c>
      <c r="H65" s="4" t="s">
        <v>405</v>
      </c>
      <c r="I65" s="4">
        <v>1</v>
      </c>
      <c r="J65" s="4"/>
      <c r="K65" s="4">
        <v>19</v>
      </c>
      <c r="L65" s="4" t="str">
        <f>M65&amp;"."&amp;$E$2&amp;"."&amp;$F$2&amp;"."&amp;K65&amp;INDEX('TONG HOP DIA DIEM'!$A$1:$L$181,MATCH('CS2 NEW'!$G65,'TONG HOP DIA DIEM'!$G$1:$G$181,0),3)</f>
        <v>HCM_NM_GCNM3.26.05.19.01</v>
      </c>
      <c r="M65" s="4" t="str">
        <f>INDEX('TONG HOP DIA DIEM'!$A$1:$L$181,MATCH('CS2 NEW'!$G65,'TONG HOP DIA DIEM'!$G$1:$G$181,0),4)</f>
        <v>HCM_NM_GCNM3</v>
      </c>
    </row>
    <row r="66" spans="1:13" x14ac:dyDescent="0.2">
      <c r="A66" t="s">
        <v>91</v>
      </c>
      <c r="B66" t="s">
        <v>21</v>
      </c>
      <c r="C66" t="s">
        <v>101</v>
      </c>
      <c r="G66" s="4" t="s">
        <v>406</v>
      </c>
      <c r="H66" s="4" t="s">
        <v>407</v>
      </c>
      <c r="I66" s="4">
        <v>1</v>
      </c>
      <c r="J66" s="4"/>
      <c r="K66" s="4">
        <v>19</v>
      </c>
      <c r="L66" s="4" t="str">
        <f>M66&amp;"."&amp;$E$2&amp;"."&amp;$F$2&amp;"."&amp;K66&amp;INDEX('TONG HOP DIA DIEM'!$A$1:$L$181,MATCH('CS2 NEW'!$G66,'TONG HOP DIA DIEM'!$G$1:$G$181,0),3)</f>
        <v>HCM_NM_BT2.26.05.19.L</v>
      </c>
      <c r="M66" s="4" t="str">
        <f>INDEX('TONG HOP DIA DIEM'!$A$1:$L$181,MATCH('CS2 NEW'!$G66,'TONG HOP DIA DIEM'!$G$1:$G$181,0),4)</f>
        <v>HCM_NM_BT2</v>
      </c>
    </row>
    <row r="67" spans="1:13" x14ac:dyDescent="0.2">
      <c r="A67" t="s">
        <v>93</v>
      </c>
      <c r="B67" t="s">
        <v>21</v>
      </c>
      <c r="C67" t="s">
        <v>102</v>
      </c>
      <c r="G67" s="4" t="s">
        <v>408</v>
      </c>
      <c r="H67" s="4" t="s">
        <v>409</v>
      </c>
      <c r="I67" s="4">
        <v>1</v>
      </c>
      <c r="J67" s="4"/>
      <c r="K67" s="4">
        <v>19</v>
      </c>
      <c r="L67" s="4" t="str">
        <f>M67&amp;"."&amp;$E$2&amp;"."&amp;$F$2&amp;"."&amp;K67&amp;INDEX('TONG HOP DIA DIEM'!$A$1:$L$181,MATCH('CS2 NEW'!$G67,'TONG HOP DIA DIEM'!$G$1:$G$181,0),3)</f>
        <v>HCM_NM_NĐ.26.05.19.L</v>
      </c>
      <c r="M67" s="4" t="str">
        <f>INDEX('TONG HOP DIA DIEM'!$A$1:$L$181,MATCH('CS2 NEW'!$G67,'TONG HOP DIA DIEM'!$G$1:$G$181,0),4)</f>
        <v>HCM_NM_NĐ</v>
      </c>
    </row>
    <row r="68" spans="1:13" x14ac:dyDescent="0.2">
      <c r="A68" t="s">
        <v>95</v>
      </c>
      <c r="B68" t="s">
        <v>21</v>
      </c>
      <c r="C68" t="s">
        <v>103</v>
      </c>
      <c r="G68" s="4" t="s">
        <v>410</v>
      </c>
      <c r="H68" s="4" t="s">
        <v>411</v>
      </c>
      <c r="I68" s="4">
        <v>1</v>
      </c>
      <c r="J68" s="4"/>
      <c r="K68" s="4">
        <v>19</v>
      </c>
      <c r="L68" s="4" t="str">
        <f>M68&amp;"."&amp;$E$2&amp;"."&amp;$F$2&amp;"."&amp;K68&amp;INDEX('TONG HOP DIA DIEM'!$A$1:$L$181,MATCH('CS2 NEW'!$G68,'TONG HOP DIA DIEM'!$G$1:$G$181,0),3)</f>
        <v>HCM_NM_CSC.26.05.19.L</v>
      </c>
      <c r="M68" s="4" t="str">
        <f>INDEX('TONG HOP DIA DIEM'!$A$1:$L$181,MATCH('CS2 NEW'!$G68,'TONG HOP DIA DIEM'!$G$1:$G$181,0),4)</f>
        <v>HCM_NM_CSC</v>
      </c>
    </row>
    <row r="69" spans="1:13" x14ac:dyDescent="0.2">
      <c r="A69" t="s">
        <v>104</v>
      </c>
      <c r="B69" t="s">
        <v>1</v>
      </c>
      <c r="C69" t="s">
        <v>105</v>
      </c>
      <c r="G69" s="4" t="s">
        <v>412</v>
      </c>
      <c r="H69" s="4" t="s">
        <v>413</v>
      </c>
      <c r="I69" s="4">
        <v>1</v>
      </c>
      <c r="J69" s="4"/>
      <c r="K69" s="4">
        <v>19</v>
      </c>
      <c r="L69" s="4" t="str">
        <f>M69&amp;"."&amp;$E$2&amp;"."&amp;$F$2&amp;"."&amp;K69&amp;INDEX('TONG HOP DIA DIEM'!$A$1:$L$181,MATCH('CS2 NEW'!$G69,'TONG HOP DIA DIEM'!$G$1:$G$181,0),3)</f>
        <v>HCM_NM_GCNM2.26.05.19.02</v>
      </c>
      <c r="M69" s="4" t="str">
        <f>INDEX('TONG HOP DIA DIEM'!$A$1:$L$181,MATCH('CS2 NEW'!$G69,'TONG HOP DIA DIEM'!$G$1:$G$181,0),4)</f>
        <v>HCM_NM_GCNM2</v>
      </c>
    </row>
    <row r="70" spans="1:13" x14ac:dyDescent="0.2">
      <c r="A70" t="s">
        <v>106</v>
      </c>
      <c r="B70" t="s">
        <v>1</v>
      </c>
      <c r="C70" t="s">
        <v>107</v>
      </c>
      <c r="G70" s="4" t="s">
        <v>414</v>
      </c>
      <c r="H70" s="4" t="s">
        <v>415</v>
      </c>
      <c r="I70" s="4">
        <v>1</v>
      </c>
      <c r="J70" s="4"/>
      <c r="K70" s="4">
        <v>19</v>
      </c>
      <c r="L70" s="4" t="str">
        <f>M70&amp;"."&amp;$E$2&amp;"."&amp;$F$2&amp;"."&amp;K70&amp;INDEX('TONG HOP DIA DIEM'!$A$1:$L$181,MATCH('CS2 NEW'!$G70,'TONG HOP DIA DIEM'!$G$1:$G$181,0),3)</f>
        <v>HCM_NM_GCNM3.26.05.19.02</v>
      </c>
      <c r="M70" s="4" t="str">
        <f>INDEX('TONG HOP DIA DIEM'!$A$1:$L$181,MATCH('CS2 NEW'!$G70,'TONG HOP DIA DIEM'!$G$1:$G$181,0),4)</f>
        <v>HCM_NM_GCNM3</v>
      </c>
    </row>
    <row r="71" spans="1:13" x14ac:dyDescent="0.2">
      <c r="A71" t="s">
        <v>108</v>
      </c>
      <c r="B71" t="s">
        <v>1</v>
      </c>
      <c r="C71" t="s">
        <v>109</v>
      </c>
      <c r="G71" s="4" t="s">
        <v>416</v>
      </c>
      <c r="H71" s="4" t="s">
        <v>417</v>
      </c>
      <c r="I71" s="4">
        <v>1</v>
      </c>
      <c r="J71" s="4"/>
      <c r="K71" s="4">
        <v>19</v>
      </c>
      <c r="L71" s="4" t="str">
        <f>M71&amp;"."&amp;$E$2&amp;"."&amp;$F$2&amp;"."&amp;K71&amp;INDEX('TONG HOP DIA DIEM'!$A$1:$L$181,MATCH('CS2 NEW'!$G71,'TONG HOP DIA DIEM'!$G$1:$G$181,0),3)</f>
        <v>HCM_NM_BT2.26.05.19.X</v>
      </c>
      <c r="M71" s="4" t="str">
        <f>INDEX('TONG HOP DIA DIEM'!$A$1:$L$181,MATCH('CS2 NEW'!$G71,'TONG HOP DIA DIEM'!$G$1:$G$181,0),4)</f>
        <v>HCM_NM_BT2</v>
      </c>
    </row>
    <row r="72" spans="1:13" x14ac:dyDescent="0.2">
      <c r="A72" t="s">
        <v>110</v>
      </c>
      <c r="B72" t="s">
        <v>1</v>
      </c>
      <c r="C72" t="s">
        <v>111</v>
      </c>
      <c r="G72" s="4" t="s">
        <v>418</v>
      </c>
      <c r="H72" s="4" t="s">
        <v>419</v>
      </c>
      <c r="I72" s="4">
        <v>1</v>
      </c>
      <c r="J72" s="4"/>
      <c r="K72" s="4">
        <v>19</v>
      </c>
      <c r="L72" s="4" t="str">
        <f>M72&amp;"."&amp;$E$2&amp;"."&amp;$F$2&amp;"."&amp;K72&amp;INDEX('TONG HOP DIA DIEM'!$A$1:$L$181,MATCH('CS2 NEW'!$G72,'TONG HOP DIA DIEM'!$G$1:$G$181,0),3)</f>
        <v>HCM_NM_NĐ.26.05.19.X</v>
      </c>
      <c r="M72" s="4" t="str">
        <f>INDEX('TONG HOP DIA DIEM'!$A$1:$L$181,MATCH('CS2 NEW'!$G72,'TONG HOP DIA DIEM'!$G$1:$G$181,0),4)</f>
        <v>HCM_NM_NĐ</v>
      </c>
    </row>
    <row r="73" spans="1:13" x14ac:dyDescent="0.2">
      <c r="A73" t="s">
        <v>112</v>
      </c>
      <c r="B73" t="s">
        <v>1</v>
      </c>
      <c r="C73" t="s">
        <v>113</v>
      </c>
      <c r="G73" s="4" t="s">
        <v>420</v>
      </c>
      <c r="H73" s="4" t="s">
        <v>421</v>
      </c>
      <c r="I73" s="4">
        <v>1</v>
      </c>
      <c r="J73" s="4"/>
      <c r="K73" s="4">
        <v>19</v>
      </c>
      <c r="L73" s="4" t="str">
        <f>M73&amp;"."&amp;$E$2&amp;"."&amp;$F$2&amp;"."&amp;K73&amp;INDEX('TONG HOP DIA DIEM'!$A$1:$L$181,MATCH('CS2 NEW'!$G73,'TONG HOP DIA DIEM'!$G$1:$G$181,0),3)</f>
        <v>HCM_NM_CSC.26.05.19.X</v>
      </c>
      <c r="M73" s="4" t="str">
        <f>INDEX('TONG HOP DIA DIEM'!$A$1:$L$181,MATCH('CS2 NEW'!$G73,'TONG HOP DIA DIEM'!$G$1:$G$181,0),4)</f>
        <v>HCM_NM_CSC</v>
      </c>
    </row>
    <row r="74" spans="1:13" x14ac:dyDescent="0.2">
      <c r="A74" t="s">
        <v>114</v>
      </c>
      <c r="B74" t="s">
        <v>1</v>
      </c>
      <c r="C74" t="s">
        <v>115</v>
      </c>
      <c r="G74" s="4" t="s">
        <v>422</v>
      </c>
      <c r="H74" s="4" t="s">
        <v>423</v>
      </c>
      <c r="I74" s="4">
        <v>1</v>
      </c>
      <c r="J74" s="4"/>
      <c r="K74" s="4">
        <v>20</v>
      </c>
      <c r="L74" s="4" t="str">
        <f>M74&amp;"."&amp;$E$2&amp;"."&amp;$F$2&amp;"."&amp;K74&amp;INDEX('TONG HOP DIA DIEM'!$A$1:$L$181,MATCH('CS2 NEW'!$G74,'TONG HOP DIA DIEM'!$G$1:$G$181,0),3)</f>
        <v>HCM_NM_CBT.26.05.20.L</v>
      </c>
      <c r="M74" s="4" t="str">
        <f>INDEX('TONG HOP DIA DIEM'!$A$1:$L$181,MATCH('CS2 NEW'!$G74,'TONG HOP DIA DIEM'!$G$1:$G$181,0),4)</f>
        <v>HCM_NM_CBT</v>
      </c>
    </row>
    <row r="75" spans="1:13" x14ac:dyDescent="0.2">
      <c r="A75" t="s">
        <v>116</v>
      </c>
      <c r="B75" t="s">
        <v>1</v>
      </c>
      <c r="C75" t="s">
        <v>117</v>
      </c>
      <c r="G75" s="4" t="s">
        <v>424</v>
      </c>
      <c r="H75" s="4" t="s">
        <v>425</v>
      </c>
      <c r="I75" s="4">
        <v>1</v>
      </c>
      <c r="J75" s="4"/>
      <c r="K75" s="4">
        <v>20</v>
      </c>
      <c r="L75" s="4" t="str">
        <f>M75&amp;"."&amp;$E$2&amp;"."&amp;$F$2&amp;"."&amp;K75&amp;INDEX('TONG HOP DIA DIEM'!$A$1:$L$181,MATCH('CS2 NEW'!$G75,'TONG HOP DIA DIEM'!$G$1:$G$181,0),3)</f>
        <v>HCM_NM_TTa.26.05.20.L</v>
      </c>
      <c r="M75" s="4" t="str">
        <f>INDEX('TONG HOP DIA DIEM'!$A$1:$L$181,MATCH('CS2 NEW'!$G75,'TONG HOP DIA DIEM'!$G$1:$G$181,0),4)</f>
        <v>HCM_NM_TTa</v>
      </c>
    </row>
    <row r="76" spans="1:13" x14ac:dyDescent="0.2">
      <c r="A76" t="s">
        <v>104</v>
      </c>
      <c r="B76" t="s">
        <v>21</v>
      </c>
      <c r="C76" t="s">
        <v>118</v>
      </c>
      <c r="G76" s="4" t="s">
        <v>426</v>
      </c>
      <c r="H76" s="4" t="s">
        <v>427</v>
      </c>
      <c r="I76" s="4">
        <v>1</v>
      </c>
      <c r="J76" s="4"/>
      <c r="K76" s="4">
        <v>20</v>
      </c>
      <c r="L76" s="4" t="str">
        <f>M76&amp;"."&amp;$E$2&amp;"."&amp;$F$2&amp;"."&amp;K76&amp;INDEX('TONG HOP DIA DIEM'!$A$1:$L$181,MATCH('CS2 NEW'!$G76,'TONG HOP DIA DIEM'!$G$1:$G$181,0),3)</f>
        <v>HCM_NM_KC.26.05.20.L</v>
      </c>
      <c r="M76" s="4" t="str">
        <f>INDEX('TONG HOP DIA DIEM'!$A$1:$L$181,MATCH('CS2 NEW'!$G76,'TONG HOP DIA DIEM'!$G$1:$G$181,0),4)</f>
        <v>HCM_NM_KC</v>
      </c>
    </row>
    <row r="77" spans="1:13" x14ac:dyDescent="0.2">
      <c r="A77" t="s">
        <v>106</v>
      </c>
      <c r="B77" t="s">
        <v>21</v>
      </c>
      <c r="C77" t="s">
        <v>119</v>
      </c>
      <c r="G77" s="4" t="s">
        <v>428</v>
      </c>
      <c r="H77" s="4" t="s">
        <v>429</v>
      </c>
      <c r="I77" s="4">
        <v>1</v>
      </c>
      <c r="J77" s="4"/>
      <c r="K77" s="4">
        <v>20</v>
      </c>
      <c r="L77" s="4" t="str">
        <f>M77&amp;"."&amp;$E$2&amp;"."&amp;$F$2&amp;"."&amp;K77&amp;INDEX('TONG HOP DIA DIEM'!$A$1:$L$181,MATCH('CS2 NEW'!$G77,'TONG HOP DIA DIEM'!$G$1:$G$181,0),3)</f>
        <v>HCM_NM_KC6.26.05.20.L</v>
      </c>
      <c r="M77" s="4" t="str">
        <f>INDEX('TONG HOP DIA DIEM'!$A$1:$L$181,MATCH('CS2 NEW'!$G77,'TONG HOP DIA DIEM'!$G$1:$G$181,0),4)</f>
        <v>HCM_NM_KC6</v>
      </c>
    </row>
    <row r="78" spans="1:13" x14ac:dyDescent="0.2">
      <c r="A78" t="s">
        <v>108</v>
      </c>
      <c r="B78" t="s">
        <v>21</v>
      </c>
      <c r="C78" t="s">
        <v>120</v>
      </c>
      <c r="G78" s="4" t="s">
        <v>430</v>
      </c>
      <c r="H78" s="4" t="s">
        <v>431</v>
      </c>
      <c r="I78" s="4">
        <v>1</v>
      </c>
      <c r="J78" s="4">
        <v>1</v>
      </c>
      <c r="K78" s="4">
        <v>20</v>
      </c>
      <c r="L78" s="4" t="str">
        <f>M78&amp;"."&amp;$E$2&amp;"."&amp;$F$2&amp;"."&amp;K78&amp;INDEX('TONG HOP DIA DIEM'!$A$1:$L$181,MATCH('CS2 NEW'!$G78,'TONG HOP DIA DIEM'!$G$1:$G$181,0),3)</f>
        <v>HCM_NM_KC8.26.05.20.L</v>
      </c>
      <c r="M78" s="4" t="str">
        <f>INDEX('TONG HOP DIA DIEM'!$A$1:$L$181,MATCH('CS2 NEW'!$G78,'TONG HOP DIA DIEM'!$G$1:$G$181,0),4)</f>
        <v>HCM_NM_KC8</v>
      </c>
    </row>
    <row r="79" spans="1:13" x14ac:dyDescent="0.2">
      <c r="A79" t="s">
        <v>110</v>
      </c>
      <c r="B79" t="s">
        <v>21</v>
      </c>
      <c r="C79" t="s">
        <v>121</v>
      </c>
      <c r="G79" s="4" t="s">
        <v>432</v>
      </c>
      <c r="H79" s="4" t="s">
        <v>433</v>
      </c>
      <c r="I79" s="4">
        <v>1</v>
      </c>
      <c r="J79" s="4"/>
      <c r="K79" s="4">
        <v>20</v>
      </c>
      <c r="L79" s="4" t="str">
        <f>M79&amp;"."&amp;$E$2&amp;"."&amp;$F$2&amp;"."&amp;K79&amp;INDEX('TONG HOP DIA DIEM'!$A$1:$L$181,MATCH('CS2 NEW'!$G79,'TONG HOP DIA DIEM'!$G$1:$G$181,0),3)</f>
        <v>HCM_NM_CBT.26.05.20.X</v>
      </c>
      <c r="M79" s="4" t="str">
        <f>INDEX('TONG HOP DIA DIEM'!$A$1:$L$181,MATCH('CS2 NEW'!$G79,'TONG HOP DIA DIEM'!$G$1:$G$181,0),4)</f>
        <v>HCM_NM_CBT</v>
      </c>
    </row>
    <row r="80" spans="1:13" x14ac:dyDescent="0.2">
      <c r="A80" t="s">
        <v>112</v>
      </c>
      <c r="B80" t="s">
        <v>21</v>
      </c>
      <c r="C80" t="s">
        <v>122</v>
      </c>
      <c r="G80" s="4" t="s">
        <v>434</v>
      </c>
      <c r="H80" s="4" t="s">
        <v>435</v>
      </c>
      <c r="I80" s="4">
        <v>1</v>
      </c>
      <c r="J80" s="4"/>
      <c r="K80" s="4">
        <v>20</v>
      </c>
      <c r="L80" s="4" t="str">
        <f>M80&amp;"."&amp;$E$2&amp;"."&amp;$F$2&amp;"."&amp;K80&amp;INDEX('TONG HOP DIA DIEM'!$A$1:$L$181,MATCH('CS2 NEW'!$G80,'TONG HOP DIA DIEM'!$G$1:$G$181,0),3)</f>
        <v>HCM_NM_TTa.26.05.20.X</v>
      </c>
      <c r="M80" s="4" t="str">
        <f>INDEX('TONG HOP DIA DIEM'!$A$1:$L$181,MATCH('CS2 NEW'!$G80,'TONG HOP DIA DIEM'!$G$1:$G$181,0),4)</f>
        <v>HCM_NM_TTa</v>
      </c>
    </row>
    <row r="81" spans="1:13" x14ac:dyDescent="0.2">
      <c r="A81" t="s">
        <v>114</v>
      </c>
      <c r="B81" t="s">
        <v>21</v>
      </c>
      <c r="C81" t="s">
        <v>123</v>
      </c>
      <c r="G81" s="4" t="s">
        <v>436</v>
      </c>
      <c r="H81" s="4" t="s">
        <v>437</v>
      </c>
      <c r="I81" s="4">
        <v>1</v>
      </c>
      <c r="J81" s="4"/>
      <c r="K81" s="4">
        <v>20</v>
      </c>
      <c r="L81" s="4" t="str">
        <f>M81&amp;"."&amp;$E$2&amp;"."&amp;$F$2&amp;"."&amp;K81&amp;INDEX('TONG HOP DIA DIEM'!$A$1:$L$181,MATCH('CS2 NEW'!$G81,'TONG HOP DIA DIEM'!$G$1:$G$181,0),3)</f>
        <v>HCM_NM_KC.26.05.20.X</v>
      </c>
      <c r="M81" s="4" t="str">
        <f>INDEX('TONG HOP DIA DIEM'!$A$1:$L$181,MATCH('CS2 NEW'!$G81,'TONG HOP DIA DIEM'!$G$1:$G$181,0),4)</f>
        <v>HCM_NM_KC</v>
      </c>
    </row>
    <row r="82" spans="1:13" x14ac:dyDescent="0.2">
      <c r="A82" t="s">
        <v>116</v>
      </c>
      <c r="B82" t="s">
        <v>21</v>
      </c>
      <c r="C82" t="s">
        <v>124</v>
      </c>
      <c r="G82" s="4" t="s">
        <v>438</v>
      </c>
      <c r="H82" s="4" t="s">
        <v>439</v>
      </c>
      <c r="I82" s="4">
        <v>1</v>
      </c>
      <c r="J82" s="4"/>
      <c r="K82" s="4">
        <v>20</v>
      </c>
      <c r="L82" s="4" t="str">
        <f>M82&amp;"."&amp;$E$2&amp;"."&amp;$F$2&amp;"."&amp;K82&amp;INDEX('TONG HOP DIA DIEM'!$A$1:$L$181,MATCH('CS2 NEW'!$G82,'TONG HOP DIA DIEM'!$G$1:$G$181,0),3)</f>
        <v>HCM_NM_KC6.26.05.20.X</v>
      </c>
      <c r="M82" s="4" t="str">
        <f>INDEX('TONG HOP DIA DIEM'!$A$1:$L$181,MATCH('CS2 NEW'!$G82,'TONG HOP DIA DIEM'!$G$1:$G$181,0),4)</f>
        <v>HCM_NM_KC6</v>
      </c>
    </row>
    <row r="83" spans="1:13" x14ac:dyDescent="0.2">
      <c r="A83" t="s">
        <v>125</v>
      </c>
      <c r="B83" t="s">
        <v>1</v>
      </c>
      <c r="C83" t="s">
        <v>126</v>
      </c>
      <c r="G83" s="4" t="s">
        <v>440</v>
      </c>
      <c r="H83" s="4" t="s">
        <v>441</v>
      </c>
      <c r="I83" s="4">
        <v>1</v>
      </c>
      <c r="J83" s="4"/>
      <c r="K83" s="4">
        <v>20</v>
      </c>
      <c r="L83" s="4" t="str">
        <f>M83&amp;"."&amp;$E$2&amp;"."&amp;$F$2&amp;"."&amp;K83&amp;INDEX('TONG HOP DIA DIEM'!$A$1:$L$181,MATCH('CS2 NEW'!$G83,'TONG HOP DIA DIEM'!$G$1:$G$181,0),3)</f>
        <v>HCM_NM_KC8.26.05.20.X</v>
      </c>
      <c r="M83" s="4" t="str">
        <f>INDEX('TONG HOP DIA DIEM'!$A$1:$L$181,MATCH('CS2 NEW'!$G83,'TONG HOP DIA DIEM'!$G$1:$G$181,0),4)</f>
        <v>HCM_NM_KC8</v>
      </c>
    </row>
    <row r="84" spans="1:13" x14ac:dyDescent="0.2">
      <c r="A84" t="s">
        <v>127</v>
      </c>
      <c r="B84" t="s">
        <v>1</v>
      </c>
      <c r="C84" t="s">
        <v>128</v>
      </c>
      <c r="G84" s="4" t="s">
        <v>442</v>
      </c>
      <c r="H84" s="4" t="s">
        <v>443</v>
      </c>
      <c r="I84" s="4">
        <v>1</v>
      </c>
      <c r="J84" s="4"/>
      <c r="K84" s="4">
        <v>21</v>
      </c>
      <c r="L84" s="4" t="str">
        <f>M84&amp;"."&amp;$E$2&amp;"."&amp;$F$2&amp;"."&amp;K84&amp;INDEX('TONG HOP DIA DIEM'!$A$1:$L$181,MATCH('CS2 NEW'!$G84,'TONG HOP DIA DIEM'!$G$1:$G$181,0),3)</f>
        <v>HCM_NM_CRN.26.05.21.L</v>
      </c>
      <c r="M84" s="4" t="str">
        <f>INDEX('TONG HOP DIA DIEM'!$A$1:$L$181,MATCH('CS2 NEW'!$G84,'TONG HOP DIA DIEM'!$G$1:$G$181,0),4)</f>
        <v>HCM_NM_CRN</v>
      </c>
    </row>
    <row r="85" spans="1:13" x14ac:dyDescent="0.2">
      <c r="A85" t="s">
        <v>129</v>
      </c>
      <c r="B85" t="s">
        <v>1</v>
      </c>
      <c r="C85" t="s">
        <v>130</v>
      </c>
      <c r="G85" s="4" t="s">
        <v>444</v>
      </c>
      <c r="H85" s="4" t="s">
        <v>445</v>
      </c>
      <c r="I85" s="4">
        <v>1</v>
      </c>
      <c r="J85" s="4"/>
      <c r="K85" s="4">
        <v>21</v>
      </c>
      <c r="L85" s="4" t="str">
        <f>M85&amp;"."&amp;$E$2&amp;"."&amp;$F$2&amp;"."&amp;K85&amp;INDEX('TONG HOP DIA DIEM'!$A$1:$L$181,MATCH('CS2 NEW'!$G85,'TONG HOP DIA DIEM'!$G$1:$G$181,0),3)</f>
        <v>HCM_NM_XC.26.05.21.L</v>
      </c>
      <c r="M85" s="4" t="str">
        <f>INDEX('TONG HOP DIA DIEM'!$A$1:$L$181,MATCH('CS2 NEW'!$G85,'TONG HOP DIA DIEM'!$G$1:$G$181,0),4)</f>
        <v>HCM_NM_XC</v>
      </c>
    </row>
    <row r="86" spans="1:13" x14ac:dyDescent="0.2">
      <c r="A86" t="s">
        <v>131</v>
      </c>
      <c r="B86" t="s">
        <v>1</v>
      </c>
      <c r="C86" t="s">
        <v>132</v>
      </c>
      <c r="G86" s="4" t="s">
        <v>446</v>
      </c>
      <c r="H86" s="4" t="s">
        <v>447</v>
      </c>
      <c r="I86" s="4">
        <v>1</v>
      </c>
      <c r="J86" s="4"/>
      <c r="K86" s="4">
        <v>21</v>
      </c>
      <c r="L86" s="4" t="str">
        <f>M86&amp;"."&amp;$E$2&amp;"."&amp;$F$2&amp;"."&amp;K86&amp;INDEX('TONG HOP DIA DIEM'!$A$1:$L$181,MATCH('CS2 NEW'!$G86,'TONG HOP DIA DIEM'!$G$1:$G$181,0),3)</f>
        <v>HCM_NM_OL.26.05.21.L</v>
      </c>
      <c r="M86" s="4" t="str">
        <f>INDEX('TONG HOP DIA DIEM'!$A$1:$L$181,MATCH('CS2 NEW'!$G86,'TONG HOP DIA DIEM'!$G$1:$G$181,0),4)</f>
        <v>HCM_NM_OL</v>
      </c>
    </row>
    <row r="87" spans="1:13" x14ac:dyDescent="0.2">
      <c r="A87" t="s">
        <v>133</v>
      </c>
      <c r="B87" t="s">
        <v>1</v>
      </c>
      <c r="C87" t="s">
        <v>134</v>
      </c>
      <c r="G87" s="4" t="s">
        <v>448</v>
      </c>
      <c r="H87" s="4" t="s">
        <v>449</v>
      </c>
      <c r="I87" s="4">
        <v>1</v>
      </c>
      <c r="J87" s="4"/>
      <c r="K87" s="4">
        <v>21</v>
      </c>
      <c r="L87" s="4" t="str">
        <f>M87&amp;"."&amp;$E$2&amp;"."&amp;$F$2&amp;"."&amp;K87&amp;INDEX('TONG HOP DIA DIEM'!$A$1:$L$181,MATCH('CS2 NEW'!$G87,'TONG HOP DIA DIEM'!$G$1:$G$181,0),3)</f>
        <v>HCM_NM_CG.26.05.21.L</v>
      </c>
      <c r="M87" s="4" t="str">
        <f>INDEX('TONG HOP DIA DIEM'!$A$1:$L$181,MATCH('CS2 NEW'!$G87,'TONG HOP DIA DIEM'!$G$1:$G$181,0),4)</f>
        <v>HCM_NM_CG</v>
      </c>
    </row>
    <row r="88" spans="1:13" x14ac:dyDescent="0.2">
      <c r="A88" t="s">
        <v>135</v>
      </c>
      <c r="B88" t="s">
        <v>1</v>
      </c>
      <c r="C88" t="s">
        <v>136</v>
      </c>
      <c r="G88" s="4" t="s">
        <v>450</v>
      </c>
      <c r="H88" s="4" t="s">
        <v>451</v>
      </c>
      <c r="I88" s="4">
        <v>1</v>
      </c>
      <c r="J88" s="4">
        <v>2</v>
      </c>
      <c r="K88" s="4">
        <v>21</v>
      </c>
      <c r="L88" s="4" t="str">
        <f>M88&amp;"."&amp;$E$2&amp;"."&amp;$F$2&amp;"."&amp;K88&amp;INDEX('TONG HOP DIA DIEM'!$A$1:$L$181,MATCH('CS2 NEW'!$G88,'TONG HOP DIA DIEM'!$G$1:$G$181,0),3)</f>
        <v>HCM_NM_CRN.26.05.21.X</v>
      </c>
      <c r="M88" s="4" t="str">
        <f>INDEX('TONG HOP DIA DIEM'!$A$1:$L$181,MATCH('CS2 NEW'!$G88,'TONG HOP DIA DIEM'!$G$1:$G$181,0),4)</f>
        <v>HCM_NM_CRN</v>
      </c>
    </row>
    <row r="89" spans="1:13" x14ac:dyDescent="0.2">
      <c r="A89" t="s">
        <v>137</v>
      </c>
      <c r="B89" t="s">
        <v>1</v>
      </c>
      <c r="C89" t="s">
        <v>138</v>
      </c>
      <c r="G89" s="4" t="s">
        <v>452</v>
      </c>
      <c r="H89" s="4" t="s">
        <v>453</v>
      </c>
      <c r="I89" s="4">
        <v>1</v>
      </c>
      <c r="J89" s="4"/>
      <c r="K89" s="4">
        <v>21</v>
      </c>
      <c r="L89" s="4" t="str">
        <f>M89&amp;"."&amp;$E$2&amp;"."&amp;$F$2&amp;"."&amp;K89&amp;INDEX('TONG HOP DIA DIEM'!$A$1:$L$181,MATCH('CS2 NEW'!$G89,'TONG HOP DIA DIEM'!$G$1:$G$181,0),3)</f>
        <v>HCM_NM_XC.26.05.21.X</v>
      </c>
      <c r="M89" s="4" t="str">
        <f>INDEX('TONG HOP DIA DIEM'!$A$1:$L$181,MATCH('CS2 NEW'!$G89,'TONG HOP DIA DIEM'!$G$1:$G$181,0),4)</f>
        <v>HCM_NM_XC</v>
      </c>
    </row>
    <row r="90" spans="1:13" x14ac:dyDescent="0.2">
      <c r="A90" t="s">
        <v>125</v>
      </c>
      <c r="B90" t="s">
        <v>21</v>
      </c>
      <c r="C90" t="s">
        <v>139</v>
      </c>
      <c r="G90" s="4" t="s">
        <v>454</v>
      </c>
      <c r="H90" s="4" t="s">
        <v>455</v>
      </c>
      <c r="I90" s="4">
        <v>1</v>
      </c>
      <c r="J90" s="4"/>
      <c r="K90" s="4">
        <v>21</v>
      </c>
      <c r="L90" s="4" t="str">
        <f>M90&amp;"."&amp;$E$2&amp;"."&amp;$F$2&amp;"."&amp;K90&amp;INDEX('TONG HOP DIA DIEM'!$A$1:$L$181,MATCH('CS2 NEW'!$G90,'TONG HOP DIA DIEM'!$G$1:$G$181,0),3)</f>
        <v>HCM_NM_OL.26.05.21.X</v>
      </c>
      <c r="M90" s="4" t="str">
        <f>INDEX('TONG HOP DIA DIEM'!$A$1:$L$181,MATCH('CS2 NEW'!$G90,'TONG HOP DIA DIEM'!$G$1:$G$181,0),4)</f>
        <v>HCM_NM_OL</v>
      </c>
    </row>
    <row r="91" spans="1:13" x14ac:dyDescent="0.2">
      <c r="A91" t="s">
        <v>127</v>
      </c>
      <c r="B91" t="s">
        <v>21</v>
      </c>
      <c r="C91" t="s">
        <v>140</v>
      </c>
      <c r="G91" s="4" t="s">
        <v>456</v>
      </c>
      <c r="H91" s="4" t="s">
        <v>457</v>
      </c>
      <c r="I91" s="4">
        <v>1</v>
      </c>
      <c r="J91" s="4"/>
      <c r="K91" s="4">
        <v>21</v>
      </c>
      <c r="L91" s="4" t="str">
        <f>M91&amp;"."&amp;$E$2&amp;"."&amp;$F$2&amp;"."&amp;K91&amp;INDEX('TONG HOP DIA DIEM'!$A$1:$L$181,MATCH('CS2 NEW'!$G91,'TONG HOP DIA DIEM'!$G$1:$G$181,0),3)</f>
        <v>HCM_NM_CG.26.05.21.X</v>
      </c>
      <c r="M91" s="4" t="str">
        <f>INDEX('TONG HOP DIA DIEM'!$A$1:$L$181,MATCH('CS2 NEW'!$G91,'TONG HOP DIA DIEM'!$G$1:$G$181,0),4)</f>
        <v>HCM_NM_CG</v>
      </c>
    </row>
    <row r="92" spans="1:13" x14ac:dyDescent="0.2">
      <c r="A92" t="s">
        <v>129</v>
      </c>
      <c r="B92" t="s">
        <v>21</v>
      </c>
      <c r="C92" t="s">
        <v>141</v>
      </c>
      <c r="G92" s="4" t="s">
        <v>278</v>
      </c>
      <c r="H92" s="4" t="s">
        <v>279</v>
      </c>
      <c r="I92" s="4">
        <v>1</v>
      </c>
      <c r="J92" s="4"/>
      <c r="K92" s="4">
        <v>22</v>
      </c>
      <c r="L92" s="4" t="str">
        <f>M92&amp;"."&amp;$E$2&amp;"."&amp;$F$2&amp;"."&amp;K92&amp;INDEX('TONG HOP DIA DIEM'!$A$1:$L$181,MATCH('CS2 NEW'!$G92,'TONG HOP DIA DIEM'!$G$1:$G$181,0),3)</f>
        <v>HCM_NM_ĐPNM1.26.05.22.01</v>
      </c>
      <c r="M92" s="4" t="str">
        <f>INDEX('TONG HOP DIA DIEM'!$A$1:$L$181,MATCH('CS2 NEW'!$G92,'TONG HOP DIA DIEM'!$G$1:$G$181,0),4)</f>
        <v>HCM_NM_ĐPNM1</v>
      </c>
    </row>
    <row r="93" spans="1:13" x14ac:dyDescent="0.2">
      <c r="A93" t="s">
        <v>131</v>
      </c>
      <c r="B93" t="s">
        <v>21</v>
      </c>
      <c r="C93" t="s">
        <v>142</v>
      </c>
      <c r="G93" s="4" t="s">
        <v>280</v>
      </c>
      <c r="H93" s="4" t="s">
        <v>281</v>
      </c>
      <c r="I93" s="4">
        <v>1</v>
      </c>
      <c r="J93" s="4"/>
      <c r="K93" s="4">
        <v>22</v>
      </c>
      <c r="L93" s="4" t="str">
        <f>M93&amp;"."&amp;$E$2&amp;"."&amp;$F$2&amp;"."&amp;K93&amp;INDEX('TONG HOP DIA DIEM'!$A$1:$L$181,MATCH('CS2 NEW'!$G93,'TONG HOP DIA DIEM'!$G$1:$G$181,0),3)</f>
        <v>HCM_NM_ĐPNM4.26.05.22.01</v>
      </c>
      <c r="M93" s="4" t="str">
        <f>INDEX('TONG HOP DIA DIEM'!$A$1:$L$181,MATCH('CS2 NEW'!$G93,'TONG HOP DIA DIEM'!$G$1:$G$181,0),4)</f>
        <v>HCM_NM_ĐPNM4</v>
      </c>
    </row>
    <row r="94" spans="1:13" x14ac:dyDescent="0.2">
      <c r="A94" t="s">
        <v>133</v>
      </c>
      <c r="B94" t="s">
        <v>21</v>
      </c>
      <c r="C94" t="s">
        <v>143</v>
      </c>
      <c r="G94" s="4" t="s">
        <v>282</v>
      </c>
      <c r="H94" s="4" t="s">
        <v>283</v>
      </c>
      <c r="I94" s="4">
        <v>1</v>
      </c>
      <c r="J94" s="4"/>
      <c r="K94" s="4">
        <v>22</v>
      </c>
      <c r="L94" s="4" t="str">
        <f>M94&amp;"."&amp;$E$2&amp;"."&amp;$F$2&amp;"."&amp;K94&amp;INDEX('TONG HOP DIA DIEM'!$A$1:$L$181,MATCH('CS2 NEW'!$G94,'TONG HOP DIA DIEM'!$G$1:$G$181,0),3)</f>
        <v>HCM_NM_ĐPNM5.26.05.22.01</v>
      </c>
      <c r="M94" s="4" t="str">
        <f>INDEX('TONG HOP DIA DIEM'!$A$1:$L$181,MATCH('CS2 NEW'!$G94,'TONG HOP DIA DIEM'!$G$1:$G$181,0),4)</f>
        <v>HCM_NM_ĐPNM5</v>
      </c>
    </row>
    <row r="95" spans="1:13" x14ac:dyDescent="0.2">
      <c r="A95" t="s">
        <v>135</v>
      </c>
      <c r="B95" t="s">
        <v>21</v>
      </c>
      <c r="C95" t="s">
        <v>144</v>
      </c>
      <c r="G95" s="4" t="s">
        <v>284</v>
      </c>
      <c r="H95" s="4" t="s">
        <v>285</v>
      </c>
      <c r="I95" s="4">
        <v>1</v>
      </c>
      <c r="J95" s="4"/>
      <c r="K95" s="4">
        <v>22</v>
      </c>
      <c r="L95" s="4" t="str">
        <f>M95&amp;"."&amp;$E$2&amp;"."&amp;$F$2&amp;"."&amp;K95&amp;INDEX('TONG HOP DIA DIEM'!$A$1:$L$181,MATCH('CS2 NEW'!$G95,'TONG HOP DIA DIEM'!$G$1:$G$181,0),3)</f>
        <v>HCM_NM_ĐPNM8.26.05.22.01</v>
      </c>
      <c r="M95" s="4" t="str">
        <f>INDEX('TONG HOP DIA DIEM'!$A$1:$L$181,MATCH('CS2 NEW'!$G95,'TONG HOP DIA DIEM'!$G$1:$G$181,0),4)</f>
        <v>HCM_NM_ĐPNM8</v>
      </c>
    </row>
    <row r="96" spans="1:13" x14ac:dyDescent="0.2">
      <c r="A96" t="s">
        <v>137</v>
      </c>
      <c r="B96" t="s">
        <v>21</v>
      </c>
      <c r="C96" t="s">
        <v>145</v>
      </c>
      <c r="G96" s="4" t="s">
        <v>286</v>
      </c>
      <c r="H96" s="4" t="s">
        <v>287</v>
      </c>
      <c r="I96" s="4">
        <v>1</v>
      </c>
      <c r="J96" s="4"/>
      <c r="K96" s="4">
        <v>22</v>
      </c>
      <c r="L96" s="4" t="str">
        <f>M96&amp;"."&amp;$E$2&amp;"."&amp;$F$2&amp;"."&amp;K96&amp;INDEX('TONG HOP DIA DIEM'!$A$1:$L$181,MATCH('CS2 NEW'!$G96,'TONG HOP DIA DIEM'!$G$1:$G$181,0),3)</f>
        <v>HCM_NM_ĐPNM1.26.05.22.02</v>
      </c>
      <c r="M96" s="4" t="str">
        <f>INDEX('TONG HOP DIA DIEM'!$A$1:$L$181,MATCH('CS2 NEW'!$G96,'TONG HOP DIA DIEM'!$G$1:$G$181,0),4)</f>
        <v>HCM_NM_ĐPNM1</v>
      </c>
    </row>
    <row r="97" spans="1:13" x14ac:dyDescent="0.2">
      <c r="A97" t="s">
        <v>146</v>
      </c>
      <c r="B97" t="s">
        <v>1</v>
      </c>
      <c r="C97" t="s">
        <v>147</v>
      </c>
      <c r="G97" s="4" t="s">
        <v>288</v>
      </c>
      <c r="H97" s="4" t="s">
        <v>289</v>
      </c>
      <c r="I97" s="4">
        <v>1</v>
      </c>
      <c r="J97" s="4"/>
      <c r="K97" s="4">
        <v>22</v>
      </c>
      <c r="L97" s="4" t="str">
        <f>M97&amp;"."&amp;$E$2&amp;"."&amp;$F$2&amp;"."&amp;K97&amp;INDEX('TONG HOP DIA DIEM'!$A$1:$L$181,MATCH('CS2 NEW'!$G97,'TONG HOP DIA DIEM'!$G$1:$G$181,0),3)</f>
        <v>HCM_NM_ĐPNM4.26.05.22.02</v>
      </c>
      <c r="M97" s="4" t="str">
        <f>INDEX('TONG HOP DIA DIEM'!$A$1:$L$181,MATCH('CS2 NEW'!$G97,'TONG HOP DIA DIEM'!$G$1:$G$181,0),4)</f>
        <v>HCM_NM_ĐPNM4</v>
      </c>
    </row>
    <row r="98" spans="1:13" x14ac:dyDescent="0.2">
      <c r="A98" t="s">
        <v>148</v>
      </c>
      <c r="B98" t="s">
        <v>1</v>
      </c>
      <c r="C98" t="s">
        <v>149</v>
      </c>
      <c r="G98" s="4" t="s">
        <v>290</v>
      </c>
      <c r="H98" s="4" t="s">
        <v>291</v>
      </c>
      <c r="I98" s="4">
        <v>1</v>
      </c>
      <c r="J98" s="4"/>
      <c r="K98" s="4">
        <v>22</v>
      </c>
      <c r="L98" s="4" t="str">
        <f>M98&amp;"."&amp;$E$2&amp;"."&amp;$F$2&amp;"."&amp;K98&amp;INDEX('TONG HOP DIA DIEM'!$A$1:$L$181,MATCH('CS2 NEW'!$G98,'TONG HOP DIA DIEM'!$G$1:$G$181,0),3)</f>
        <v>HCM_NM_ĐPNM5.26.05.22.02</v>
      </c>
      <c r="M98" s="4" t="str">
        <f>INDEX('TONG HOP DIA DIEM'!$A$1:$L$181,MATCH('CS2 NEW'!$G98,'TONG HOP DIA DIEM'!$G$1:$G$181,0),4)</f>
        <v>HCM_NM_ĐPNM5</v>
      </c>
    </row>
    <row r="99" spans="1:13" x14ac:dyDescent="0.2">
      <c r="A99" t="s">
        <v>150</v>
      </c>
      <c r="B99" t="s">
        <v>1</v>
      </c>
      <c r="C99" t="s">
        <v>151</v>
      </c>
      <c r="G99" s="4" t="s">
        <v>292</v>
      </c>
      <c r="H99" s="4" t="s">
        <v>293</v>
      </c>
      <c r="I99" s="4">
        <v>1</v>
      </c>
      <c r="J99" s="4"/>
      <c r="K99" s="4">
        <v>22</v>
      </c>
      <c r="L99" s="4" t="str">
        <f>M99&amp;"."&amp;$E$2&amp;"."&amp;$F$2&amp;"."&amp;K99&amp;INDEX('TONG HOP DIA DIEM'!$A$1:$L$181,MATCH('CS2 NEW'!$G99,'TONG HOP DIA DIEM'!$G$1:$G$181,0),3)</f>
        <v>HCM_NM_ĐPNM8.26.05.22.02</v>
      </c>
      <c r="M99" s="4" t="str">
        <f>INDEX('TONG HOP DIA DIEM'!$A$1:$L$181,MATCH('CS2 NEW'!$G99,'TONG HOP DIA DIEM'!$G$1:$G$181,0),4)</f>
        <v>HCM_NM_ĐPNM8</v>
      </c>
    </row>
    <row r="100" spans="1:13" x14ac:dyDescent="0.2">
      <c r="A100" t="s">
        <v>152</v>
      </c>
      <c r="B100" t="s">
        <v>1</v>
      </c>
      <c r="C100" t="s">
        <v>153</v>
      </c>
      <c r="G100" s="4" t="s">
        <v>458</v>
      </c>
      <c r="H100" s="4" t="s">
        <v>459</v>
      </c>
      <c r="I100" s="4">
        <v>1</v>
      </c>
      <c r="J100" s="4"/>
      <c r="K100" s="4">
        <v>26</v>
      </c>
      <c r="L100" s="4" t="str">
        <f>M100&amp;"."&amp;$E$2&amp;"."&amp;$F$2&amp;"."&amp;K100&amp;INDEX('TONG HOP DIA DIEM'!$A$1:$L$181,MATCH('CS2 NEW'!$G100,'TONG HOP DIA DIEM'!$G$1:$G$181,0),3)</f>
        <v>HCM_NM_CGC.26.05.26.L</v>
      </c>
      <c r="M100" s="4" t="str">
        <f>INDEX('TONG HOP DIA DIEM'!$A$1:$L$181,MATCH('CS2 NEW'!$G100,'TONG HOP DIA DIEM'!$G$1:$G$181,0),4)</f>
        <v>HCM_NM_CGC</v>
      </c>
    </row>
    <row r="101" spans="1:13" x14ac:dyDescent="0.2">
      <c r="A101" t="s">
        <v>154</v>
      </c>
      <c r="B101" t="s">
        <v>1</v>
      </c>
      <c r="C101" t="s">
        <v>155</v>
      </c>
      <c r="G101" s="4" t="s">
        <v>460</v>
      </c>
      <c r="H101" s="4" t="s">
        <v>461</v>
      </c>
      <c r="I101" s="4">
        <v>1</v>
      </c>
      <c r="J101" s="4"/>
      <c r="K101" s="4">
        <v>26</v>
      </c>
      <c r="L101" s="4" t="str">
        <f>M101&amp;"."&amp;$E$2&amp;"."&amp;$F$2&amp;"."&amp;K101&amp;INDEX('TONG HOP DIA DIEM'!$A$1:$L$181,MATCH('CS2 NEW'!$G101,'TONG HOP DIA DIEM'!$G$1:$G$181,0),3)</f>
        <v>HCM_NM_CGC.26.05.26.X</v>
      </c>
      <c r="M101" s="4" t="str">
        <f>INDEX('TONG HOP DIA DIEM'!$A$1:$L$181,MATCH('CS2 NEW'!$G101,'TONG HOP DIA DIEM'!$G$1:$G$181,0),4)</f>
        <v>HCM_NM_CGC</v>
      </c>
    </row>
    <row r="102" spans="1:13" x14ac:dyDescent="0.2">
      <c r="A102" t="s">
        <v>156</v>
      </c>
      <c r="B102" t="s">
        <v>1</v>
      </c>
      <c r="C102" t="s">
        <v>157</v>
      </c>
      <c r="G102" s="4" t="s">
        <v>462</v>
      </c>
      <c r="H102" s="4" t="s">
        <v>463</v>
      </c>
      <c r="I102" s="4">
        <v>1</v>
      </c>
      <c r="J102" s="4"/>
      <c r="K102" s="4">
        <v>27</v>
      </c>
      <c r="L102" s="4" t="str">
        <f>M102&amp;"."&amp;$E$2&amp;"."&amp;$F$2&amp;"."&amp;K102&amp;INDEX('TONG HOP DIA DIEM'!$A$1:$L$181,MATCH('CS2 NEW'!$G102,'TONG HOP DIA DIEM'!$G$1:$G$181,0),3)</f>
        <v>HCM_NM_HNL.26.05.27.L</v>
      </c>
      <c r="M102" s="4" t="str">
        <f>INDEX('TONG HOP DIA DIEM'!$A$1:$L$181,MATCH('CS2 NEW'!$G102,'TONG HOP DIA DIEM'!$G$1:$G$181,0),4)</f>
        <v>HCM_NM_HNL</v>
      </c>
    </row>
    <row r="103" spans="1:13" x14ac:dyDescent="0.2">
      <c r="A103" t="s">
        <v>158</v>
      </c>
      <c r="B103" t="s">
        <v>1</v>
      </c>
      <c r="C103" t="s">
        <v>159</v>
      </c>
      <c r="G103" s="4" t="s">
        <v>464</v>
      </c>
      <c r="H103" s="4" t="s">
        <v>465</v>
      </c>
      <c r="I103" s="4">
        <v>1</v>
      </c>
      <c r="J103" s="4"/>
      <c r="K103" s="4">
        <v>27</v>
      </c>
      <c r="L103" s="4" t="str">
        <f>M103&amp;"."&amp;$E$2&amp;"."&amp;$F$2&amp;"."&amp;K103&amp;INDEX('TONG HOP DIA DIEM'!$A$1:$L$181,MATCH('CS2 NEW'!$G103,'TONG HOP DIA DIEM'!$G$1:$G$181,0),3)</f>
        <v>HCM_NM_BĐ.26.05.27.L</v>
      </c>
      <c r="M103" s="4" t="str">
        <f>INDEX('TONG HOP DIA DIEM'!$A$1:$L$181,MATCH('CS2 NEW'!$G103,'TONG HOP DIA DIEM'!$G$1:$G$181,0),4)</f>
        <v>HCM_NM_BĐ</v>
      </c>
    </row>
    <row r="104" spans="1:13" x14ac:dyDescent="0.2">
      <c r="A104" t="s">
        <v>160</v>
      </c>
      <c r="B104" t="s">
        <v>1</v>
      </c>
      <c r="C104" t="s">
        <v>161</v>
      </c>
      <c r="G104" s="4" t="s">
        <v>466</v>
      </c>
      <c r="H104" s="4" t="s">
        <v>467</v>
      </c>
      <c r="I104" s="4">
        <v>1</v>
      </c>
      <c r="J104" s="4"/>
      <c r="K104" s="4">
        <v>27</v>
      </c>
      <c r="L104" s="4" t="str">
        <f>M104&amp;"."&amp;$E$2&amp;"."&amp;$F$2&amp;"."&amp;K104&amp;INDEX('TONG HOP DIA DIEM'!$A$1:$L$181,MATCH('CS2 NEW'!$G104,'TONG HOP DIA DIEM'!$G$1:$G$181,0),3)</f>
        <v>HCM_NM_CĐe.26.05.27.L</v>
      </c>
      <c r="M104" s="4" t="str">
        <f>INDEX('TONG HOP DIA DIEM'!$A$1:$L$181,MATCH('CS2 NEW'!$G104,'TONG HOP DIA DIEM'!$G$1:$G$181,0),4)</f>
        <v>HCM_NM_CĐe</v>
      </c>
    </row>
    <row r="105" spans="1:13" x14ac:dyDescent="0.2">
      <c r="A105" t="s">
        <v>146</v>
      </c>
      <c r="B105" t="s">
        <v>21</v>
      </c>
      <c r="C105" t="s">
        <v>162</v>
      </c>
      <c r="G105" s="4" t="s">
        <v>468</v>
      </c>
      <c r="H105" s="4" t="s">
        <v>469</v>
      </c>
      <c r="I105" s="4">
        <v>1</v>
      </c>
      <c r="J105" s="4"/>
      <c r="K105" s="4">
        <v>27</v>
      </c>
      <c r="L105" s="4" t="str">
        <f>M105&amp;"."&amp;$E$2&amp;"."&amp;$F$2&amp;"."&amp;K105&amp;INDEX('TONG HOP DIA DIEM'!$A$1:$L$181,MATCH('CS2 NEW'!$G105,'TONG HOP DIA DIEM'!$G$1:$G$181,0),3)</f>
        <v>HCM_NM_HNL.26.05.27.X</v>
      </c>
      <c r="M105" s="4" t="str">
        <f>INDEX('TONG HOP DIA DIEM'!$A$1:$L$181,MATCH('CS2 NEW'!$G105,'TONG HOP DIA DIEM'!$G$1:$G$181,0),4)</f>
        <v>HCM_NM_HNL</v>
      </c>
    </row>
    <row r="106" spans="1:13" x14ac:dyDescent="0.2">
      <c r="A106" t="s">
        <v>148</v>
      </c>
      <c r="B106" t="s">
        <v>21</v>
      </c>
      <c r="C106" t="s">
        <v>163</v>
      </c>
      <c r="G106" s="4" t="s">
        <v>470</v>
      </c>
      <c r="H106" s="4" t="s">
        <v>471</v>
      </c>
      <c r="I106" s="4">
        <v>1</v>
      </c>
      <c r="J106" s="4"/>
      <c r="K106" s="4">
        <v>27</v>
      </c>
      <c r="L106" s="4" t="str">
        <f>M106&amp;"."&amp;$E$2&amp;"."&amp;$F$2&amp;"."&amp;K106&amp;INDEX('TONG HOP DIA DIEM'!$A$1:$L$181,MATCH('CS2 NEW'!$G106,'TONG HOP DIA DIEM'!$G$1:$G$181,0),3)</f>
        <v>HCM_NM_BĐ.26.05.27.X</v>
      </c>
      <c r="M106" s="4" t="str">
        <f>INDEX('TONG HOP DIA DIEM'!$A$1:$L$181,MATCH('CS2 NEW'!$G106,'TONG HOP DIA DIEM'!$G$1:$G$181,0),4)</f>
        <v>HCM_NM_BĐ</v>
      </c>
    </row>
    <row r="107" spans="1:13" x14ac:dyDescent="0.2">
      <c r="A107" t="s">
        <v>150</v>
      </c>
      <c r="B107" t="s">
        <v>21</v>
      </c>
      <c r="C107" t="s">
        <v>164</v>
      </c>
      <c r="G107" s="4" t="s">
        <v>472</v>
      </c>
      <c r="H107" s="4" t="s">
        <v>473</v>
      </c>
      <c r="I107" s="4">
        <v>1</v>
      </c>
      <c r="J107" s="4"/>
      <c r="K107" s="4">
        <v>27</v>
      </c>
      <c r="L107" s="4" t="str">
        <f>M107&amp;"."&amp;$E$2&amp;"."&amp;$F$2&amp;"."&amp;K107&amp;INDEX('TONG HOP DIA DIEM'!$A$1:$L$181,MATCH('CS2 NEW'!$G107,'TONG HOP DIA DIEM'!$G$1:$G$181,0),3)</f>
        <v>HCM_NM_CĐe.26.05.27.X</v>
      </c>
      <c r="M107" s="4" t="str">
        <f>INDEX('TONG HOP DIA DIEM'!$A$1:$L$181,MATCH('CS2 NEW'!$G107,'TONG HOP DIA DIEM'!$G$1:$G$181,0),4)</f>
        <v>HCM_NM_CĐe</v>
      </c>
    </row>
    <row r="108" spans="1:13" x14ac:dyDescent="0.2">
      <c r="A108" t="s">
        <v>152</v>
      </c>
      <c r="B108" t="s">
        <v>21</v>
      </c>
      <c r="C108" t="s">
        <v>165</v>
      </c>
      <c r="G108" s="4" t="s">
        <v>474</v>
      </c>
      <c r="H108" s="4" t="s">
        <v>475</v>
      </c>
      <c r="I108" s="4">
        <v>1</v>
      </c>
      <c r="J108" s="4"/>
      <c r="K108" s="4">
        <v>28</v>
      </c>
      <c r="L108" s="4" t="str">
        <f>M108&amp;"."&amp;$E$2&amp;"."&amp;$F$2&amp;"."&amp;K108&amp;INDEX('TONG HOP DIA DIEM'!$A$1:$L$181,MATCH('CS2 NEW'!$G108,'TONG HOP DIA DIEM'!$G$1:$G$181,0),3)</f>
        <v>HCM_NM_TBNM15.26.05.28.01</v>
      </c>
      <c r="M108" s="4" t="str">
        <f>INDEX('TONG HOP DIA DIEM'!$A$1:$L$181,MATCH('CS2 NEW'!$G108,'TONG HOP DIA DIEM'!$G$1:$G$181,0),4)</f>
        <v>HCM_NM_TBNM15</v>
      </c>
    </row>
    <row r="109" spans="1:13" x14ac:dyDescent="0.2">
      <c r="A109" t="s">
        <v>154</v>
      </c>
      <c r="B109" t="s">
        <v>21</v>
      </c>
      <c r="C109" t="s">
        <v>166</v>
      </c>
      <c r="G109" s="4" t="s">
        <v>476</v>
      </c>
      <c r="H109" s="4" t="s">
        <v>477</v>
      </c>
      <c r="I109" s="4">
        <v>1</v>
      </c>
      <c r="J109" s="4"/>
      <c r="K109" s="4">
        <v>28</v>
      </c>
      <c r="L109" s="4" t="str">
        <f>M109&amp;"."&amp;$E$2&amp;"."&amp;$F$2&amp;"."&amp;K109&amp;INDEX('TONG HOP DIA DIEM'!$A$1:$L$181,MATCH('CS2 NEW'!$G109,'TONG HOP DIA DIEM'!$G$1:$G$181,0),3)</f>
        <v>HCM_NM_TBNM5.26.05.28.01</v>
      </c>
      <c r="M109" s="4" t="str">
        <f>INDEX('TONG HOP DIA DIEM'!$A$1:$L$181,MATCH('CS2 NEW'!$G109,'TONG HOP DIA DIEM'!$G$1:$G$181,0),4)</f>
        <v>HCM_NM_TBNM5</v>
      </c>
    </row>
    <row r="110" spans="1:13" x14ac:dyDescent="0.2">
      <c r="A110" t="s">
        <v>156</v>
      </c>
      <c r="B110" t="s">
        <v>21</v>
      </c>
      <c r="C110" t="s">
        <v>167</v>
      </c>
      <c r="G110" s="4" t="s">
        <v>478</v>
      </c>
      <c r="H110" s="4" t="s">
        <v>479</v>
      </c>
      <c r="I110" s="4">
        <v>1</v>
      </c>
      <c r="J110" s="4"/>
      <c r="K110" s="4">
        <v>28</v>
      </c>
      <c r="L110" s="4" t="str">
        <f>M110&amp;"."&amp;$E$2&amp;"."&amp;$F$2&amp;"."&amp;K110&amp;INDEX('TONG HOP DIA DIEM'!$A$1:$L$181,MATCH('CS2 NEW'!$G110,'TONG HOP DIA DIEM'!$G$1:$G$181,0),3)</f>
        <v>HCM_NM_TBNM14.26.05.28.01</v>
      </c>
      <c r="M110" s="4" t="str">
        <f>INDEX('TONG HOP DIA DIEM'!$A$1:$L$181,MATCH('CS2 NEW'!$G110,'TONG HOP DIA DIEM'!$G$1:$G$181,0),4)</f>
        <v>HCM_NM_TBNM14</v>
      </c>
    </row>
    <row r="111" spans="1:13" x14ac:dyDescent="0.2">
      <c r="A111" t="s">
        <v>158</v>
      </c>
      <c r="B111" t="s">
        <v>21</v>
      </c>
      <c r="C111" t="s">
        <v>168</v>
      </c>
      <c r="G111" s="4" t="s">
        <v>480</v>
      </c>
      <c r="H111" s="4" t="s">
        <v>481</v>
      </c>
      <c r="I111" s="4">
        <v>1</v>
      </c>
      <c r="J111" s="4"/>
      <c r="K111" s="4">
        <v>28</v>
      </c>
      <c r="L111" s="4" t="str">
        <f>M111&amp;"."&amp;$E$2&amp;"."&amp;$F$2&amp;"."&amp;K111&amp;INDEX('TONG HOP DIA DIEM'!$A$1:$L$181,MATCH('CS2 NEW'!$G111,'TONG HOP DIA DIEM'!$G$1:$G$181,0),3)</f>
        <v>HCM_NM_TBNM9.26.05.28.01</v>
      </c>
      <c r="M111" s="4" t="str">
        <f>INDEX('TONG HOP DIA DIEM'!$A$1:$L$181,MATCH('CS2 NEW'!$G111,'TONG HOP DIA DIEM'!$G$1:$G$181,0),4)</f>
        <v>HCM_NM_TBNM9</v>
      </c>
    </row>
    <row r="112" spans="1:13" x14ac:dyDescent="0.2">
      <c r="A112" t="s">
        <v>160</v>
      </c>
      <c r="B112" t="s">
        <v>21</v>
      </c>
      <c r="C112" t="s">
        <v>169</v>
      </c>
      <c r="G112" s="4" t="s">
        <v>482</v>
      </c>
      <c r="H112" s="4" t="s">
        <v>483</v>
      </c>
      <c r="I112" s="4">
        <v>1</v>
      </c>
      <c r="J112" s="4"/>
      <c r="K112" s="4">
        <v>28</v>
      </c>
      <c r="L112" s="4" t="str">
        <f>M112&amp;"."&amp;$E$2&amp;"."&amp;$F$2&amp;"."&amp;K112&amp;INDEX('TONG HOP DIA DIEM'!$A$1:$L$181,MATCH('CS2 NEW'!$G112,'TONG HOP DIA DIEM'!$G$1:$G$181,0),3)</f>
        <v>HCM_NM_TBNM11.26.05.28.01</v>
      </c>
      <c r="M112" s="4" t="str">
        <f>INDEX('TONG HOP DIA DIEM'!$A$1:$L$181,MATCH('CS2 NEW'!$G112,'TONG HOP DIA DIEM'!$G$1:$G$181,0),4)</f>
        <v>HCM_NM_TBNM11</v>
      </c>
    </row>
    <row r="113" spans="1:13" x14ac:dyDescent="0.2">
      <c r="A113" t="s">
        <v>170</v>
      </c>
      <c r="B113" t="s">
        <v>1</v>
      </c>
      <c r="C113" t="s">
        <v>171</v>
      </c>
      <c r="G113" s="4" t="s">
        <v>484</v>
      </c>
      <c r="H113" s="4" t="s">
        <v>485</v>
      </c>
      <c r="I113" s="4">
        <v>1</v>
      </c>
      <c r="J113" s="4"/>
      <c r="K113" s="4">
        <v>28</v>
      </c>
      <c r="L113" s="4" t="str">
        <f>M113&amp;"."&amp;$E$2&amp;"."&amp;$F$2&amp;"."&amp;K113&amp;INDEX('TONG HOP DIA DIEM'!$A$1:$L$181,MATCH('CS2 NEW'!$G113,'TONG HOP DIA DIEM'!$G$1:$G$181,0),3)</f>
        <v>HCM_NM_TBNM1.26.05.28.01</v>
      </c>
      <c r="M113" s="4" t="str">
        <f>INDEX('TONG HOP DIA DIEM'!$A$1:$L$181,MATCH('CS2 NEW'!$G113,'TONG HOP DIA DIEM'!$G$1:$G$181,0),4)</f>
        <v>HCM_NM_TBNM1</v>
      </c>
    </row>
    <row r="114" spans="1:13" x14ac:dyDescent="0.2">
      <c r="A114" t="s">
        <v>172</v>
      </c>
      <c r="B114" t="s">
        <v>1</v>
      </c>
      <c r="C114" t="s">
        <v>173</v>
      </c>
      <c r="G114" s="4" t="s">
        <v>486</v>
      </c>
      <c r="H114" s="4" t="s">
        <v>487</v>
      </c>
      <c r="I114" s="4">
        <v>1</v>
      </c>
      <c r="J114" s="4"/>
      <c r="K114" s="4">
        <v>28</v>
      </c>
      <c r="L114" s="4" t="str">
        <f>M114&amp;"."&amp;$E$2&amp;"."&amp;$F$2&amp;"."&amp;K114&amp;INDEX('TONG HOP DIA DIEM'!$A$1:$L$181,MATCH('CS2 NEW'!$G114,'TONG HOP DIA DIEM'!$G$1:$G$181,0),3)</f>
        <v>HCM_NM_TBNM15.26.05.28.02</v>
      </c>
      <c r="M114" s="4" t="str">
        <f>INDEX('TONG HOP DIA DIEM'!$A$1:$L$181,MATCH('CS2 NEW'!$G114,'TONG HOP DIA DIEM'!$G$1:$G$181,0),4)</f>
        <v>HCM_NM_TBNM15</v>
      </c>
    </row>
    <row r="115" spans="1:13" x14ac:dyDescent="0.2">
      <c r="A115" t="s">
        <v>174</v>
      </c>
      <c r="B115" t="s">
        <v>1</v>
      </c>
      <c r="C115" t="s">
        <v>175</v>
      </c>
      <c r="G115" s="4" t="s">
        <v>488</v>
      </c>
      <c r="H115" s="4" t="s">
        <v>489</v>
      </c>
      <c r="I115" s="4">
        <v>1</v>
      </c>
      <c r="J115" s="4"/>
      <c r="K115" s="4">
        <v>28</v>
      </c>
      <c r="L115" s="4" t="str">
        <f>M115&amp;"."&amp;$E$2&amp;"."&amp;$F$2&amp;"."&amp;K115&amp;INDEX('TONG HOP DIA DIEM'!$A$1:$L$181,MATCH('CS2 NEW'!$G115,'TONG HOP DIA DIEM'!$G$1:$G$181,0),3)</f>
        <v>HCM_NM_TBNM5.26.05.28.02</v>
      </c>
      <c r="M115" s="4" t="str">
        <f>INDEX('TONG HOP DIA DIEM'!$A$1:$L$181,MATCH('CS2 NEW'!$G115,'TONG HOP DIA DIEM'!$G$1:$G$181,0),4)</f>
        <v>HCM_NM_TBNM5</v>
      </c>
    </row>
    <row r="116" spans="1:13" x14ac:dyDescent="0.2">
      <c r="A116" t="s">
        <v>176</v>
      </c>
      <c r="B116" t="s">
        <v>1</v>
      </c>
      <c r="C116" t="s">
        <v>177</v>
      </c>
      <c r="G116" s="4" t="s">
        <v>490</v>
      </c>
      <c r="H116" s="4" t="s">
        <v>491</v>
      </c>
      <c r="I116" s="4">
        <v>1</v>
      </c>
      <c r="J116" s="4"/>
      <c r="K116" s="4">
        <v>28</v>
      </c>
      <c r="L116" s="4" t="str">
        <f>M116&amp;"."&amp;$E$2&amp;"."&amp;$F$2&amp;"."&amp;K116&amp;INDEX('TONG HOP DIA DIEM'!$A$1:$L$181,MATCH('CS2 NEW'!$G116,'TONG HOP DIA DIEM'!$G$1:$G$181,0),3)</f>
        <v>HCM_NM_TBNM14.26.05.28.02</v>
      </c>
      <c r="M116" s="4" t="str">
        <f>INDEX('TONG HOP DIA DIEM'!$A$1:$L$181,MATCH('CS2 NEW'!$G116,'TONG HOP DIA DIEM'!$G$1:$G$181,0),4)</f>
        <v>HCM_NM_TBNM14</v>
      </c>
    </row>
    <row r="117" spans="1:13" x14ac:dyDescent="0.2">
      <c r="A117" t="s">
        <v>178</v>
      </c>
      <c r="B117" t="s">
        <v>1</v>
      </c>
      <c r="C117" t="s">
        <v>179</v>
      </c>
      <c r="G117" s="4" t="s">
        <v>492</v>
      </c>
      <c r="H117" s="4" t="s">
        <v>493</v>
      </c>
      <c r="I117" s="4">
        <v>1</v>
      </c>
      <c r="J117" s="4"/>
      <c r="K117" s="4">
        <v>28</v>
      </c>
      <c r="L117" s="4" t="str">
        <f>M117&amp;"."&amp;$E$2&amp;"."&amp;$F$2&amp;"."&amp;K117&amp;INDEX('TONG HOP DIA DIEM'!$A$1:$L$181,MATCH('CS2 NEW'!$G117,'TONG HOP DIA DIEM'!$G$1:$G$181,0),3)</f>
        <v>HCM_NM_TBNM9.26.05.28.02</v>
      </c>
      <c r="M117" s="4" t="str">
        <f>INDEX('TONG HOP DIA DIEM'!$A$1:$L$181,MATCH('CS2 NEW'!$G117,'TONG HOP DIA DIEM'!$G$1:$G$181,0),4)</f>
        <v>HCM_NM_TBNM9</v>
      </c>
    </row>
    <row r="118" spans="1:13" x14ac:dyDescent="0.2">
      <c r="A118" t="s">
        <v>180</v>
      </c>
      <c r="B118" t="s">
        <v>1</v>
      </c>
      <c r="C118" t="s">
        <v>181</v>
      </c>
      <c r="G118" s="4" t="s">
        <v>494</v>
      </c>
      <c r="H118" s="4" t="s">
        <v>495</v>
      </c>
      <c r="I118" s="4">
        <v>1</v>
      </c>
      <c r="J118" s="4"/>
      <c r="K118" s="4">
        <v>28</v>
      </c>
      <c r="L118" s="4" t="str">
        <f>M118&amp;"."&amp;$E$2&amp;"."&amp;$F$2&amp;"."&amp;K118&amp;INDEX('TONG HOP DIA DIEM'!$A$1:$L$181,MATCH('CS2 NEW'!$G118,'TONG HOP DIA DIEM'!$G$1:$G$181,0),3)</f>
        <v>HCM_NM_TBNM11.26.05.28.02</v>
      </c>
      <c r="M118" s="4" t="str">
        <f>INDEX('TONG HOP DIA DIEM'!$A$1:$L$181,MATCH('CS2 NEW'!$G118,'TONG HOP DIA DIEM'!$G$1:$G$181,0),4)</f>
        <v>HCM_NM_TBNM11</v>
      </c>
    </row>
    <row r="119" spans="1:13" x14ac:dyDescent="0.2">
      <c r="A119" t="s">
        <v>182</v>
      </c>
      <c r="B119" t="s">
        <v>1</v>
      </c>
      <c r="C119" t="s">
        <v>183</v>
      </c>
      <c r="F119" s="2" t="s">
        <v>1939</v>
      </c>
      <c r="G119" s="4" t="s">
        <v>496</v>
      </c>
      <c r="H119" s="4" t="s">
        <v>497</v>
      </c>
      <c r="I119" s="4">
        <v>1</v>
      </c>
      <c r="J119" s="4"/>
      <c r="K119" s="4">
        <v>28</v>
      </c>
      <c r="L119" s="4" t="str">
        <f>M119&amp;"."&amp;$E$2&amp;"."&amp;$F$2&amp;"."&amp;K119&amp;INDEX('TONG HOP DIA DIEM'!$A$1:$L$181,MATCH('CS2 NEW'!$G119,'TONG HOP DIA DIEM'!$G$1:$G$181,0),3)</f>
        <v>HCM_NM_TBNM1.26.05.28.02</v>
      </c>
      <c r="M119" s="4" t="str">
        <f>INDEX('TONG HOP DIA DIEM'!$A$1:$L$181,MATCH('CS2 NEW'!$G119,'TONG HOP DIA DIEM'!$G$1:$G$181,0),4)</f>
        <v>HCM_NM_TBNM1</v>
      </c>
    </row>
    <row r="120" spans="1:13" x14ac:dyDescent="0.2">
      <c r="A120" t="s">
        <v>184</v>
      </c>
      <c r="B120" t="s">
        <v>1</v>
      </c>
      <c r="C120" t="s">
        <v>185</v>
      </c>
      <c r="F120" s="2" t="str">
        <f ca="1">IF(RIGHT(H120,8)="Mẫu lặp)","05","0"&amp;RANDBETWEEN(6,8))</f>
        <v>05</v>
      </c>
      <c r="G120" s="3" t="str">
        <f>_xlfn.IFNA(INDEX('TONG HOP DIA DIEM'!$A$1:$L$181,MATCH($H120,'TONG HOP DIA DIEM'!$I$1:$I$181,0),7),INDEX('TONG HOP DIA DIEM'!$A$1:$L$181,MATCH($H120,'TONG HOP DIA DIEM'!$J$1:$J$181,0),7))</f>
        <v>Bà Lào - HCM_NM_BLa - Triều Lên</v>
      </c>
      <c r="H120" s="3" t="s">
        <v>1580</v>
      </c>
      <c r="I120" s="3">
        <v>1</v>
      </c>
      <c r="J120" s="3"/>
      <c r="K120" s="3">
        <f>VLOOKUP(G120,$G$1:$M$119,5,0)</f>
        <v>11</v>
      </c>
      <c r="L120" s="3" t="str">
        <f ca="1">VLOOKUP(G120,$G$1:$M$119,6,0)&amp;"."&amp;F120</f>
        <v>HCM_NM_BLa.26.05.11.L.05</v>
      </c>
    </row>
    <row r="121" spans="1:13" x14ac:dyDescent="0.2">
      <c r="A121" t="s">
        <v>186</v>
      </c>
      <c r="B121" t="s">
        <v>1</v>
      </c>
      <c r="C121" t="s">
        <v>187</v>
      </c>
      <c r="F121" s="2" t="str">
        <f t="shared" ref="F121:F134" ca="1" si="0">IF(RIGHT(H121,8)="Mẫu lặp)","05","0"&amp;RANDBETWEEN(6,8))</f>
        <v>05</v>
      </c>
      <c r="G121" s="3" t="str">
        <f>_xlfn.IFNA(INDEX('TONG HOP DIA DIEM'!$A$1:$L$181,MATCH($H121,'TONG HOP DIA DIEM'!$I$1:$I$181,0),7),INDEX('TONG HOP DIA DIEM'!$A$1:$L$181,MATCH($H121,'TONG HOP DIA DIEM'!$J$1:$J$181,0),7))</f>
        <v>Hải Đức - HCM_NM_HĐ - Triều Xuống</v>
      </c>
      <c r="H121" s="3" t="s">
        <v>1581</v>
      </c>
      <c r="I121" s="3">
        <v>1</v>
      </c>
      <c r="J121" s="3"/>
      <c r="K121" s="3">
        <f t="shared" ref="K121:K134" si="1">VLOOKUP(G121,$G$1:$M$119,5,0)</f>
        <v>12</v>
      </c>
      <c r="L121" s="3" t="str">
        <f t="shared" ref="L121:L134" ca="1" si="2">VLOOKUP(G121,$G$1:$M$119,6,0)&amp;"."&amp;F121</f>
        <v>HCM_NM_HĐ.26.05.12.X.05</v>
      </c>
    </row>
    <row r="122" spans="1:13" x14ac:dyDescent="0.2">
      <c r="A122" t="s">
        <v>170</v>
      </c>
      <c r="B122" t="s">
        <v>21</v>
      </c>
      <c r="C122" t="s">
        <v>188</v>
      </c>
      <c r="F122" s="2" t="str">
        <f t="shared" ca="1" si="0"/>
        <v>05</v>
      </c>
      <c r="G122" s="3" t="str">
        <f>_xlfn.IFNA(INDEX('TONG HOP DIA DIEM'!$A$1:$L$181,MATCH($H122,'TONG HOP DIA DIEM'!$I$1:$I$181,0),7),INDEX('TONG HOP DIA DIEM'!$A$1:$L$181,MATCH($H122,'TONG HOP DIA DIEM'!$J$1:$J$181,0),7))</f>
        <v>Cầu Đỏ - HCM_NM_CĐ - Triều Xuống</v>
      </c>
      <c r="H122" s="3" t="s">
        <v>1582</v>
      </c>
      <c r="I122" s="3">
        <v>1</v>
      </c>
      <c r="J122" s="3"/>
      <c r="K122" s="3">
        <f t="shared" si="1"/>
        <v>12</v>
      </c>
      <c r="L122" s="3" t="str">
        <f t="shared" ca="1" si="2"/>
        <v>HCM_NM_CĐ.26.05.12.X.05</v>
      </c>
    </row>
    <row r="123" spans="1:13" x14ac:dyDescent="0.2">
      <c r="A123" t="s">
        <v>172</v>
      </c>
      <c r="B123" t="s">
        <v>21</v>
      </c>
      <c r="C123" t="s">
        <v>189</v>
      </c>
      <c r="F123" s="2" t="str">
        <f t="shared" ca="1" si="0"/>
        <v>05</v>
      </c>
      <c r="G123" s="3" t="str">
        <f>_xlfn.IFNA(INDEX('TONG HOP DIA DIEM'!$A$1:$L$181,MATCH($H123,'TONG HOP DIA DIEM'!$I$1:$I$181,0),7),INDEX('TONG HOP DIA DIEM'!$A$1:$L$181,MATCH($H123,'TONG HOP DIA DIEM'!$J$1:$J$181,0),7))</f>
        <v>Rau Răm - HCM_NM_RR - Triều Xuống</v>
      </c>
      <c r="H123" s="3" t="s">
        <v>1583</v>
      </c>
      <c r="I123" s="3">
        <v>1</v>
      </c>
      <c r="J123" s="3"/>
      <c r="K123" s="3">
        <f t="shared" si="1"/>
        <v>13</v>
      </c>
      <c r="L123" s="3" t="str">
        <f t="shared" ca="1" si="2"/>
        <v>HCM_NM_RR.26.05.13.X.05</v>
      </c>
    </row>
    <row r="124" spans="1:13" x14ac:dyDescent="0.2">
      <c r="A124" t="s">
        <v>174</v>
      </c>
      <c r="B124" t="s">
        <v>21</v>
      </c>
      <c r="C124" t="s">
        <v>190</v>
      </c>
      <c r="F124" s="2" t="str">
        <f t="shared" ca="1" si="0"/>
        <v>05</v>
      </c>
      <c r="G124" s="3" t="str">
        <f>_xlfn.IFNA(INDEX('TONG HOP DIA DIEM'!$A$1:$L$181,MATCH($H124,'TONG HOP DIA DIEM'!$I$1:$I$181,0),7),INDEX('TONG HOP DIA DIEM'!$A$1:$L$181,MATCH($H124,'TONG HOP DIA DIEM'!$J$1:$J$181,0),7))</f>
        <v>Cống Vàm Thuật - HCM_NM_VT - Triều Xuống</v>
      </c>
      <c r="H124" s="3" t="s">
        <v>1584</v>
      </c>
      <c r="I124" s="3">
        <v>1</v>
      </c>
      <c r="J124" s="3"/>
      <c r="K124" s="3">
        <f t="shared" si="1"/>
        <v>14</v>
      </c>
      <c r="L124" s="3" t="str">
        <f t="shared" ca="1" si="2"/>
        <v>HCM_NM_VT.26.05.14.X.05</v>
      </c>
    </row>
    <row r="125" spans="1:13" x14ac:dyDescent="0.2">
      <c r="A125" t="s">
        <v>176</v>
      </c>
      <c r="B125" t="s">
        <v>21</v>
      </c>
      <c r="C125" t="s">
        <v>191</v>
      </c>
      <c r="F125" s="2" t="str">
        <f t="shared" ca="1" si="0"/>
        <v>05</v>
      </c>
      <c r="G125" s="3" t="str">
        <f>_xlfn.IFNA(INDEX('TONG HOP DIA DIEM'!$A$1:$L$181,MATCH($H125,'TONG HOP DIA DIEM'!$I$1:$I$181,0),7),INDEX('TONG HOP DIA DIEM'!$A$1:$L$181,MATCH($H125,'TONG HOP DIA DIEM'!$J$1:$J$181,0),7))</f>
        <v>CN1 - HCM_NM_CN1 - Triều Lên</v>
      </c>
      <c r="H125" s="3" t="s">
        <v>1585</v>
      </c>
      <c r="I125" s="3">
        <v>1</v>
      </c>
      <c r="J125" s="3"/>
      <c r="K125" s="3">
        <f t="shared" si="1"/>
        <v>15</v>
      </c>
      <c r="L125" s="3" t="str">
        <f t="shared" ca="1" si="2"/>
        <v>HCM_NM_CN1.26.05.15.L.05</v>
      </c>
    </row>
    <row r="126" spans="1:13" x14ac:dyDescent="0.2">
      <c r="A126" t="s">
        <v>178</v>
      </c>
      <c r="B126" t="s">
        <v>21</v>
      </c>
      <c r="C126" t="s">
        <v>192</v>
      </c>
      <c r="F126" s="2" t="str">
        <f t="shared" ca="1" si="0"/>
        <v>05</v>
      </c>
      <c r="G126" s="3" t="str">
        <f>_xlfn.IFNA(INDEX('TONG HOP DIA DIEM'!$A$1:$L$181,MATCH($H126,'TONG HOP DIA DIEM'!$I$1:$I$181,0),7),INDEX('TONG HOP DIA DIEM'!$A$1:$L$181,MATCH($H126,'TONG HOP DIA DIEM'!$J$1:$J$181,0),7))</f>
        <v>Kênh C8 - HCM_NM_KC8 - Triều Lên</v>
      </c>
      <c r="H126" s="3" t="s">
        <v>1586</v>
      </c>
      <c r="I126" s="3">
        <v>1</v>
      </c>
      <c r="J126" s="3"/>
      <c r="K126" s="3">
        <f t="shared" si="1"/>
        <v>20</v>
      </c>
      <c r="L126" s="3" t="str">
        <f t="shared" ca="1" si="2"/>
        <v>HCM_NM_KC8.26.05.20.L.05</v>
      </c>
    </row>
    <row r="127" spans="1:13" x14ac:dyDescent="0.2">
      <c r="A127" t="s">
        <v>180</v>
      </c>
      <c r="B127" t="s">
        <v>21</v>
      </c>
      <c r="C127" t="s">
        <v>193</v>
      </c>
      <c r="F127" s="2" t="str">
        <f t="shared" ca="1" si="0"/>
        <v>05</v>
      </c>
      <c r="G127" s="3" t="str">
        <f>_xlfn.IFNA(INDEX('TONG HOP DIA DIEM'!$A$1:$L$181,MATCH($H127,'TONG HOP DIA DIEM'!$I$1:$I$181,0),7),INDEX('TONG HOP DIA DIEM'!$A$1:$L$181,MATCH($H127,'TONG HOP DIA DIEM'!$J$1:$J$181,0),7))</f>
        <v>Cầu Rạch Ngang - HCM_NM_CRN - Triều Xuống</v>
      </c>
      <c r="H127" s="3" t="s">
        <v>1587</v>
      </c>
      <c r="I127" s="3">
        <v>1</v>
      </c>
      <c r="J127" s="3"/>
      <c r="K127" s="3">
        <f t="shared" si="1"/>
        <v>21</v>
      </c>
      <c r="L127" s="3" t="str">
        <f t="shared" ca="1" si="2"/>
        <v>HCM_NM_CRN.26.05.21.X.05</v>
      </c>
    </row>
    <row r="128" spans="1:13" x14ac:dyDescent="0.2">
      <c r="A128" t="s">
        <v>182</v>
      </c>
      <c r="B128" t="s">
        <v>21</v>
      </c>
      <c r="C128" t="s">
        <v>194</v>
      </c>
      <c r="F128" s="2" t="str">
        <f t="shared" ca="1" si="0"/>
        <v>06</v>
      </c>
      <c r="G128" s="3" t="str">
        <f>_xlfn.IFNA(INDEX('TONG HOP DIA DIEM'!$A$1:$L$181,MATCH($H128,'TONG HOP DIA DIEM'!$I$1:$I$181,0),7),INDEX('TONG HOP DIA DIEM'!$A$1:$L$181,MATCH($H128,'TONG HOP DIA DIEM'!$J$1:$J$181,0),7))</f>
        <v>Cầu Rạch Ngang - HCM_NM_CRN - Triều Xuống</v>
      </c>
      <c r="H128" s="3" t="s">
        <v>1588</v>
      </c>
      <c r="I128" s="3">
        <v>1</v>
      </c>
      <c r="J128" s="3"/>
      <c r="K128" s="3">
        <f t="shared" si="1"/>
        <v>21</v>
      </c>
      <c r="L128" s="3" t="str">
        <f t="shared" ca="1" si="2"/>
        <v>HCM_NM_CRN.26.05.21.X.06</v>
      </c>
    </row>
    <row r="129" spans="1:12" x14ac:dyDescent="0.2">
      <c r="A129" t="s">
        <v>184</v>
      </c>
      <c r="B129" t="s">
        <v>21</v>
      </c>
      <c r="C129" t="s">
        <v>195</v>
      </c>
      <c r="F129" s="2" t="str">
        <f t="shared" ca="1" si="0"/>
        <v>05</v>
      </c>
      <c r="G129" s="3" t="str">
        <f>_xlfn.IFNA(INDEX('TONG HOP DIA DIEM'!$A$1:$L$181,MATCH($H129,'TONG HOP DIA DIEM'!$I$1:$I$181,0),7),INDEX('TONG HOP DIA DIEM'!$A$1:$L$181,MATCH($H129,'TONG HOP DIA DIEM'!$J$1:$J$181,0),7))</f>
        <v>Cầu số 1 - HCM_NM_CS1 - Triều Xuống</v>
      </c>
      <c r="H129" s="3" t="s">
        <v>1589</v>
      </c>
      <c r="I129" s="3">
        <v>1</v>
      </c>
      <c r="J129" s="3"/>
      <c r="K129" s="3">
        <f t="shared" si="1"/>
        <v>12</v>
      </c>
      <c r="L129" s="3" t="str">
        <f t="shared" ca="1" si="2"/>
        <v>HCM_NM_CS1.26.05.12.X.05</v>
      </c>
    </row>
    <row r="130" spans="1:12" x14ac:dyDescent="0.2">
      <c r="A130" t="s">
        <v>186</v>
      </c>
      <c r="B130" t="s">
        <v>21</v>
      </c>
      <c r="C130" t="s">
        <v>196</v>
      </c>
      <c r="F130" s="2" t="str">
        <f t="shared" ca="1" si="0"/>
        <v>06</v>
      </c>
      <c r="G130" s="3" t="str">
        <f>_xlfn.IFNA(INDEX('TONG HOP DIA DIEM'!$A$1:$L$181,MATCH($H130,'TONG HOP DIA DIEM'!$I$1:$I$181,0),7),INDEX('TONG HOP DIA DIEM'!$A$1:$L$181,MATCH($H130,'TONG HOP DIA DIEM'!$J$1:$J$181,0),7))</f>
        <v>Cầu số 1 - HCM_NM_CS1 - Triều Xuống</v>
      </c>
      <c r="H130" s="3" t="s">
        <v>1590</v>
      </c>
      <c r="I130" s="3">
        <v>1</v>
      </c>
      <c r="J130" s="3"/>
      <c r="K130" s="3">
        <f t="shared" si="1"/>
        <v>12</v>
      </c>
      <c r="L130" s="3" t="str">
        <f t="shared" ca="1" si="2"/>
        <v>HCM_NM_CS1.26.05.12.X.06</v>
      </c>
    </row>
    <row r="131" spans="1:12" x14ac:dyDescent="0.2">
      <c r="A131" t="s">
        <v>197</v>
      </c>
      <c r="B131" t="s">
        <v>1</v>
      </c>
      <c r="C131" t="s">
        <v>198</v>
      </c>
      <c r="F131" s="2" t="str">
        <f t="shared" ca="1" si="0"/>
        <v>05</v>
      </c>
      <c r="G131" s="3" t="str">
        <f>_xlfn.IFNA(INDEX('TONG HOP DIA DIEM'!$A$1:$L$181,MATCH($H131,'TONG HOP DIA DIEM'!$I$1:$I$181,0),7),INDEX('TONG HOP DIA DIEM'!$A$1:$L$181,MATCH($H131,'TONG HOP DIA DIEM'!$J$1:$J$181,0),7))</f>
        <v>Chợ Cầu - HCM_NM_CC - Triều Lên</v>
      </c>
      <c r="H131" s="3" t="s">
        <v>1591</v>
      </c>
      <c r="I131" s="3">
        <v>1</v>
      </c>
      <c r="J131" s="3"/>
      <c r="K131" s="3">
        <f t="shared" si="1"/>
        <v>15</v>
      </c>
      <c r="L131" s="3" t="str">
        <f t="shared" ca="1" si="2"/>
        <v>HCM_NM_CC.26.05.15.L.05</v>
      </c>
    </row>
    <row r="132" spans="1:12" x14ac:dyDescent="0.2">
      <c r="A132" t="s">
        <v>199</v>
      </c>
      <c r="B132" t="s">
        <v>1</v>
      </c>
      <c r="C132" t="s">
        <v>200</v>
      </c>
      <c r="F132" s="2" t="str">
        <f t="shared" ca="1" si="0"/>
        <v>06</v>
      </c>
      <c r="G132" s="3" t="str">
        <f>_xlfn.IFNA(INDEX('TONG HOP DIA DIEM'!$A$1:$L$181,MATCH($H132,'TONG HOP DIA DIEM'!$I$1:$I$181,0),7),INDEX('TONG HOP DIA DIEM'!$A$1:$L$181,MATCH($H132,'TONG HOP DIA DIEM'!$J$1:$J$181,0),7))</f>
        <v>Chợ Cầu - HCM_NM_CC - Triều Lên</v>
      </c>
      <c r="H132" s="3" t="s">
        <v>1592</v>
      </c>
      <c r="I132" s="3">
        <v>1</v>
      </c>
      <c r="J132" s="3"/>
      <c r="K132" s="3">
        <f t="shared" si="1"/>
        <v>15</v>
      </c>
      <c r="L132" s="3" t="str">
        <f t="shared" ca="1" si="2"/>
        <v>HCM_NM_CC.26.05.15.L.06</v>
      </c>
    </row>
    <row r="133" spans="1:12" x14ac:dyDescent="0.2">
      <c r="A133" t="s">
        <v>201</v>
      </c>
      <c r="B133" t="s">
        <v>1</v>
      </c>
      <c r="C133" t="s">
        <v>202</v>
      </c>
      <c r="F133" s="2" t="str">
        <f t="shared" ca="1" si="0"/>
        <v>05</v>
      </c>
      <c r="G133" s="3" t="str">
        <f>_xlfn.IFNA(INDEX('TONG HOP DIA DIEM'!$A$1:$L$181,MATCH($H133,'TONG HOP DIA DIEM'!$I$1:$I$181,0),7),INDEX('TONG HOP DIA DIEM'!$A$1:$L$181,MATCH($H133,'TONG HOP DIA DIEM'!$J$1:$J$181,0),7))</f>
        <v>Cống Vàm Thuật - HCM_NM_VT - Triều Lên</v>
      </c>
      <c r="H133" s="3" t="s">
        <v>1593</v>
      </c>
      <c r="I133" s="3">
        <v>1</v>
      </c>
      <c r="J133" s="3"/>
      <c r="K133" s="3">
        <f t="shared" si="1"/>
        <v>14</v>
      </c>
      <c r="L133" s="3" t="str">
        <f t="shared" ca="1" si="2"/>
        <v>HCM_NM_VT.26.05.14.L.05</v>
      </c>
    </row>
    <row r="134" spans="1:12" x14ac:dyDescent="0.2">
      <c r="A134" t="s">
        <v>203</v>
      </c>
      <c r="B134" t="s">
        <v>1</v>
      </c>
      <c r="C134" t="s">
        <v>204</v>
      </c>
      <c r="F134" s="2" t="str">
        <f t="shared" ca="1" si="0"/>
        <v>08</v>
      </c>
      <c r="G134" s="3" t="str">
        <f>_xlfn.IFNA(INDEX('TONG HOP DIA DIEM'!$A$1:$L$181,MATCH($H134,'TONG HOP DIA DIEM'!$I$1:$I$181,0),7),INDEX('TONG HOP DIA DIEM'!$A$1:$L$181,MATCH($H134,'TONG HOP DIA DIEM'!$J$1:$J$181,0),7))</f>
        <v>Cống Vàm Thuật - HCM_NM_VT - Triều Lên</v>
      </c>
      <c r="H134" s="3" t="s">
        <v>1594</v>
      </c>
      <c r="I134" s="3">
        <v>1</v>
      </c>
      <c r="J134" s="3"/>
      <c r="K134" s="3">
        <f t="shared" si="1"/>
        <v>14</v>
      </c>
      <c r="L134" s="3" t="str">
        <f t="shared" ca="1" si="2"/>
        <v>HCM_NM_VT.26.05.14.L.08</v>
      </c>
    </row>
    <row r="135" spans="1:12" x14ac:dyDescent="0.2">
      <c r="A135" t="s">
        <v>205</v>
      </c>
      <c r="B135" t="s">
        <v>1</v>
      </c>
      <c r="C135" t="s">
        <v>206</v>
      </c>
    </row>
    <row r="136" spans="1:12" x14ac:dyDescent="0.2">
      <c r="A136" t="s">
        <v>207</v>
      </c>
      <c r="B136" t="s">
        <v>1</v>
      </c>
      <c r="C136" t="s">
        <v>208</v>
      </c>
    </row>
    <row r="137" spans="1:12" x14ac:dyDescent="0.2">
      <c r="A137" t="s">
        <v>209</v>
      </c>
      <c r="B137" t="s">
        <v>1</v>
      </c>
      <c r="C137" t="s">
        <v>210</v>
      </c>
    </row>
    <row r="138" spans="1:12" x14ac:dyDescent="0.2">
      <c r="A138" t="s">
        <v>211</v>
      </c>
      <c r="B138" t="s">
        <v>1</v>
      </c>
      <c r="C138" t="s">
        <v>212</v>
      </c>
    </row>
    <row r="139" spans="1:12" x14ac:dyDescent="0.2">
      <c r="A139" t="s">
        <v>213</v>
      </c>
      <c r="B139" t="s">
        <v>1</v>
      </c>
      <c r="C139" t="s">
        <v>214</v>
      </c>
    </row>
    <row r="140" spans="1:12" x14ac:dyDescent="0.2">
      <c r="A140" t="s">
        <v>197</v>
      </c>
      <c r="B140" t="s">
        <v>21</v>
      </c>
      <c r="C140" t="s">
        <v>215</v>
      </c>
    </row>
    <row r="141" spans="1:12" x14ac:dyDescent="0.2">
      <c r="A141" t="s">
        <v>199</v>
      </c>
      <c r="B141" t="s">
        <v>21</v>
      </c>
      <c r="C141" t="s">
        <v>216</v>
      </c>
    </row>
    <row r="142" spans="1:12" x14ac:dyDescent="0.2">
      <c r="A142" t="s">
        <v>201</v>
      </c>
      <c r="B142" t="s">
        <v>21</v>
      </c>
      <c r="C142" t="s">
        <v>217</v>
      </c>
    </row>
    <row r="143" spans="1:12" x14ac:dyDescent="0.2">
      <c r="A143" t="s">
        <v>203</v>
      </c>
      <c r="B143" t="s">
        <v>21</v>
      </c>
      <c r="C143" t="s">
        <v>218</v>
      </c>
    </row>
    <row r="144" spans="1:12" x14ac:dyDescent="0.2">
      <c r="A144" t="s">
        <v>205</v>
      </c>
      <c r="B144" t="s">
        <v>21</v>
      </c>
      <c r="C144" t="s">
        <v>219</v>
      </c>
    </row>
    <row r="145" spans="1:3" x14ac:dyDescent="0.2">
      <c r="A145" t="s">
        <v>207</v>
      </c>
      <c r="B145" t="s">
        <v>21</v>
      </c>
      <c r="C145" t="s">
        <v>220</v>
      </c>
    </row>
    <row r="146" spans="1:3" x14ac:dyDescent="0.2">
      <c r="A146" t="s">
        <v>209</v>
      </c>
      <c r="B146" t="s">
        <v>21</v>
      </c>
      <c r="C146" t="s">
        <v>221</v>
      </c>
    </row>
    <row r="147" spans="1:3" x14ac:dyDescent="0.2">
      <c r="A147" t="s">
        <v>211</v>
      </c>
      <c r="B147" t="s">
        <v>21</v>
      </c>
      <c r="C147" t="s">
        <v>222</v>
      </c>
    </row>
    <row r="148" spans="1:3" x14ac:dyDescent="0.2">
      <c r="A148" t="s">
        <v>213</v>
      </c>
      <c r="B148" t="s">
        <v>21</v>
      </c>
      <c r="C148" t="s">
        <v>223</v>
      </c>
    </row>
    <row r="149" spans="1:3" x14ac:dyDescent="0.2">
      <c r="A149" t="s">
        <v>224</v>
      </c>
      <c r="B149" t="s">
        <v>1</v>
      </c>
      <c r="C149" t="s">
        <v>225</v>
      </c>
    </row>
    <row r="150" spans="1:3" x14ac:dyDescent="0.2">
      <c r="A150" t="s">
        <v>224</v>
      </c>
      <c r="B150" t="s">
        <v>21</v>
      </c>
      <c r="C150" t="s">
        <v>226</v>
      </c>
    </row>
    <row r="151" spans="1:3" x14ac:dyDescent="0.2">
      <c r="A151" t="s">
        <v>227</v>
      </c>
      <c r="B151" t="s">
        <v>1</v>
      </c>
      <c r="C151" t="s">
        <v>228</v>
      </c>
    </row>
    <row r="152" spans="1:3" x14ac:dyDescent="0.2">
      <c r="A152" t="s">
        <v>227</v>
      </c>
      <c r="B152" t="s">
        <v>21</v>
      </c>
      <c r="C152" t="s">
        <v>229</v>
      </c>
    </row>
    <row r="153" spans="1:3" x14ac:dyDescent="0.2">
      <c r="A153" t="s">
        <v>32</v>
      </c>
      <c r="B153" t="s">
        <v>1</v>
      </c>
      <c r="C153" t="s">
        <v>33</v>
      </c>
    </row>
    <row r="154" spans="1:3" x14ac:dyDescent="0.2">
      <c r="A154" t="s">
        <v>34</v>
      </c>
      <c r="B154" t="s">
        <v>1</v>
      </c>
      <c r="C154" t="s">
        <v>35</v>
      </c>
    </row>
    <row r="155" spans="1:3" x14ac:dyDescent="0.2">
      <c r="A155" t="s">
        <v>38</v>
      </c>
      <c r="B155" t="s">
        <v>1</v>
      </c>
      <c r="C155" t="s">
        <v>39</v>
      </c>
    </row>
    <row r="156" spans="1:3" x14ac:dyDescent="0.2">
      <c r="A156" t="s">
        <v>40</v>
      </c>
      <c r="B156" t="s">
        <v>1</v>
      </c>
      <c r="C156" t="s">
        <v>41</v>
      </c>
    </row>
    <row r="157" spans="1:3" x14ac:dyDescent="0.2">
      <c r="A157" t="s">
        <v>42</v>
      </c>
      <c r="B157" t="s">
        <v>1</v>
      </c>
      <c r="C157" t="s">
        <v>43</v>
      </c>
    </row>
    <row r="158" spans="1:3" x14ac:dyDescent="0.2">
      <c r="A158" t="s">
        <v>44</v>
      </c>
      <c r="B158" t="s">
        <v>1</v>
      </c>
      <c r="C158" t="s">
        <v>45</v>
      </c>
    </row>
    <row r="159" spans="1:3" x14ac:dyDescent="0.2">
      <c r="A159" t="s">
        <v>207</v>
      </c>
      <c r="B159" t="s">
        <v>1</v>
      </c>
      <c r="C159" t="s">
        <v>208</v>
      </c>
    </row>
    <row r="160" spans="1:3" x14ac:dyDescent="0.2">
      <c r="A160" t="s">
        <v>209</v>
      </c>
      <c r="B160" t="s">
        <v>1</v>
      </c>
      <c r="C160" t="s">
        <v>210</v>
      </c>
    </row>
    <row r="161" spans="1:3" x14ac:dyDescent="0.2">
      <c r="A161" t="s">
        <v>211</v>
      </c>
      <c r="B161" t="s">
        <v>1</v>
      </c>
      <c r="C161" t="s">
        <v>212</v>
      </c>
    </row>
    <row r="162" spans="1:3" x14ac:dyDescent="0.2">
      <c r="A162" t="s">
        <v>213</v>
      </c>
      <c r="B162" t="s">
        <v>1</v>
      </c>
      <c r="C162" t="s">
        <v>214</v>
      </c>
    </row>
    <row r="163" spans="1:3" x14ac:dyDescent="0.2">
      <c r="A163" t="s">
        <v>32</v>
      </c>
      <c r="B163" t="s">
        <v>21</v>
      </c>
      <c r="C163" t="s">
        <v>48</v>
      </c>
    </row>
    <row r="164" spans="1:3" x14ac:dyDescent="0.2">
      <c r="A164" t="s">
        <v>34</v>
      </c>
      <c r="B164" t="s">
        <v>21</v>
      </c>
      <c r="C164" t="s">
        <v>49</v>
      </c>
    </row>
    <row r="165" spans="1:3" x14ac:dyDescent="0.2">
      <c r="A165" t="s">
        <v>38</v>
      </c>
      <c r="B165" t="s">
        <v>21</v>
      </c>
      <c r="C165" t="s">
        <v>51</v>
      </c>
    </row>
    <row r="166" spans="1:3" x14ac:dyDescent="0.2">
      <c r="A166" t="s">
        <v>40</v>
      </c>
      <c r="B166" t="s">
        <v>21</v>
      </c>
      <c r="C166" t="s">
        <v>52</v>
      </c>
    </row>
    <row r="167" spans="1:3" x14ac:dyDescent="0.2">
      <c r="A167" t="s">
        <v>42</v>
      </c>
      <c r="B167" t="s">
        <v>21</v>
      </c>
      <c r="C167" t="s">
        <v>53</v>
      </c>
    </row>
    <row r="168" spans="1:3" x14ac:dyDescent="0.2">
      <c r="A168" t="s">
        <v>44</v>
      </c>
      <c r="B168" t="s">
        <v>21</v>
      </c>
      <c r="C168" t="s">
        <v>54</v>
      </c>
    </row>
    <row r="169" spans="1:3" x14ac:dyDescent="0.2">
      <c r="A169" t="s">
        <v>207</v>
      </c>
      <c r="B169" t="s">
        <v>21</v>
      </c>
      <c r="C169" t="s">
        <v>220</v>
      </c>
    </row>
    <row r="170" spans="1:3" x14ac:dyDescent="0.2">
      <c r="A170" t="s">
        <v>209</v>
      </c>
      <c r="B170" t="s">
        <v>21</v>
      </c>
      <c r="C170" t="s">
        <v>221</v>
      </c>
    </row>
    <row r="171" spans="1:3" x14ac:dyDescent="0.2">
      <c r="A171" t="s">
        <v>211</v>
      </c>
      <c r="B171" t="s">
        <v>21</v>
      </c>
      <c r="C171" t="s">
        <v>222</v>
      </c>
    </row>
    <row r="172" spans="1:3" x14ac:dyDescent="0.2">
      <c r="A172" t="s">
        <v>213</v>
      </c>
      <c r="B172" t="s">
        <v>21</v>
      </c>
      <c r="C172" t="s">
        <v>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5F61-45A1-47A1-86CB-45AB3031F44D}">
  <dimension ref="A1:M31"/>
  <sheetViews>
    <sheetView tabSelected="1" workbookViewId="0">
      <selection activeCell="G1" sqref="G1:L31"/>
    </sheetView>
  </sheetViews>
  <sheetFormatPr defaultRowHeight="14.25" x14ac:dyDescent="0.2"/>
  <cols>
    <col min="7" max="7" width="39.375" bestFit="1" customWidth="1"/>
    <col min="8" max="8" width="41.125" customWidth="1"/>
    <col min="12" max="12" width="26.25" bestFit="1" customWidth="1"/>
  </cols>
  <sheetData>
    <row r="1" spans="1:13" x14ac:dyDescent="0.2">
      <c r="A1" t="s">
        <v>230</v>
      </c>
      <c r="B1" t="s">
        <v>1</v>
      </c>
      <c r="C1" t="s">
        <v>231</v>
      </c>
      <c r="E1" t="s">
        <v>1575</v>
      </c>
      <c r="F1" t="s">
        <v>1576</v>
      </c>
      <c r="G1" t="s">
        <v>272</v>
      </c>
      <c r="H1" t="s">
        <v>273</v>
      </c>
      <c r="I1" t="s">
        <v>274</v>
      </c>
      <c r="J1" t="s">
        <v>275</v>
      </c>
      <c r="K1" t="s">
        <v>276</v>
      </c>
      <c r="L1" t="s">
        <v>277</v>
      </c>
      <c r="M1" t="s">
        <v>277</v>
      </c>
    </row>
    <row r="2" spans="1:13" x14ac:dyDescent="0.2">
      <c r="A2" t="s">
        <v>232</v>
      </c>
      <c r="B2" t="s">
        <v>1</v>
      </c>
      <c r="C2" t="s">
        <v>233</v>
      </c>
      <c r="E2">
        <v>26</v>
      </c>
      <c r="F2" s="1" t="s">
        <v>1577</v>
      </c>
      <c r="G2" s="4" t="s">
        <v>1520</v>
      </c>
      <c r="H2" s="4" t="s">
        <v>1521</v>
      </c>
      <c r="I2" s="4">
        <v>1</v>
      </c>
      <c r="J2" s="4"/>
      <c r="K2" s="4">
        <v>25</v>
      </c>
      <c r="L2" s="4" t="str">
        <f>M2&amp;"."&amp;$E$2&amp;"."&amp;$F$2&amp;"."&amp;K2&amp;INDEX('TONG HOP DIA DIEM'!$A$1:$L$181,MATCH('CS3 NEW'!$G2,'TONG HOP DIA DIEM'!$G$1:$G$181,0),3)</f>
        <v>HCM_NM_LT1.26.05.25.L</v>
      </c>
      <c r="M2" s="4" t="str">
        <f>INDEX('TONG HOP DIA DIEM'!$A$1:$L$181,MATCH('CS3 NEW'!$G2,'TONG HOP DIA DIEM'!$G$1:$G$181,0),4)</f>
        <v>HCM_NM_LT1</v>
      </c>
    </row>
    <row r="3" spans="1:13" x14ac:dyDescent="0.2">
      <c r="A3" t="s">
        <v>234</v>
      </c>
      <c r="B3" t="s">
        <v>1</v>
      </c>
      <c r="C3" t="s">
        <v>235</v>
      </c>
      <c r="G3" s="4" t="s">
        <v>1466</v>
      </c>
      <c r="H3" s="4" t="s">
        <v>1467</v>
      </c>
      <c r="I3" s="4">
        <v>1</v>
      </c>
      <c r="J3" s="4"/>
      <c r="K3" s="4">
        <v>25</v>
      </c>
      <c r="L3" s="4" t="str">
        <f>M3&amp;"."&amp;$E$2&amp;"."&amp;$F$2&amp;"."&amp;K3&amp;INDEX('TONG HOP DIA DIEM'!$A$1:$L$181,MATCH('CS3 NEW'!$G3,'TONG HOP DIA DIEM'!$G$1:$G$181,0),3)</f>
        <v>HCM_NM_LT.26.05.25.L</v>
      </c>
      <c r="M3" s="4" t="str">
        <f>INDEX('TONG HOP DIA DIEM'!$A$1:$L$181,MATCH('CS3 NEW'!$G3,'TONG HOP DIA DIEM'!$G$1:$G$181,0),4)</f>
        <v>HCM_NM_LT</v>
      </c>
    </row>
    <row r="4" spans="1:13" x14ac:dyDescent="0.2">
      <c r="A4" t="s">
        <v>236</v>
      </c>
      <c r="B4" t="s">
        <v>1</v>
      </c>
      <c r="C4" t="s">
        <v>237</v>
      </c>
      <c r="G4" s="4" t="s">
        <v>1474</v>
      </c>
      <c r="H4" s="4" t="s">
        <v>1475</v>
      </c>
      <c r="I4" s="4">
        <v>1</v>
      </c>
      <c r="J4" s="4"/>
      <c r="K4" s="4">
        <v>25</v>
      </c>
      <c r="L4" s="4" t="str">
        <f>M4&amp;"."&amp;$E$2&amp;"."&amp;$F$2&amp;"."&amp;K4&amp;INDEX('TONG HOP DIA DIEM'!$A$1:$L$181,MATCH('CS3 NEW'!$G4,'TONG HOP DIA DIEM'!$G$1:$G$181,0),3)</f>
        <v>HCM_NM_TTH.26.05.25.L</v>
      </c>
      <c r="M4" s="4" t="str">
        <f>INDEX('TONG HOP DIA DIEM'!$A$1:$L$181,MATCH('CS3 NEW'!$G4,'TONG HOP DIA DIEM'!$G$1:$G$181,0),4)</f>
        <v>HCM_NM_TTH</v>
      </c>
    </row>
    <row r="5" spans="1:13" x14ac:dyDescent="0.2">
      <c r="A5" t="s">
        <v>238</v>
      </c>
      <c r="B5" t="s">
        <v>1</v>
      </c>
      <c r="C5" t="s">
        <v>239</v>
      </c>
      <c r="G5" s="4" t="s">
        <v>1482</v>
      </c>
      <c r="H5" s="4" t="s">
        <v>1483</v>
      </c>
      <c r="I5" s="4">
        <v>1</v>
      </c>
      <c r="J5" s="4"/>
      <c r="K5" s="4">
        <v>25</v>
      </c>
      <c r="L5" s="4" t="str">
        <f>M5&amp;"."&amp;$E$2&amp;"."&amp;$F$2&amp;"."&amp;K5&amp;INDEX('TONG HOP DIA DIEM'!$A$1:$L$181,MATCH('CS3 NEW'!$G5,'TONG HOP DIA DIEM'!$G$1:$G$181,0),3)</f>
        <v>HCM_NM_ĐT1.26.05.25.L</v>
      </c>
      <c r="M5" s="4" t="str">
        <f>INDEX('TONG HOP DIA DIEM'!$A$1:$L$181,MATCH('CS3 NEW'!$G5,'TONG HOP DIA DIEM'!$G$1:$G$181,0),4)</f>
        <v>HCM_NM_ĐT1</v>
      </c>
    </row>
    <row r="6" spans="1:13" x14ac:dyDescent="0.2">
      <c r="A6" t="s">
        <v>230</v>
      </c>
      <c r="B6" t="s">
        <v>21</v>
      </c>
      <c r="C6" t="s">
        <v>240</v>
      </c>
      <c r="G6" s="4" t="s">
        <v>1550</v>
      </c>
      <c r="H6" s="4" t="s">
        <v>1551</v>
      </c>
      <c r="I6" s="4">
        <v>1</v>
      </c>
      <c r="J6" s="4"/>
      <c r="K6" s="4">
        <v>25</v>
      </c>
      <c r="L6" s="4" t="str">
        <f>M6&amp;"."&amp;$E$2&amp;"."&amp;$F$2&amp;"."&amp;K6&amp;INDEX('TONG HOP DIA DIEM'!$A$1:$L$181,MATCH('CS3 NEW'!$G6,'TONG HOP DIA DIEM'!$G$1:$G$181,0),3)</f>
        <v>HCM_NM_LT1.26.05.25.X</v>
      </c>
      <c r="M6" s="4" t="str">
        <f>INDEX('TONG HOP DIA DIEM'!$A$1:$L$181,MATCH('CS3 NEW'!$G6,'TONG HOP DIA DIEM'!$G$1:$G$181,0),4)</f>
        <v>HCM_NM_LT1</v>
      </c>
    </row>
    <row r="7" spans="1:13" x14ac:dyDescent="0.2">
      <c r="A7" t="s">
        <v>232</v>
      </c>
      <c r="B7" t="s">
        <v>21</v>
      </c>
      <c r="C7" t="s">
        <v>241</v>
      </c>
      <c r="G7" s="4" t="s">
        <v>1500</v>
      </c>
      <c r="H7" s="4" t="s">
        <v>1501</v>
      </c>
      <c r="I7" s="4">
        <v>1</v>
      </c>
      <c r="J7" s="4"/>
      <c r="K7" s="4">
        <v>25</v>
      </c>
      <c r="L7" s="4" t="str">
        <f>M7&amp;"."&amp;$E$2&amp;"."&amp;$F$2&amp;"."&amp;K7&amp;INDEX('TONG HOP DIA DIEM'!$A$1:$L$181,MATCH('CS3 NEW'!$G7,'TONG HOP DIA DIEM'!$G$1:$G$181,0),3)</f>
        <v>HCM_NM_LT.26.05.25.X</v>
      </c>
      <c r="M7" s="4" t="str">
        <f>INDEX('TONG HOP DIA DIEM'!$A$1:$L$181,MATCH('CS3 NEW'!$G7,'TONG HOP DIA DIEM'!$G$1:$G$181,0),4)</f>
        <v>HCM_NM_LT</v>
      </c>
    </row>
    <row r="8" spans="1:13" x14ac:dyDescent="0.2">
      <c r="A8" t="s">
        <v>234</v>
      </c>
      <c r="B8" t="s">
        <v>21</v>
      </c>
      <c r="C8" t="s">
        <v>242</v>
      </c>
      <c r="G8" s="4" t="s">
        <v>1506</v>
      </c>
      <c r="H8" s="4" t="s">
        <v>1507</v>
      </c>
      <c r="I8" s="4">
        <v>1</v>
      </c>
      <c r="J8" s="4"/>
      <c r="K8" s="4">
        <v>25</v>
      </c>
      <c r="L8" s="4" t="str">
        <f>M8&amp;"."&amp;$E$2&amp;"."&amp;$F$2&amp;"."&amp;K8&amp;INDEX('TONG HOP DIA DIEM'!$A$1:$L$181,MATCH('CS3 NEW'!$G8,'TONG HOP DIA DIEM'!$G$1:$G$181,0),3)</f>
        <v>HCM_NM_TTH.26.05.25.X</v>
      </c>
      <c r="M8" s="4" t="str">
        <f>INDEX('TONG HOP DIA DIEM'!$A$1:$L$181,MATCH('CS3 NEW'!$G8,'TONG HOP DIA DIEM'!$G$1:$G$181,0),4)</f>
        <v>HCM_NM_TTH</v>
      </c>
    </row>
    <row r="9" spans="1:13" x14ac:dyDescent="0.2">
      <c r="A9" t="s">
        <v>236</v>
      </c>
      <c r="B9" t="s">
        <v>21</v>
      </c>
      <c r="C9" t="s">
        <v>243</v>
      </c>
      <c r="G9" s="4" t="s">
        <v>1512</v>
      </c>
      <c r="H9" s="4" t="s">
        <v>1513</v>
      </c>
      <c r="I9" s="4">
        <v>1</v>
      </c>
      <c r="J9" s="4"/>
      <c r="K9" s="4">
        <v>25</v>
      </c>
      <c r="L9" s="4" t="str">
        <f>M9&amp;"."&amp;$E$2&amp;"."&amp;$F$2&amp;"."&amp;K9&amp;INDEX('TONG HOP DIA DIEM'!$A$1:$L$181,MATCH('CS3 NEW'!$G9,'TONG HOP DIA DIEM'!$G$1:$G$181,0),3)</f>
        <v>HCM_NM_ĐT1.26.05.25.X</v>
      </c>
      <c r="M9" s="4" t="str">
        <f>INDEX('TONG HOP DIA DIEM'!$A$1:$L$181,MATCH('CS3 NEW'!$G9,'TONG HOP DIA DIEM'!$G$1:$G$181,0),4)</f>
        <v>HCM_NM_ĐT1</v>
      </c>
    </row>
    <row r="10" spans="1:13" x14ac:dyDescent="0.2">
      <c r="A10" t="s">
        <v>238</v>
      </c>
      <c r="B10" t="s">
        <v>21</v>
      </c>
      <c r="C10" t="s">
        <v>244</v>
      </c>
      <c r="G10" s="4" t="s">
        <v>1380</v>
      </c>
      <c r="H10" s="4" t="s">
        <v>1381</v>
      </c>
      <c r="I10" s="4">
        <v>1</v>
      </c>
      <c r="J10" s="4"/>
      <c r="K10" s="4">
        <v>25</v>
      </c>
      <c r="L10" s="4" t="str">
        <f>M10&amp;"."&amp;$E$2&amp;"."&amp;$F$2&amp;"."&amp;K10&amp;INDEX('TONG HOP DIA DIEM'!$A$1:$L$181,MATCH('CS3 NEW'!$G10,'TONG HOP DIA DIEM'!$G$1:$G$181,0),3)</f>
        <v>HCM_NM_BL.26.05.25.L</v>
      </c>
      <c r="M10" s="4" t="str">
        <f>INDEX('TONG HOP DIA DIEM'!$A$1:$L$181,MATCH('CS3 NEW'!$G10,'TONG HOP DIA DIEM'!$G$1:$G$181,0),4)</f>
        <v>HCM_NM_BL</v>
      </c>
    </row>
    <row r="11" spans="1:13" x14ac:dyDescent="0.2">
      <c r="A11" t="s">
        <v>245</v>
      </c>
      <c r="B11" t="s">
        <v>1</v>
      </c>
      <c r="C11" t="s">
        <v>246</v>
      </c>
      <c r="G11" s="4" t="s">
        <v>1388</v>
      </c>
      <c r="H11" s="4" t="s">
        <v>1389</v>
      </c>
      <c r="I11" s="4">
        <v>1</v>
      </c>
      <c r="J11" s="4"/>
      <c r="K11" s="4">
        <v>25</v>
      </c>
      <c r="L11" s="4" t="str">
        <f>M11&amp;"."&amp;$E$2&amp;"."&amp;$F$2&amp;"."&amp;K11&amp;INDEX('TONG HOP DIA DIEM'!$A$1:$L$181,MATCH('CS3 NEW'!$G11,'TONG HOP DIA DIEM'!$G$1:$G$181,0),3)</f>
        <v>HCM_NM_SG.26.05.25.L</v>
      </c>
      <c r="M11" s="4" t="str">
        <f>INDEX('TONG HOP DIA DIEM'!$A$1:$L$181,MATCH('CS3 NEW'!$G11,'TONG HOP DIA DIEM'!$G$1:$G$181,0),4)</f>
        <v>HCM_NM_SG</v>
      </c>
    </row>
    <row r="12" spans="1:13" x14ac:dyDescent="0.2">
      <c r="A12" t="s">
        <v>247</v>
      </c>
      <c r="B12" t="s">
        <v>1</v>
      </c>
      <c r="C12" t="s">
        <v>248</v>
      </c>
      <c r="G12" s="4" t="s">
        <v>1418</v>
      </c>
      <c r="H12" s="4" t="s">
        <v>1419</v>
      </c>
      <c r="I12" s="4">
        <v>1</v>
      </c>
      <c r="J12" s="4"/>
      <c r="K12" s="4">
        <v>25</v>
      </c>
      <c r="L12" s="4" t="str">
        <f>M12&amp;"."&amp;$E$2&amp;"."&amp;$F$2&amp;"."&amp;K12&amp;INDEX('TONG HOP DIA DIEM'!$A$1:$L$181,MATCH('CS3 NEW'!$G12,'TONG HOP DIA DIEM'!$G$1:$G$181,0),3)</f>
        <v>HCM_NM_BL.26.05.25.X</v>
      </c>
      <c r="M12" s="4" t="str">
        <f>INDEX('TONG HOP DIA DIEM'!$A$1:$L$181,MATCH('CS3 NEW'!$G12,'TONG HOP DIA DIEM'!$G$1:$G$181,0),4)</f>
        <v>HCM_NM_BL</v>
      </c>
    </row>
    <row r="13" spans="1:13" x14ac:dyDescent="0.2">
      <c r="A13" t="s">
        <v>249</v>
      </c>
      <c r="B13" t="s">
        <v>1</v>
      </c>
      <c r="C13" t="s">
        <v>250</v>
      </c>
      <c r="G13" s="4" t="s">
        <v>1424</v>
      </c>
      <c r="H13" s="4" t="s">
        <v>1425</v>
      </c>
      <c r="I13" s="4">
        <v>1</v>
      </c>
      <c r="J13" s="4">
        <v>2</v>
      </c>
      <c r="K13" s="4">
        <v>25</v>
      </c>
      <c r="L13" s="4" t="str">
        <f>M13&amp;"."&amp;$E$2&amp;"."&amp;$F$2&amp;"."&amp;K13&amp;INDEX('TONG HOP DIA DIEM'!$A$1:$L$181,MATCH('CS3 NEW'!$G13,'TONG HOP DIA DIEM'!$G$1:$G$181,0),3)</f>
        <v>HCM_NM_SG.26.05.25.X</v>
      </c>
      <c r="M13" s="4" t="str">
        <f>INDEX('TONG HOP DIA DIEM'!$A$1:$L$181,MATCH('CS3 NEW'!$G13,'TONG HOP DIA DIEM'!$G$1:$G$181,0),4)</f>
        <v>HCM_NM_SG</v>
      </c>
    </row>
    <row r="14" spans="1:13" x14ac:dyDescent="0.2">
      <c r="A14" t="s">
        <v>251</v>
      </c>
      <c r="B14" t="s">
        <v>1</v>
      </c>
      <c r="C14" t="s">
        <v>252</v>
      </c>
      <c r="G14" s="4" t="s">
        <v>1528</v>
      </c>
      <c r="H14" s="4" t="s">
        <v>1529</v>
      </c>
      <c r="I14" s="4">
        <v>1</v>
      </c>
      <c r="J14" s="4"/>
      <c r="K14" s="4">
        <v>26</v>
      </c>
      <c r="L14" s="4" t="str">
        <f>M14&amp;"."&amp;$E$2&amp;"."&amp;$F$2&amp;"."&amp;K14&amp;INDEX('TONG HOP DIA DIEM'!$A$1:$L$181,MATCH('CS3 NEW'!$G14,'TONG HOP DIA DIEM'!$G$1:$G$181,0),3)</f>
        <v>HCM_NM_N7.26.05.26.L</v>
      </c>
      <c r="M14" s="4" t="str">
        <f>INDEX('TONG HOP DIA DIEM'!$A$1:$L$181,MATCH('CS3 NEW'!$G14,'TONG HOP DIA DIEM'!$G$1:$G$181,0),4)</f>
        <v>HCM_NM_N7</v>
      </c>
    </row>
    <row r="15" spans="1:13" x14ac:dyDescent="0.2">
      <c r="A15" t="s">
        <v>253</v>
      </c>
      <c r="B15" t="s">
        <v>1</v>
      </c>
      <c r="C15" t="s">
        <v>254</v>
      </c>
      <c r="G15" s="4" t="s">
        <v>1536</v>
      </c>
      <c r="H15" s="4" t="s">
        <v>1537</v>
      </c>
      <c r="I15" s="4">
        <v>1</v>
      </c>
      <c r="J15" s="4"/>
      <c r="K15" s="4">
        <v>26</v>
      </c>
      <c r="L15" s="4" t="str">
        <f>M15&amp;"."&amp;$E$2&amp;"."&amp;$F$2&amp;"."&amp;K15&amp;INDEX('TONG HOP DIA DIEM'!$A$1:$L$181,MATCH('CS3 NEW'!$G15,'TONG HOP DIA DIEM'!$G$1:$G$181,0),3)</f>
        <v>HCM_NM_VS.26.05.26.L</v>
      </c>
      <c r="M15" s="4" t="str">
        <f>INDEX('TONG HOP DIA DIEM'!$A$1:$L$181,MATCH('CS3 NEW'!$G15,'TONG HOP DIA DIEM'!$G$1:$G$181,0),4)</f>
        <v>HCM_NM_VS</v>
      </c>
    </row>
    <row r="16" spans="1:13" x14ac:dyDescent="0.2">
      <c r="A16" t="s">
        <v>245</v>
      </c>
      <c r="B16" t="s">
        <v>21</v>
      </c>
      <c r="C16" t="s">
        <v>255</v>
      </c>
      <c r="G16" s="4" t="s">
        <v>1544</v>
      </c>
      <c r="H16" s="4" t="s">
        <v>1545</v>
      </c>
      <c r="I16" s="4">
        <v>1</v>
      </c>
      <c r="J16" s="4"/>
      <c r="K16" s="4">
        <v>26</v>
      </c>
      <c r="L16" s="4" t="str">
        <f>M16&amp;"."&amp;$E$2&amp;"."&amp;$F$2&amp;"."&amp;K16&amp;INDEX('TONG HOP DIA DIEM'!$A$1:$L$181,MATCH('CS3 NEW'!$G16,'TONG HOP DIA DIEM'!$G$1:$G$181,0),3)</f>
        <v>HCM_NM_ĐT.26.05.26.L</v>
      </c>
      <c r="M16" s="4" t="str">
        <f>INDEX('TONG HOP DIA DIEM'!$A$1:$L$181,MATCH('CS3 NEW'!$G16,'TONG HOP DIA DIEM'!$G$1:$G$181,0),4)</f>
        <v>HCM_NM_ĐT</v>
      </c>
    </row>
    <row r="17" spans="1:13" x14ac:dyDescent="0.2">
      <c r="A17" t="s">
        <v>247</v>
      </c>
      <c r="B17" t="s">
        <v>21</v>
      </c>
      <c r="C17" t="s">
        <v>256</v>
      </c>
      <c r="G17" s="4" t="s">
        <v>1556</v>
      </c>
      <c r="H17" s="4" t="s">
        <v>1557</v>
      </c>
      <c r="I17" s="4">
        <v>1</v>
      </c>
      <c r="J17" s="4"/>
      <c r="K17" s="4">
        <v>26</v>
      </c>
      <c r="L17" s="4" t="str">
        <f>M17&amp;"."&amp;$E$2&amp;"."&amp;$F$2&amp;"."&amp;K17&amp;INDEX('TONG HOP DIA DIEM'!$A$1:$L$181,MATCH('CS3 NEW'!$G17,'TONG HOP DIA DIEM'!$G$1:$G$181,0),3)</f>
        <v>HCM_NM_N7.26.05.26.X</v>
      </c>
      <c r="M17" s="4" t="str">
        <f>INDEX('TONG HOP DIA DIEM'!$A$1:$L$181,MATCH('CS3 NEW'!$G17,'TONG HOP DIA DIEM'!$G$1:$G$181,0),4)</f>
        <v>HCM_NM_N7</v>
      </c>
    </row>
    <row r="18" spans="1:13" x14ac:dyDescent="0.2">
      <c r="A18" t="s">
        <v>249</v>
      </c>
      <c r="B18" t="s">
        <v>21</v>
      </c>
      <c r="C18" t="s">
        <v>257</v>
      </c>
      <c r="G18" s="4" t="s">
        <v>1562</v>
      </c>
      <c r="H18" s="4" t="s">
        <v>1563</v>
      </c>
      <c r="I18" s="4">
        <v>1</v>
      </c>
      <c r="J18" s="4"/>
      <c r="K18" s="4">
        <v>26</v>
      </c>
      <c r="L18" s="4" t="str">
        <f>M18&amp;"."&amp;$E$2&amp;"."&amp;$F$2&amp;"."&amp;K18&amp;INDEX('TONG HOP DIA DIEM'!$A$1:$L$181,MATCH('CS3 NEW'!$G18,'TONG HOP DIA DIEM'!$G$1:$G$181,0),3)</f>
        <v>HCM_NM_VS.26.05.26.X</v>
      </c>
      <c r="M18" s="4" t="str">
        <f>INDEX('TONG HOP DIA DIEM'!$A$1:$L$181,MATCH('CS3 NEW'!$G18,'TONG HOP DIA DIEM'!$G$1:$G$181,0),4)</f>
        <v>HCM_NM_VS</v>
      </c>
    </row>
    <row r="19" spans="1:13" x14ac:dyDescent="0.2">
      <c r="A19" t="s">
        <v>251</v>
      </c>
      <c r="B19" t="s">
        <v>21</v>
      </c>
      <c r="C19" t="s">
        <v>258</v>
      </c>
      <c r="G19" s="4" t="s">
        <v>1568</v>
      </c>
      <c r="H19" s="4" t="s">
        <v>1569</v>
      </c>
      <c r="I19" s="4">
        <v>1</v>
      </c>
      <c r="J19" s="4"/>
      <c r="K19" s="4">
        <v>26</v>
      </c>
      <c r="L19" s="4" t="str">
        <f>M19&amp;"."&amp;$E$2&amp;"."&amp;$F$2&amp;"."&amp;K19&amp;INDEX('TONG HOP DIA DIEM'!$A$1:$L$181,MATCH('CS3 NEW'!$G19,'TONG HOP DIA DIEM'!$G$1:$G$181,0),3)</f>
        <v>HCM_NM_ĐT.26.05.26.X</v>
      </c>
      <c r="M19" s="4" t="str">
        <f>INDEX('TONG HOP DIA DIEM'!$A$1:$L$181,MATCH('CS3 NEW'!$G19,'TONG HOP DIA DIEM'!$G$1:$G$181,0),4)</f>
        <v>HCM_NM_ĐT</v>
      </c>
    </row>
    <row r="20" spans="1:13" x14ac:dyDescent="0.2">
      <c r="A20" t="s">
        <v>253</v>
      </c>
      <c r="B20" t="s">
        <v>21</v>
      </c>
      <c r="C20" t="s">
        <v>259</v>
      </c>
      <c r="G20" s="4" t="s">
        <v>1450</v>
      </c>
      <c r="H20" s="4" t="s">
        <v>1451</v>
      </c>
      <c r="I20" s="4">
        <v>1</v>
      </c>
      <c r="J20" s="4"/>
      <c r="K20" s="4">
        <v>26</v>
      </c>
      <c r="L20" s="4" t="str">
        <f>M20&amp;"."&amp;$E$2&amp;"."&amp;$F$2&amp;"."&amp;K20&amp;INDEX('TONG HOP DIA DIEM'!$A$1:$L$181,MATCH('CS3 NEW'!$G20,'TONG HOP DIA DIEM'!$G$1:$G$181,0),3)</f>
        <v>HCM_NM_LP.26.05.26.L</v>
      </c>
      <c r="M20" s="4" t="str">
        <f>INDEX('TONG HOP DIA DIEM'!$A$1:$L$181,MATCH('CS3 NEW'!$G20,'TONG HOP DIA DIEM'!$G$1:$G$181,0),4)</f>
        <v>HCM_NM_LP</v>
      </c>
    </row>
    <row r="21" spans="1:13" x14ac:dyDescent="0.2">
      <c r="A21" t="s">
        <v>260</v>
      </c>
      <c r="B21" t="s">
        <v>1</v>
      </c>
      <c r="C21" t="s">
        <v>261</v>
      </c>
      <c r="G21" s="4" t="s">
        <v>1458</v>
      </c>
      <c r="H21" s="4" t="s">
        <v>1459</v>
      </c>
      <c r="I21" s="4">
        <v>1</v>
      </c>
      <c r="J21" s="4"/>
      <c r="K21" s="4">
        <v>26</v>
      </c>
      <c r="L21" s="4" t="str">
        <f>M21&amp;"."&amp;$E$2&amp;"."&amp;$F$2&amp;"."&amp;K21&amp;INDEX('TONG HOP DIA DIEM'!$A$1:$L$181,MATCH('CS3 NEW'!$G21,'TONG HOP DIA DIEM'!$G$1:$G$181,0),3)</f>
        <v>HCM_NM_CL.26.05.26.L</v>
      </c>
      <c r="M21" s="4" t="str">
        <f>INDEX('TONG HOP DIA DIEM'!$A$1:$L$181,MATCH('CS3 NEW'!$G21,'TONG HOP DIA DIEM'!$G$1:$G$181,0),4)</f>
        <v>HCM_NM_CL</v>
      </c>
    </row>
    <row r="22" spans="1:13" x14ac:dyDescent="0.2">
      <c r="A22" t="s">
        <v>262</v>
      </c>
      <c r="B22" t="s">
        <v>1</v>
      </c>
      <c r="C22" t="s">
        <v>263</v>
      </c>
      <c r="G22" s="4" t="s">
        <v>1488</v>
      </c>
      <c r="H22" s="4" t="s">
        <v>1489</v>
      </c>
      <c r="I22" s="4">
        <v>1</v>
      </c>
      <c r="J22" s="4"/>
      <c r="K22" s="4">
        <v>26</v>
      </c>
      <c r="L22" s="4" t="str">
        <f>M22&amp;"."&amp;$E$2&amp;"."&amp;$F$2&amp;"."&amp;K22&amp;INDEX('TONG HOP DIA DIEM'!$A$1:$L$181,MATCH('CS3 NEW'!$G22,'TONG HOP DIA DIEM'!$G$1:$G$181,0),3)</f>
        <v>HCM_NM_LP.26.05.26.X</v>
      </c>
      <c r="M22" s="4" t="str">
        <f>INDEX('TONG HOP DIA DIEM'!$A$1:$L$181,MATCH('CS3 NEW'!$G22,'TONG HOP DIA DIEM'!$G$1:$G$181,0),4)</f>
        <v>HCM_NM_LP</v>
      </c>
    </row>
    <row r="23" spans="1:13" x14ac:dyDescent="0.2">
      <c r="A23" t="s">
        <v>264</v>
      </c>
      <c r="B23" t="s">
        <v>1</v>
      </c>
      <c r="C23" t="s">
        <v>265</v>
      </c>
      <c r="G23" s="4" t="s">
        <v>1494</v>
      </c>
      <c r="H23" s="4" t="s">
        <v>1495</v>
      </c>
      <c r="I23" s="4">
        <v>1</v>
      </c>
      <c r="J23" s="4"/>
      <c r="K23" s="4">
        <v>26</v>
      </c>
      <c r="L23" s="4" t="str">
        <f>M23&amp;"."&amp;$E$2&amp;"."&amp;$F$2&amp;"."&amp;K23&amp;INDEX('TONG HOP DIA DIEM'!$A$1:$L$181,MATCH('CS3 NEW'!$G23,'TONG HOP DIA DIEM'!$G$1:$G$181,0),3)</f>
        <v>HCM_NM_CL.26.05.26.X</v>
      </c>
      <c r="M23" s="4" t="str">
        <f>INDEX('TONG HOP DIA DIEM'!$A$1:$L$181,MATCH('CS3 NEW'!$G23,'TONG HOP DIA DIEM'!$G$1:$G$181,0),4)</f>
        <v>HCM_NM_CL</v>
      </c>
    </row>
    <row r="24" spans="1:13" x14ac:dyDescent="0.2">
      <c r="A24" t="s">
        <v>266</v>
      </c>
      <c r="B24" t="s">
        <v>1</v>
      </c>
      <c r="C24" t="s">
        <v>267</v>
      </c>
      <c r="G24" s="4" t="s">
        <v>1404</v>
      </c>
      <c r="H24" s="4" t="s">
        <v>1405</v>
      </c>
      <c r="I24" s="4">
        <v>1</v>
      </c>
      <c r="J24" s="4"/>
      <c r="K24" s="4">
        <v>27</v>
      </c>
      <c r="L24" s="4" t="str">
        <f>M24&amp;"."&amp;$E$2&amp;"."&amp;$F$2&amp;"."&amp;K24&amp;INDEX('TONG HOP DIA DIEM'!$A$1:$L$181,MATCH('CS3 NEW'!$G24,'TONG HOP DIA DIEM'!$G$1:$G$181,0),3)</f>
        <v>HCM_NM_MĐĐ.26.05.27.L</v>
      </c>
      <c r="M24" s="4" t="str">
        <f>INDEX('TONG HOP DIA DIEM'!$A$1:$L$181,MATCH('CS3 NEW'!$G24,'TONG HOP DIA DIEM'!$G$1:$G$181,0),4)</f>
        <v>HCM_NM_MĐĐ</v>
      </c>
    </row>
    <row r="25" spans="1:13" x14ac:dyDescent="0.2">
      <c r="A25" t="s">
        <v>260</v>
      </c>
      <c r="B25" t="s">
        <v>21</v>
      </c>
      <c r="C25" t="s">
        <v>268</v>
      </c>
      <c r="G25" s="4" t="s">
        <v>1412</v>
      </c>
      <c r="H25" s="4" t="s">
        <v>1413</v>
      </c>
      <c r="I25" s="4">
        <v>1</v>
      </c>
      <c r="J25" s="4"/>
      <c r="K25" s="4">
        <v>27</v>
      </c>
      <c r="L25" s="4" t="str">
        <f>M25&amp;"."&amp;$E$2&amp;"."&amp;$F$2&amp;"."&amp;K25&amp;INDEX('TONG HOP DIA DIEM'!$A$1:$L$181,MATCH('CS3 NEW'!$G25,'TONG HOP DIA DIEM'!$G$1:$G$181,0),3)</f>
        <v>HCM_NM_NB.26.05.27.L</v>
      </c>
      <c r="M25" s="4" t="str">
        <f>INDEX('TONG HOP DIA DIEM'!$A$1:$L$181,MATCH('CS3 NEW'!$G25,'TONG HOP DIA DIEM'!$G$1:$G$181,0),4)</f>
        <v>HCM_NM_NB</v>
      </c>
    </row>
    <row r="26" spans="1:13" x14ac:dyDescent="0.2">
      <c r="A26" t="s">
        <v>262</v>
      </c>
      <c r="B26" t="s">
        <v>21</v>
      </c>
      <c r="C26" t="s">
        <v>269</v>
      </c>
      <c r="G26" s="4" t="s">
        <v>1396</v>
      </c>
      <c r="H26" s="4" t="s">
        <v>1397</v>
      </c>
      <c r="I26" s="4">
        <v>1</v>
      </c>
      <c r="J26" s="4"/>
      <c r="K26" s="4">
        <v>27</v>
      </c>
      <c r="L26" s="4" t="str">
        <f>M26&amp;"."&amp;$E$2&amp;"."&amp;$F$2&amp;"."&amp;K26&amp;INDEX('TONG HOP DIA DIEM'!$A$1:$L$181,MATCH('CS3 NEW'!$G26,'TONG HOP DIA DIEM'!$G$1:$G$181,0),3)</f>
        <v>HCM_NM_PM.26.05.27.L</v>
      </c>
      <c r="M26" s="4" t="str">
        <f>INDEX('TONG HOP DIA DIEM'!$A$1:$L$181,MATCH('CS3 NEW'!$G26,'TONG HOP DIA DIEM'!$G$1:$G$181,0),4)</f>
        <v>HCM_NM_PM</v>
      </c>
    </row>
    <row r="27" spans="1:13" x14ac:dyDescent="0.2">
      <c r="A27" t="s">
        <v>264</v>
      </c>
      <c r="B27" t="s">
        <v>21</v>
      </c>
      <c r="C27" t="s">
        <v>270</v>
      </c>
      <c r="G27" s="4" t="s">
        <v>1436</v>
      </c>
      <c r="H27" s="4" t="s">
        <v>1437</v>
      </c>
      <c r="I27" s="4">
        <v>1</v>
      </c>
      <c r="J27" s="4"/>
      <c r="K27" s="4">
        <v>27</v>
      </c>
      <c r="L27" s="4" t="str">
        <f>M27&amp;"."&amp;$E$2&amp;"."&amp;$F$2&amp;"."&amp;K27&amp;INDEX('TONG HOP DIA DIEM'!$A$1:$L$181,MATCH('CS3 NEW'!$G27,'TONG HOP DIA DIEM'!$G$1:$G$181,0),3)</f>
        <v>HCM_NM_MĐĐ.26.05.27.X</v>
      </c>
      <c r="M27" s="4" t="str">
        <f>INDEX('TONG HOP DIA DIEM'!$A$1:$L$181,MATCH('CS3 NEW'!$G27,'TONG HOP DIA DIEM'!$G$1:$G$181,0),4)</f>
        <v>HCM_NM_MĐĐ</v>
      </c>
    </row>
    <row r="28" spans="1:13" x14ac:dyDescent="0.2">
      <c r="A28" t="s">
        <v>266</v>
      </c>
      <c r="B28" t="s">
        <v>21</v>
      </c>
      <c r="C28" t="s">
        <v>271</v>
      </c>
      <c r="G28" s="4" t="s">
        <v>1442</v>
      </c>
      <c r="H28" s="4" t="s">
        <v>1443</v>
      </c>
      <c r="I28" s="4">
        <v>1</v>
      </c>
      <c r="J28" s="4"/>
      <c r="K28" s="4">
        <v>27</v>
      </c>
      <c r="L28" s="4" t="str">
        <f>M28&amp;"."&amp;$E$2&amp;"."&amp;$F$2&amp;"."&amp;K28&amp;INDEX('TONG HOP DIA DIEM'!$A$1:$L$181,MATCH('CS3 NEW'!$G28,'TONG HOP DIA DIEM'!$G$1:$G$181,0),3)</f>
        <v>HCM_NM_NB.26.05.27.X</v>
      </c>
      <c r="M28" s="4" t="str">
        <f>INDEX('TONG HOP DIA DIEM'!$A$1:$L$181,MATCH('CS3 NEW'!$G28,'TONG HOP DIA DIEM'!$G$1:$G$181,0),4)</f>
        <v>HCM_NM_NB</v>
      </c>
    </row>
    <row r="29" spans="1:13" x14ac:dyDescent="0.2">
      <c r="F29" s="2" t="s">
        <v>1939</v>
      </c>
      <c r="G29" s="4" t="s">
        <v>1430</v>
      </c>
      <c r="H29" s="4" t="s">
        <v>1431</v>
      </c>
      <c r="I29" s="4">
        <v>1</v>
      </c>
      <c r="J29" s="4"/>
      <c r="K29" s="4">
        <v>27</v>
      </c>
      <c r="L29" s="4" t="str">
        <f>M29&amp;"."&amp;$E$2&amp;"."&amp;$F$2&amp;"."&amp;K29&amp;INDEX('TONG HOP DIA DIEM'!$A$1:$L$181,MATCH('CS3 NEW'!$G29,'TONG HOP DIA DIEM'!$G$1:$G$181,0),3)</f>
        <v>HCM_NM_PM.26.05.27.X</v>
      </c>
      <c r="M29" s="4" t="str">
        <f>INDEX('TONG HOP DIA DIEM'!$A$1:$L$181,MATCH('CS3 NEW'!$G29,'TONG HOP DIA DIEM'!$G$1:$G$181,0),4)</f>
        <v>HCM_NM_PM</v>
      </c>
    </row>
    <row r="30" spans="1:13" x14ac:dyDescent="0.2">
      <c r="F30" s="2" t="str">
        <f ca="1">IF(RIGHT(H30,8)="Mẫu lặp)","05","0"&amp;RANDBETWEEN(6,8))</f>
        <v>05</v>
      </c>
      <c r="G30" s="3" t="str">
        <f>_xlfn.IFNA(INDEX('TONG HOP DIA DIEM'!$A$1:$L$181,MATCH($H30,'TONG HOP DIA DIEM'!$I$1:$I$181,0),7),INDEX('TONG HOP DIA DIEM'!$A$1:$L$181,MATCH($H30,'TONG HOP DIA DIEM'!$J$1:$J$181,0),7))</f>
        <v>Sài Gòn - HCM_NM_SG - Triều Xuống</v>
      </c>
      <c r="H30" s="3" t="s">
        <v>1578</v>
      </c>
      <c r="I30" s="3">
        <v>1</v>
      </c>
      <c r="J30" s="3"/>
      <c r="K30" s="3">
        <f>VLOOKUP(G30,$G$1:$M$119,5,0)</f>
        <v>25</v>
      </c>
      <c r="L30" s="3" t="str">
        <f ca="1">VLOOKUP(G30,$G$1:$M$119,6,0)&amp;"."&amp;F30</f>
        <v>HCM_NM_SG.26.05.25.X.05</v>
      </c>
    </row>
    <row r="31" spans="1:13" x14ac:dyDescent="0.2">
      <c r="F31" s="2" t="str">
        <f t="shared" ref="F31" ca="1" si="0">IF(RIGHT(H31,8)="Mẫu lặp)","05","0"&amp;RANDBETWEEN(6,8))</f>
        <v>07</v>
      </c>
      <c r="G31" s="3" t="str">
        <f>_xlfn.IFNA(INDEX('TONG HOP DIA DIEM'!$A$1:$L$181,MATCH($H31,'TONG HOP DIA DIEM'!$I$1:$I$181,0),7),INDEX('TONG HOP DIA DIEM'!$A$1:$L$181,MATCH($H31,'TONG HOP DIA DIEM'!$J$1:$J$181,0),7))</f>
        <v>Sài Gòn - HCM_NM_SG - Triều Xuống</v>
      </c>
      <c r="H31" s="3" t="s">
        <v>1579</v>
      </c>
      <c r="I31" s="3">
        <v>1</v>
      </c>
      <c r="J31" s="3"/>
      <c r="K31" s="3">
        <f t="shared" ref="K31" si="1">VLOOKUP(G31,$G$1:$M$119,5,0)</f>
        <v>25</v>
      </c>
      <c r="L31" s="3" t="str">
        <f t="shared" ref="L31" ca="1" si="2">VLOOKUP(G31,$G$1:$M$119,6,0)&amp;"."&amp;F31</f>
        <v>HCM_NM_SG.26.05.25.X.07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6399-EA35-4480-B4A6-D058A18905B7}">
  <dimension ref="A1:L181"/>
  <sheetViews>
    <sheetView topLeftCell="G51" workbookViewId="0">
      <selection activeCell="H88" sqref="H88"/>
    </sheetView>
  </sheetViews>
  <sheetFormatPr defaultRowHeight="14.25" x14ac:dyDescent="0.2"/>
  <cols>
    <col min="1" max="1" width="16.375" bestFit="1" customWidth="1"/>
    <col min="2" max="2" width="10.625" bestFit="1" customWidth="1"/>
    <col min="3" max="3" width="10.625" customWidth="1"/>
    <col min="4" max="4" width="16.625" bestFit="1" customWidth="1"/>
    <col min="5" max="5" width="19.75" bestFit="1" customWidth="1"/>
    <col min="6" max="6" width="93.75" bestFit="1" customWidth="1"/>
    <col min="7" max="7" width="43.25" bestFit="1" customWidth="1"/>
    <col min="8" max="8" width="27.875" bestFit="1" customWidth="1"/>
    <col min="9" max="9" width="51.125" bestFit="1" customWidth="1"/>
    <col min="10" max="10" width="52.875" bestFit="1" customWidth="1"/>
    <col min="11" max="11" width="52.625" bestFit="1" customWidth="1"/>
    <col min="12" max="12" width="48.5" bestFit="1" customWidth="1"/>
  </cols>
  <sheetData>
    <row r="1" spans="1:12" x14ac:dyDescent="0.2">
      <c r="A1" t="s">
        <v>498</v>
      </c>
      <c r="B1" t="s">
        <v>499</v>
      </c>
      <c r="C1" t="s">
        <v>1574</v>
      </c>
      <c r="D1" t="s">
        <v>277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1763</v>
      </c>
      <c r="K1" t="s">
        <v>506</v>
      </c>
      <c r="L1" t="s">
        <v>507</v>
      </c>
    </row>
    <row r="2" spans="1:12" x14ac:dyDescent="0.2">
      <c r="A2" t="s">
        <v>0</v>
      </c>
      <c r="B2" t="s">
        <v>1</v>
      </c>
      <c r="C2" t="str">
        <f>IF(B2="Triều Lên",".L",IF(B2="Triều Xuống",".X","."&amp;B2))</f>
        <v>.L</v>
      </c>
      <c r="D2" t="s">
        <v>508</v>
      </c>
      <c r="E2" t="s">
        <v>2</v>
      </c>
      <c r="F2" t="s">
        <v>509</v>
      </c>
      <c r="G2" t="s">
        <v>310</v>
      </c>
      <c r="H2" t="s">
        <v>311</v>
      </c>
      <c r="I2" t="s">
        <v>1595</v>
      </c>
      <c r="J2" t="s">
        <v>1764</v>
      </c>
      <c r="K2" t="s">
        <v>512</v>
      </c>
      <c r="L2" t="s">
        <v>513</v>
      </c>
    </row>
    <row r="3" spans="1:12" x14ac:dyDescent="0.2">
      <c r="A3" t="s">
        <v>3</v>
      </c>
      <c r="B3" t="s">
        <v>1</v>
      </c>
      <c r="C3" t="str">
        <f t="shared" ref="C3:C66" si="0">IF(B3="Triều Lên",".L",IF(B3="Triều Xuống",".X","."&amp;B3))</f>
        <v>.L</v>
      </c>
      <c r="D3" t="s">
        <v>514</v>
      </c>
      <c r="E3" t="s">
        <v>4</v>
      </c>
      <c r="F3" t="s">
        <v>515</v>
      </c>
      <c r="G3" t="s">
        <v>312</v>
      </c>
      <c r="H3" t="s">
        <v>313</v>
      </c>
      <c r="I3" t="s">
        <v>1596</v>
      </c>
      <c r="J3" t="s">
        <v>1765</v>
      </c>
      <c r="K3" t="s">
        <v>518</v>
      </c>
      <c r="L3" t="s">
        <v>519</v>
      </c>
    </row>
    <row r="4" spans="1:12" x14ac:dyDescent="0.2">
      <c r="A4" t="s">
        <v>5</v>
      </c>
      <c r="B4" t="s">
        <v>1</v>
      </c>
      <c r="C4" t="str">
        <f t="shared" si="0"/>
        <v>.L</v>
      </c>
      <c r="D4" t="s">
        <v>520</v>
      </c>
      <c r="E4" t="s">
        <v>6</v>
      </c>
      <c r="F4" t="s">
        <v>521</v>
      </c>
      <c r="G4" t="s">
        <v>314</v>
      </c>
      <c r="H4" t="s">
        <v>315</v>
      </c>
      <c r="I4" t="s">
        <v>1597</v>
      </c>
      <c r="J4" t="s">
        <v>1766</v>
      </c>
      <c r="K4" t="s">
        <v>524</v>
      </c>
      <c r="L4" t="s">
        <v>525</v>
      </c>
    </row>
    <row r="5" spans="1:12" x14ac:dyDescent="0.2">
      <c r="A5" t="s">
        <v>7</v>
      </c>
      <c r="B5" t="s">
        <v>1</v>
      </c>
      <c r="C5" t="str">
        <f t="shared" si="0"/>
        <v>.L</v>
      </c>
      <c r="D5" t="s">
        <v>526</v>
      </c>
      <c r="E5" t="s">
        <v>8</v>
      </c>
      <c r="F5" t="s">
        <v>527</v>
      </c>
      <c r="G5" t="s">
        <v>316</v>
      </c>
      <c r="H5" t="s">
        <v>317</v>
      </c>
      <c r="I5" t="s">
        <v>1598</v>
      </c>
      <c r="J5" t="s">
        <v>1767</v>
      </c>
      <c r="K5" t="s">
        <v>530</v>
      </c>
      <c r="L5" t="s">
        <v>531</v>
      </c>
    </row>
    <row r="6" spans="1:12" x14ac:dyDescent="0.2">
      <c r="A6" t="s">
        <v>9</v>
      </c>
      <c r="B6" t="s">
        <v>1</v>
      </c>
      <c r="C6" t="str">
        <f t="shared" si="0"/>
        <v>.L</v>
      </c>
      <c r="D6" t="s">
        <v>532</v>
      </c>
      <c r="E6" t="s">
        <v>10</v>
      </c>
      <c r="F6" t="s">
        <v>533</v>
      </c>
      <c r="G6" t="s">
        <v>334</v>
      </c>
      <c r="H6" t="s">
        <v>335</v>
      </c>
      <c r="I6" t="s">
        <v>1599</v>
      </c>
      <c r="J6" t="s">
        <v>1768</v>
      </c>
      <c r="K6" t="s">
        <v>536</v>
      </c>
      <c r="L6" t="s">
        <v>537</v>
      </c>
    </row>
    <row r="7" spans="1:12" x14ac:dyDescent="0.2">
      <c r="A7" t="s">
        <v>11</v>
      </c>
      <c r="B7" t="s">
        <v>1</v>
      </c>
      <c r="C7" t="str">
        <f t="shared" si="0"/>
        <v>.L</v>
      </c>
      <c r="D7" t="s">
        <v>538</v>
      </c>
      <c r="E7" t="s">
        <v>12</v>
      </c>
      <c r="F7" t="s">
        <v>539</v>
      </c>
      <c r="G7" t="s">
        <v>330</v>
      </c>
      <c r="H7" t="s">
        <v>331</v>
      </c>
      <c r="I7" t="s">
        <v>1600</v>
      </c>
      <c r="J7" t="s">
        <v>1769</v>
      </c>
      <c r="K7" t="s">
        <v>542</v>
      </c>
      <c r="L7" t="s">
        <v>543</v>
      </c>
    </row>
    <row r="8" spans="1:12" x14ac:dyDescent="0.2">
      <c r="A8" t="s">
        <v>13</v>
      </c>
      <c r="B8" t="s">
        <v>1</v>
      </c>
      <c r="C8" t="str">
        <f t="shared" si="0"/>
        <v>.L</v>
      </c>
      <c r="D8" t="s">
        <v>544</v>
      </c>
      <c r="E8" t="s">
        <v>14</v>
      </c>
      <c r="F8" t="s">
        <v>545</v>
      </c>
      <c r="G8" t="s">
        <v>332</v>
      </c>
      <c r="H8" t="s">
        <v>333</v>
      </c>
      <c r="I8" t="s">
        <v>1601</v>
      </c>
      <c r="J8" t="s">
        <v>1770</v>
      </c>
      <c r="K8" t="s">
        <v>548</v>
      </c>
      <c r="L8" t="s">
        <v>549</v>
      </c>
    </row>
    <row r="9" spans="1:12" x14ac:dyDescent="0.2">
      <c r="A9" t="s">
        <v>15</v>
      </c>
      <c r="B9" t="s">
        <v>1</v>
      </c>
      <c r="C9" t="str">
        <f t="shared" si="0"/>
        <v>.L</v>
      </c>
      <c r="D9" t="s">
        <v>550</v>
      </c>
      <c r="E9" t="s">
        <v>16</v>
      </c>
      <c r="F9" t="s">
        <v>551</v>
      </c>
      <c r="G9" t="s">
        <v>318</v>
      </c>
      <c r="H9" t="s">
        <v>319</v>
      </c>
      <c r="I9" t="s">
        <v>1602</v>
      </c>
      <c r="J9" t="s">
        <v>1771</v>
      </c>
      <c r="K9" t="s">
        <v>554</v>
      </c>
      <c r="L9" t="s">
        <v>555</v>
      </c>
    </row>
    <row r="10" spans="1:12" x14ac:dyDescent="0.2">
      <c r="A10" t="s">
        <v>17</v>
      </c>
      <c r="B10" t="s">
        <v>1</v>
      </c>
      <c r="C10" t="str">
        <f t="shared" si="0"/>
        <v>.L</v>
      </c>
      <c r="D10" t="s">
        <v>556</v>
      </c>
      <c r="E10" t="s">
        <v>18</v>
      </c>
      <c r="F10" t="s">
        <v>557</v>
      </c>
      <c r="G10" t="s">
        <v>336</v>
      </c>
      <c r="H10" t="s">
        <v>337</v>
      </c>
      <c r="I10" t="s">
        <v>1603</v>
      </c>
      <c r="J10" t="s">
        <v>1772</v>
      </c>
      <c r="K10" t="s">
        <v>560</v>
      </c>
      <c r="L10" t="s">
        <v>561</v>
      </c>
    </row>
    <row r="11" spans="1:12" x14ac:dyDescent="0.2">
      <c r="A11" t="s">
        <v>19</v>
      </c>
      <c r="B11" t="s">
        <v>1</v>
      </c>
      <c r="C11" t="str">
        <f t="shared" si="0"/>
        <v>.L</v>
      </c>
      <c r="D11" t="s">
        <v>562</v>
      </c>
      <c r="E11" t="s">
        <v>20</v>
      </c>
      <c r="F11" t="s">
        <v>563</v>
      </c>
      <c r="G11" t="s">
        <v>338</v>
      </c>
      <c r="H11" t="s">
        <v>339</v>
      </c>
      <c r="I11" t="s">
        <v>1604</v>
      </c>
      <c r="J11" t="s">
        <v>1773</v>
      </c>
      <c r="K11" t="s">
        <v>566</v>
      </c>
      <c r="L11" t="s">
        <v>567</v>
      </c>
    </row>
    <row r="12" spans="1:12" x14ac:dyDescent="0.2">
      <c r="A12" t="s">
        <v>0</v>
      </c>
      <c r="B12" t="s">
        <v>21</v>
      </c>
      <c r="C12" t="str">
        <f t="shared" si="0"/>
        <v>.X</v>
      </c>
      <c r="D12" t="s">
        <v>508</v>
      </c>
      <c r="E12" t="s">
        <v>22</v>
      </c>
      <c r="F12" t="s">
        <v>509</v>
      </c>
      <c r="G12" t="s">
        <v>320</v>
      </c>
      <c r="H12" t="s">
        <v>321</v>
      </c>
      <c r="I12" t="s">
        <v>1589</v>
      </c>
      <c r="J12" t="s">
        <v>1590</v>
      </c>
      <c r="K12" t="s">
        <v>570</v>
      </c>
      <c r="L12" t="s">
        <v>571</v>
      </c>
    </row>
    <row r="13" spans="1:12" x14ac:dyDescent="0.2">
      <c r="A13" t="s">
        <v>3</v>
      </c>
      <c r="B13" t="s">
        <v>21</v>
      </c>
      <c r="C13" t="str">
        <f t="shared" si="0"/>
        <v>.X</v>
      </c>
      <c r="D13" t="s">
        <v>514</v>
      </c>
      <c r="E13" t="s">
        <v>23</v>
      </c>
      <c r="F13" t="s">
        <v>515</v>
      </c>
      <c r="G13" t="s">
        <v>322</v>
      </c>
      <c r="H13" t="s">
        <v>323</v>
      </c>
      <c r="I13" t="s">
        <v>1605</v>
      </c>
      <c r="J13" t="s">
        <v>1774</v>
      </c>
      <c r="K13" t="s">
        <v>574</v>
      </c>
      <c r="L13" t="s">
        <v>575</v>
      </c>
    </row>
    <row r="14" spans="1:12" x14ac:dyDescent="0.2">
      <c r="A14" t="s">
        <v>5</v>
      </c>
      <c r="B14" t="s">
        <v>21</v>
      </c>
      <c r="C14" t="str">
        <f t="shared" si="0"/>
        <v>.X</v>
      </c>
      <c r="D14" t="s">
        <v>520</v>
      </c>
      <c r="E14" t="s">
        <v>24</v>
      </c>
      <c r="F14" t="s">
        <v>521</v>
      </c>
      <c r="G14" t="s">
        <v>324</v>
      </c>
      <c r="H14" t="s">
        <v>325</v>
      </c>
      <c r="I14" t="s">
        <v>1581</v>
      </c>
      <c r="J14" t="s">
        <v>1775</v>
      </c>
      <c r="K14" t="s">
        <v>578</v>
      </c>
      <c r="L14" t="s">
        <v>579</v>
      </c>
    </row>
    <row r="15" spans="1:12" x14ac:dyDescent="0.2">
      <c r="A15" t="s">
        <v>7</v>
      </c>
      <c r="B15" t="s">
        <v>21</v>
      </c>
      <c r="C15" t="str">
        <f t="shared" si="0"/>
        <v>.X</v>
      </c>
      <c r="D15" t="s">
        <v>526</v>
      </c>
      <c r="E15" t="s">
        <v>25</v>
      </c>
      <c r="F15" t="s">
        <v>527</v>
      </c>
      <c r="G15" t="s">
        <v>326</v>
      </c>
      <c r="H15" t="s">
        <v>327</v>
      </c>
      <c r="I15" t="s">
        <v>1606</v>
      </c>
      <c r="J15" t="s">
        <v>1776</v>
      </c>
      <c r="K15" t="s">
        <v>582</v>
      </c>
      <c r="L15" t="s">
        <v>583</v>
      </c>
    </row>
    <row r="16" spans="1:12" x14ac:dyDescent="0.2">
      <c r="A16" t="s">
        <v>9</v>
      </c>
      <c r="B16" t="s">
        <v>21</v>
      </c>
      <c r="C16" t="str">
        <f t="shared" si="0"/>
        <v>.X</v>
      </c>
      <c r="D16" t="s">
        <v>532</v>
      </c>
      <c r="E16" t="s">
        <v>26</v>
      </c>
      <c r="F16" t="s">
        <v>533</v>
      </c>
      <c r="G16" t="s">
        <v>344</v>
      </c>
      <c r="H16" t="s">
        <v>345</v>
      </c>
      <c r="I16" t="s">
        <v>1607</v>
      </c>
      <c r="J16" t="s">
        <v>1777</v>
      </c>
      <c r="K16" t="s">
        <v>586</v>
      </c>
      <c r="L16" t="s">
        <v>587</v>
      </c>
    </row>
    <row r="17" spans="1:12" x14ac:dyDescent="0.2">
      <c r="A17" t="s">
        <v>11</v>
      </c>
      <c r="B17" t="s">
        <v>21</v>
      </c>
      <c r="C17" t="str">
        <f t="shared" si="0"/>
        <v>.X</v>
      </c>
      <c r="D17" t="s">
        <v>538</v>
      </c>
      <c r="E17" t="s">
        <v>27</v>
      </c>
      <c r="F17" t="s">
        <v>539</v>
      </c>
      <c r="G17" t="s">
        <v>340</v>
      </c>
      <c r="H17" t="s">
        <v>341</v>
      </c>
      <c r="I17" t="s">
        <v>1582</v>
      </c>
      <c r="J17" t="s">
        <v>1778</v>
      </c>
      <c r="K17" t="s">
        <v>590</v>
      </c>
      <c r="L17" t="s">
        <v>591</v>
      </c>
    </row>
    <row r="18" spans="1:12" x14ac:dyDescent="0.2">
      <c r="A18" t="s">
        <v>13</v>
      </c>
      <c r="B18" t="s">
        <v>21</v>
      </c>
      <c r="C18" t="str">
        <f t="shared" si="0"/>
        <v>.X</v>
      </c>
      <c r="D18" t="s">
        <v>544</v>
      </c>
      <c r="E18" t="s">
        <v>28</v>
      </c>
      <c r="F18" t="s">
        <v>545</v>
      </c>
      <c r="G18" t="s">
        <v>342</v>
      </c>
      <c r="H18" t="s">
        <v>343</v>
      </c>
      <c r="I18" t="s">
        <v>1608</v>
      </c>
      <c r="J18" t="s">
        <v>1779</v>
      </c>
      <c r="K18" t="s">
        <v>594</v>
      </c>
      <c r="L18" t="s">
        <v>595</v>
      </c>
    </row>
    <row r="19" spans="1:12" x14ac:dyDescent="0.2">
      <c r="A19" t="s">
        <v>15</v>
      </c>
      <c r="B19" t="s">
        <v>21</v>
      </c>
      <c r="C19" t="str">
        <f t="shared" si="0"/>
        <v>.X</v>
      </c>
      <c r="D19" t="s">
        <v>550</v>
      </c>
      <c r="E19" t="s">
        <v>29</v>
      </c>
      <c r="F19" t="s">
        <v>551</v>
      </c>
      <c r="G19" t="s">
        <v>328</v>
      </c>
      <c r="H19" t="s">
        <v>329</v>
      </c>
      <c r="I19" t="s">
        <v>1609</v>
      </c>
      <c r="J19" t="s">
        <v>1780</v>
      </c>
      <c r="K19" t="s">
        <v>598</v>
      </c>
      <c r="L19" t="s">
        <v>599</v>
      </c>
    </row>
    <row r="20" spans="1:12" x14ac:dyDescent="0.2">
      <c r="A20" t="s">
        <v>17</v>
      </c>
      <c r="B20" t="s">
        <v>21</v>
      </c>
      <c r="C20" t="str">
        <f t="shared" si="0"/>
        <v>.X</v>
      </c>
      <c r="D20" t="s">
        <v>556</v>
      </c>
      <c r="E20" t="s">
        <v>30</v>
      </c>
      <c r="F20" t="s">
        <v>557</v>
      </c>
      <c r="G20" t="s">
        <v>346</v>
      </c>
      <c r="H20" t="s">
        <v>347</v>
      </c>
      <c r="I20" t="s">
        <v>1610</v>
      </c>
      <c r="J20" t="s">
        <v>1781</v>
      </c>
      <c r="K20" t="s">
        <v>602</v>
      </c>
      <c r="L20" t="s">
        <v>603</v>
      </c>
    </row>
    <row r="21" spans="1:12" x14ac:dyDescent="0.2">
      <c r="A21" t="s">
        <v>19</v>
      </c>
      <c r="B21" t="s">
        <v>21</v>
      </c>
      <c r="C21" t="str">
        <f t="shared" si="0"/>
        <v>.X</v>
      </c>
      <c r="D21" t="s">
        <v>562</v>
      </c>
      <c r="E21" t="s">
        <v>31</v>
      </c>
      <c r="F21" t="s">
        <v>563</v>
      </c>
      <c r="G21" t="s">
        <v>348</v>
      </c>
      <c r="H21" t="s">
        <v>349</v>
      </c>
      <c r="I21" t="s">
        <v>1611</v>
      </c>
      <c r="J21" t="s">
        <v>1782</v>
      </c>
      <c r="K21" t="s">
        <v>606</v>
      </c>
      <c r="L21" t="s">
        <v>607</v>
      </c>
    </row>
    <row r="22" spans="1:12" x14ac:dyDescent="0.2">
      <c r="A22" t="s">
        <v>32</v>
      </c>
      <c r="B22" t="s">
        <v>608</v>
      </c>
      <c r="C22" t="str">
        <f t="shared" si="0"/>
        <v>.01</v>
      </c>
      <c r="D22" t="s">
        <v>609</v>
      </c>
      <c r="E22" t="s">
        <v>610</v>
      </c>
      <c r="F22" t="s">
        <v>611</v>
      </c>
      <c r="G22" t="s">
        <v>474</v>
      </c>
      <c r="H22" t="s">
        <v>475</v>
      </c>
      <c r="I22" t="s">
        <v>1612</v>
      </c>
      <c r="J22" t="s">
        <v>1783</v>
      </c>
      <c r="K22" t="s">
        <v>614</v>
      </c>
      <c r="L22" t="s">
        <v>615</v>
      </c>
    </row>
    <row r="23" spans="1:12" x14ac:dyDescent="0.2">
      <c r="A23" t="s">
        <v>34</v>
      </c>
      <c r="B23" t="s">
        <v>608</v>
      </c>
      <c r="C23" t="str">
        <f t="shared" si="0"/>
        <v>.01</v>
      </c>
      <c r="D23" t="s">
        <v>616</v>
      </c>
      <c r="E23" t="s">
        <v>617</v>
      </c>
      <c r="F23" t="s">
        <v>618</v>
      </c>
      <c r="G23" t="s">
        <v>476</v>
      </c>
      <c r="H23" t="s">
        <v>477</v>
      </c>
      <c r="I23" t="s">
        <v>1613</v>
      </c>
      <c r="J23" t="s">
        <v>1784</v>
      </c>
      <c r="K23" t="s">
        <v>621</v>
      </c>
      <c r="L23" t="s">
        <v>622</v>
      </c>
    </row>
    <row r="24" spans="1:12" x14ac:dyDescent="0.2">
      <c r="A24" t="s">
        <v>36</v>
      </c>
      <c r="B24" t="s">
        <v>1</v>
      </c>
      <c r="C24" t="str">
        <f t="shared" si="0"/>
        <v>.L</v>
      </c>
      <c r="D24" t="s">
        <v>623</v>
      </c>
      <c r="E24" t="s">
        <v>37</v>
      </c>
      <c r="F24" t="s">
        <v>624</v>
      </c>
      <c r="G24" t="s">
        <v>625</v>
      </c>
      <c r="H24" t="s">
        <v>626</v>
      </c>
      <c r="I24" t="s">
        <v>1614</v>
      </c>
      <c r="J24" t="s">
        <v>1785</v>
      </c>
      <c r="K24" t="s">
        <v>629</v>
      </c>
      <c r="L24" t="s">
        <v>630</v>
      </c>
    </row>
    <row r="25" spans="1:12" x14ac:dyDescent="0.2">
      <c r="A25" t="s">
        <v>38</v>
      </c>
      <c r="B25" t="s">
        <v>608</v>
      </c>
      <c r="C25" t="str">
        <f t="shared" si="0"/>
        <v>.01</v>
      </c>
      <c r="D25" t="s">
        <v>631</v>
      </c>
      <c r="E25" t="s">
        <v>632</v>
      </c>
      <c r="F25" t="s">
        <v>633</v>
      </c>
      <c r="G25" t="s">
        <v>478</v>
      </c>
      <c r="H25" t="s">
        <v>479</v>
      </c>
      <c r="I25" t="s">
        <v>1615</v>
      </c>
      <c r="J25" t="s">
        <v>1786</v>
      </c>
      <c r="K25" t="s">
        <v>636</v>
      </c>
      <c r="L25" t="s">
        <v>637</v>
      </c>
    </row>
    <row r="26" spans="1:12" x14ac:dyDescent="0.2">
      <c r="A26" t="s">
        <v>40</v>
      </c>
      <c r="B26" t="s">
        <v>608</v>
      </c>
      <c r="C26" t="str">
        <f t="shared" si="0"/>
        <v>.01</v>
      </c>
      <c r="D26" t="s">
        <v>638</v>
      </c>
      <c r="E26" t="s">
        <v>639</v>
      </c>
      <c r="F26" t="s">
        <v>640</v>
      </c>
      <c r="G26" t="s">
        <v>480</v>
      </c>
      <c r="H26" t="s">
        <v>481</v>
      </c>
      <c r="I26" t="s">
        <v>1616</v>
      </c>
      <c r="J26" t="s">
        <v>1787</v>
      </c>
      <c r="K26" t="s">
        <v>643</v>
      </c>
      <c r="L26" t="s">
        <v>644</v>
      </c>
    </row>
    <row r="27" spans="1:12" x14ac:dyDescent="0.2">
      <c r="A27" t="s">
        <v>42</v>
      </c>
      <c r="B27" t="s">
        <v>608</v>
      </c>
      <c r="C27" t="str">
        <f t="shared" si="0"/>
        <v>.01</v>
      </c>
      <c r="D27" t="s">
        <v>645</v>
      </c>
      <c r="E27" t="s">
        <v>646</v>
      </c>
      <c r="F27" t="s">
        <v>647</v>
      </c>
      <c r="G27" t="s">
        <v>482</v>
      </c>
      <c r="H27" t="s">
        <v>483</v>
      </c>
      <c r="I27" t="s">
        <v>1617</v>
      </c>
      <c r="J27" t="s">
        <v>1788</v>
      </c>
      <c r="K27" t="s">
        <v>650</v>
      </c>
      <c r="L27" t="s">
        <v>651</v>
      </c>
    </row>
    <row r="28" spans="1:12" x14ac:dyDescent="0.2">
      <c r="A28" t="s">
        <v>44</v>
      </c>
      <c r="B28" t="s">
        <v>608</v>
      </c>
      <c r="C28" t="str">
        <f t="shared" si="0"/>
        <v>.01</v>
      </c>
      <c r="D28" t="s">
        <v>652</v>
      </c>
      <c r="E28" t="s">
        <v>653</v>
      </c>
      <c r="F28" t="s">
        <v>654</v>
      </c>
      <c r="G28" t="s">
        <v>484</v>
      </c>
      <c r="H28" t="s">
        <v>485</v>
      </c>
      <c r="I28" t="s">
        <v>1618</v>
      </c>
      <c r="J28" t="s">
        <v>1789</v>
      </c>
      <c r="K28" t="s">
        <v>657</v>
      </c>
      <c r="L28" t="s">
        <v>658</v>
      </c>
    </row>
    <row r="29" spans="1:12" x14ac:dyDescent="0.2">
      <c r="A29" t="s">
        <v>46</v>
      </c>
      <c r="B29" t="s">
        <v>1</v>
      </c>
      <c r="C29" t="str">
        <f t="shared" si="0"/>
        <v>.L</v>
      </c>
      <c r="D29" t="s">
        <v>659</v>
      </c>
      <c r="E29" t="s">
        <v>47</v>
      </c>
      <c r="F29" t="s">
        <v>660</v>
      </c>
      <c r="G29" t="s">
        <v>661</v>
      </c>
      <c r="H29" t="s">
        <v>662</v>
      </c>
      <c r="I29" t="s">
        <v>1619</v>
      </c>
      <c r="J29" t="s">
        <v>1790</v>
      </c>
      <c r="K29" t="s">
        <v>665</v>
      </c>
      <c r="L29" t="s">
        <v>666</v>
      </c>
    </row>
    <row r="30" spans="1:12" x14ac:dyDescent="0.2">
      <c r="A30" t="s">
        <v>32</v>
      </c>
      <c r="B30" t="s">
        <v>667</v>
      </c>
      <c r="C30" t="str">
        <f t="shared" si="0"/>
        <v>.02</v>
      </c>
      <c r="D30" t="s">
        <v>609</v>
      </c>
      <c r="E30" t="s">
        <v>668</v>
      </c>
      <c r="F30" t="s">
        <v>611</v>
      </c>
      <c r="G30" t="s">
        <v>486</v>
      </c>
      <c r="H30" t="s">
        <v>487</v>
      </c>
      <c r="I30" t="s">
        <v>1620</v>
      </c>
      <c r="J30" t="s">
        <v>1791</v>
      </c>
      <c r="K30" t="s">
        <v>671</v>
      </c>
      <c r="L30" t="s">
        <v>672</v>
      </c>
    </row>
    <row r="31" spans="1:12" x14ac:dyDescent="0.2">
      <c r="A31" t="s">
        <v>34</v>
      </c>
      <c r="B31" t="s">
        <v>667</v>
      </c>
      <c r="C31" t="str">
        <f t="shared" si="0"/>
        <v>.02</v>
      </c>
      <c r="D31" t="s">
        <v>616</v>
      </c>
      <c r="E31" t="s">
        <v>673</v>
      </c>
      <c r="F31" t="s">
        <v>618</v>
      </c>
      <c r="G31" t="s">
        <v>488</v>
      </c>
      <c r="H31" t="s">
        <v>489</v>
      </c>
      <c r="I31" t="s">
        <v>1621</v>
      </c>
      <c r="J31" t="s">
        <v>1792</v>
      </c>
      <c r="K31" t="s">
        <v>676</v>
      </c>
      <c r="L31" t="s">
        <v>677</v>
      </c>
    </row>
    <row r="32" spans="1:12" x14ac:dyDescent="0.2">
      <c r="A32" t="s">
        <v>36</v>
      </c>
      <c r="B32" t="s">
        <v>21</v>
      </c>
      <c r="C32" t="str">
        <f t="shared" si="0"/>
        <v>.X</v>
      </c>
      <c r="D32" t="s">
        <v>623</v>
      </c>
      <c r="E32" t="s">
        <v>50</v>
      </c>
      <c r="F32" t="s">
        <v>624</v>
      </c>
      <c r="G32" t="s">
        <v>678</v>
      </c>
      <c r="H32" t="s">
        <v>679</v>
      </c>
      <c r="I32" t="s">
        <v>1622</v>
      </c>
      <c r="J32" t="s">
        <v>1793</v>
      </c>
      <c r="K32" t="s">
        <v>682</v>
      </c>
      <c r="L32" t="s">
        <v>683</v>
      </c>
    </row>
    <row r="33" spans="1:12" x14ac:dyDescent="0.2">
      <c r="A33" t="s">
        <v>38</v>
      </c>
      <c r="B33" t="s">
        <v>667</v>
      </c>
      <c r="C33" t="str">
        <f t="shared" si="0"/>
        <v>.02</v>
      </c>
      <c r="D33" t="s">
        <v>631</v>
      </c>
      <c r="E33" t="s">
        <v>684</v>
      </c>
      <c r="F33" t="s">
        <v>633</v>
      </c>
      <c r="G33" t="s">
        <v>490</v>
      </c>
      <c r="H33" t="s">
        <v>491</v>
      </c>
      <c r="I33" t="s">
        <v>1623</v>
      </c>
      <c r="J33" t="s">
        <v>1794</v>
      </c>
      <c r="K33" t="s">
        <v>687</v>
      </c>
      <c r="L33" t="s">
        <v>688</v>
      </c>
    </row>
    <row r="34" spans="1:12" x14ac:dyDescent="0.2">
      <c r="A34" t="s">
        <v>40</v>
      </c>
      <c r="B34" t="s">
        <v>667</v>
      </c>
      <c r="C34" t="str">
        <f t="shared" si="0"/>
        <v>.02</v>
      </c>
      <c r="D34" t="s">
        <v>638</v>
      </c>
      <c r="E34" t="s">
        <v>689</v>
      </c>
      <c r="F34" t="s">
        <v>640</v>
      </c>
      <c r="G34" t="s">
        <v>492</v>
      </c>
      <c r="H34" t="s">
        <v>493</v>
      </c>
      <c r="I34" t="s">
        <v>1624</v>
      </c>
      <c r="J34" t="s">
        <v>1795</v>
      </c>
      <c r="K34" t="s">
        <v>692</v>
      </c>
      <c r="L34" t="s">
        <v>693</v>
      </c>
    </row>
    <row r="35" spans="1:12" x14ac:dyDescent="0.2">
      <c r="A35" t="s">
        <v>42</v>
      </c>
      <c r="B35" t="s">
        <v>667</v>
      </c>
      <c r="C35" t="str">
        <f t="shared" si="0"/>
        <v>.02</v>
      </c>
      <c r="D35" t="s">
        <v>645</v>
      </c>
      <c r="E35" t="s">
        <v>694</v>
      </c>
      <c r="F35" t="s">
        <v>647</v>
      </c>
      <c r="G35" t="s">
        <v>494</v>
      </c>
      <c r="H35" t="s">
        <v>495</v>
      </c>
      <c r="I35" t="s">
        <v>1625</v>
      </c>
      <c r="J35" t="s">
        <v>1796</v>
      </c>
      <c r="K35" t="s">
        <v>697</v>
      </c>
      <c r="L35" t="s">
        <v>698</v>
      </c>
    </row>
    <row r="36" spans="1:12" x14ac:dyDescent="0.2">
      <c r="A36" t="s">
        <v>44</v>
      </c>
      <c r="B36" t="s">
        <v>667</v>
      </c>
      <c r="C36" t="str">
        <f t="shared" si="0"/>
        <v>.02</v>
      </c>
      <c r="D36" t="s">
        <v>652</v>
      </c>
      <c r="E36" t="s">
        <v>699</v>
      </c>
      <c r="F36" t="s">
        <v>654</v>
      </c>
      <c r="G36" t="s">
        <v>496</v>
      </c>
      <c r="H36" t="s">
        <v>497</v>
      </c>
      <c r="I36" t="s">
        <v>1626</v>
      </c>
      <c r="J36" t="s">
        <v>1797</v>
      </c>
      <c r="K36" t="s">
        <v>702</v>
      </c>
      <c r="L36" t="s">
        <v>703</v>
      </c>
    </row>
    <row r="37" spans="1:12" x14ac:dyDescent="0.2">
      <c r="A37" t="s">
        <v>46</v>
      </c>
      <c r="B37" t="s">
        <v>21</v>
      </c>
      <c r="C37" t="str">
        <f t="shared" si="0"/>
        <v>.X</v>
      </c>
      <c r="D37" t="s">
        <v>659</v>
      </c>
      <c r="E37" t="s">
        <v>55</v>
      </c>
      <c r="F37" t="s">
        <v>660</v>
      </c>
      <c r="G37" t="s">
        <v>704</v>
      </c>
      <c r="H37" t="s">
        <v>705</v>
      </c>
      <c r="I37" t="s">
        <v>1627</v>
      </c>
      <c r="J37" t="s">
        <v>1798</v>
      </c>
      <c r="K37" t="s">
        <v>708</v>
      </c>
      <c r="L37" t="s">
        <v>709</v>
      </c>
    </row>
    <row r="38" spans="1:12" x14ac:dyDescent="0.2">
      <c r="A38" t="s">
        <v>56</v>
      </c>
      <c r="B38" t="s">
        <v>1</v>
      </c>
      <c r="C38" t="str">
        <f t="shared" si="0"/>
        <v>.L</v>
      </c>
      <c r="D38" t="s">
        <v>710</v>
      </c>
      <c r="E38" t="s">
        <v>57</v>
      </c>
      <c r="F38" t="s">
        <v>711</v>
      </c>
      <c r="G38" t="s">
        <v>712</v>
      </c>
      <c r="H38" t="s">
        <v>713</v>
      </c>
      <c r="I38" t="s">
        <v>1628</v>
      </c>
      <c r="J38" t="s">
        <v>1799</v>
      </c>
      <c r="K38" t="s">
        <v>716</v>
      </c>
      <c r="L38" t="s">
        <v>717</v>
      </c>
    </row>
    <row r="39" spans="1:12" x14ac:dyDescent="0.2">
      <c r="A39" t="s">
        <v>58</v>
      </c>
      <c r="B39" t="s">
        <v>1</v>
      </c>
      <c r="C39" t="str">
        <f t="shared" si="0"/>
        <v>.L</v>
      </c>
      <c r="D39" t="s">
        <v>718</v>
      </c>
      <c r="E39" t="s">
        <v>59</v>
      </c>
      <c r="F39" t="s">
        <v>719</v>
      </c>
      <c r="G39" t="s">
        <v>720</v>
      </c>
      <c r="H39" t="s">
        <v>721</v>
      </c>
      <c r="I39" t="s">
        <v>1629</v>
      </c>
      <c r="J39" t="s">
        <v>1800</v>
      </c>
      <c r="K39" t="s">
        <v>724</v>
      </c>
      <c r="L39" t="s">
        <v>725</v>
      </c>
    </row>
    <row r="40" spans="1:12" x14ac:dyDescent="0.2">
      <c r="A40" t="s">
        <v>60</v>
      </c>
      <c r="B40" t="s">
        <v>1</v>
      </c>
      <c r="C40" t="str">
        <f t="shared" si="0"/>
        <v>.L</v>
      </c>
      <c r="D40" t="s">
        <v>726</v>
      </c>
      <c r="E40" t="s">
        <v>61</v>
      </c>
      <c r="F40" t="s">
        <v>727</v>
      </c>
      <c r="G40" t="s">
        <v>728</v>
      </c>
      <c r="H40" t="s">
        <v>729</v>
      </c>
      <c r="I40" t="s">
        <v>1630</v>
      </c>
      <c r="J40" t="s">
        <v>1801</v>
      </c>
      <c r="K40" t="s">
        <v>732</v>
      </c>
      <c r="L40" t="s">
        <v>733</v>
      </c>
    </row>
    <row r="41" spans="1:12" x14ac:dyDescent="0.2">
      <c r="A41" t="s">
        <v>62</v>
      </c>
      <c r="B41" t="s">
        <v>1</v>
      </c>
      <c r="C41" t="str">
        <f t="shared" si="0"/>
        <v>.L</v>
      </c>
      <c r="D41" t="s">
        <v>734</v>
      </c>
      <c r="E41" t="s">
        <v>63</v>
      </c>
      <c r="F41" t="s">
        <v>735</v>
      </c>
      <c r="G41" t="s">
        <v>736</v>
      </c>
      <c r="H41" t="s">
        <v>737</v>
      </c>
      <c r="I41" t="s">
        <v>1631</v>
      </c>
      <c r="J41" t="s">
        <v>1802</v>
      </c>
      <c r="K41" t="s">
        <v>740</v>
      </c>
      <c r="L41" t="s">
        <v>741</v>
      </c>
    </row>
    <row r="42" spans="1:12" x14ac:dyDescent="0.2">
      <c r="A42" t="s">
        <v>64</v>
      </c>
      <c r="B42" t="s">
        <v>1</v>
      </c>
      <c r="C42" t="str">
        <f t="shared" si="0"/>
        <v>.L</v>
      </c>
      <c r="D42" t="s">
        <v>742</v>
      </c>
      <c r="E42" t="s">
        <v>65</v>
      </c>
      <c r="F42" t="s">
        <v>743</v>
      </c>
      <c r="G42" t="s">
        <v>350</v>
      </c>
      <c r="H42" t="s">
        <v>351</v>
      </c>
      <c r="I42" t="s">
        <v>1632</v>
      </c>
      <c r="J42" t="s">
        <v>1803</v>
      </c>
      <c r="K42" t="s">
        <v>746</v>
      </c>
      <c r="L42" t="s">
        <v>747</v>
      </c>
    </row>
    <row r="43" spans="1:12" x14ac:dyDescent="0.2">
      <c r="A43" t="s">
        <v>66</v>
      </c>
      <c r="B43" t="s">
        <v>1</v>
      </c>
      <c r="C43" t="str">
        <f t="shared" si="0"/>
        <v>.L</v>
      </c>
      <c r="D43" t="s">
        <v>748</v>
      </c>
      <c r="E43" t="s">
        <v>67</v>
      </c>
      <c r="F43" t="s">
        <v>749</v>
      </c>
      <c r="G43" t="s">
        <v>352</v>
      </c>
      <c r="H43" t="s">
        <v>353</v>
      </c>
      <c r="I43" t="s">
        <v>1633</v>
      </c>
      <c r="J43" t="s">
        <v>1804</v>
      </c>
      <c r="K43" t="s">
        <v>752</v>
      </c>
      <c r="L43" t="s">
        <v>753</v>
      </c>
    </row>
    <row r="44" spans="1:12" x14ac:dyDescent="0.2">
      <c r="A44" t="s">
        <v>68</v>
      </c>
      <c r="B44" t="s">
        <v>1</v>
      </c>
      <c r="C44" t="str">
        <f t="shared" si="0"/>
        <v>.L</v>
      </c>
      <c r="D44" t="s">
        <v>754</v>
      </c>
      <c r="E44" t="s">
        <v>69</v>
      </c>
      <c r="F44" t="s">
        <v>755</v>
      </c>
      <c r="G44" t="s">
        <v>354</v>
      </c>
      <c r="H44" t="s">
        <v>355</v>
      </c>
      <c r="I44" t="s">
        <v>1634</v>
      </c>
      <c r="J44" t="s">
        <v>1805</v>
      </c>
      <c r="K44" t="s">
        <v>758</v>
      </c>
      <c r="L44" t="s">
        <v>759</v>
      </c>
    </row>
    <row r="45" spans="1:12" x14ac:dyDescent="0.2">
      <c r="A45" t="s">
        <v>70</v>
      </c>
      <c r="B45" t="s">
        <v>1</v>
      </c>
      <c r="C45" t="str">
        <f t="shared" si="0"/>
        <v>.L</v>
      </c>
      <c r="D45" t="s">
        <v>760</v>
      </c>
      <c r="E45" t="s">
        <v>71</v>
      </c>
      <c r="F45" t="s">
        <v>761</v>
      </c>
      <c r="G45" t="s">
        <v>356</v>
      </c>
      <c r="H45" t="s">
        <v>357</v>
      </c>
      <c r="I45" t="s">
        <v>1635</v>
      </c>
      <c r="J45" t="s">
        <v>1806</v>
      </c>
      <c r="K45" t="s">
        <v>764</v>
      </c>
      <c r="L45" t="s">
        <v>765</v>
      </c>
    </row>
    <row r="46" spans="1:12" x14ac:dyDescent="0.2">
      <c r="A46" t="s">
        <v>72</v>
      </c>
      <c r="B46" t="s">
        <v>1</v>
      </c>
      <c r="C46" t="str">
        <f t="shared" si="0"/>
        <v>.L</v>
      </c>
      <c r="D46" t="s">
        <v>766</v>
      </c>
      <c r="E46" t="s">
        <v>73</v>
      </c>
      <c r="F46" t="s">
        <v>767</v>
      </c>
      <c r="G46" t="s">
        <v>358</v>
      </c>
      <c r="H46" t="s">
        <v>359</v>
      </c>
      <c r="I46" t="s">
        <v>1636</v>
      </c>
      <c r="J46" t="s">
        <v>1807</v>
      </c>
      <c r="K46" t="s">
        <v>770</v>
      </c>
      <c r="L46" t="s">
        <v>771</v>
      </c>
    </row>
    <row r="47" spans="1:12" x14ac:dyDescent="0.2">
      <c r="A47" t="s">
        <v>56</v>
      </c>
      <c r="B47" t="s">
        <v>21</v>
      </c>
      <c r="C47" t="str">
        <f t="shared" si="0"/>
        <v>.X</v>
      </c>
      <c r="D47" t="s">
        <v>710</v>
      </c>
      <c r="E47" t="s">
        <v>74</v>
      </c>
      <c r="F47" t="s">
        <v>711</v>
      </c>
      <c r="G47" t="s">
        <v>772</v>
      </c>
      <c r="H47" t="s">
        <v>773</v>
      </c>
      <c r="I47" t="s">
        <v>1637</v>
      </c>
      <c r="J47" t="s">
        <v>1808</v>
      </c>
      <c r="K47" t="s">
        <v>776</v>
      </c>
      <c r="L47" t="s">
        <v>777</v>
      </c>
    </row>
    <row r="48" spans="1:12" x14ac:dyDescent="0.2">
      <c r="A48" t="s">
        <v>58</v>
      </c>
      <c r="B48" t="s">
        <v>21</v>
      </c>
      <c r="C48" t="str">
        <f t="shared" si="0"/>
        <v>.X</v>
      </c>
      <c r="D48" t="s">
        <v>718</v>
      </c>
      <c r="E48" t="s">
        <v>75</v>
      </c>
      <c r="F48" t="s">
        <v>719</v>
      </c>
      <c r="G48" t="s">
        <v>778</v>
      </c>
      <c r="H48" t="s">
        <v>779</v>
      </c>
      <c r="I48" t="s">
        <v>1638</v>
      </c>
      <c r="J48" t="s">
        <v>1809</v>
      </c>
      <c r="K48" t="s">
        <v>782</v>
      </c>
      <c r="L48" t="s">
        <v>783</v>
      </c>
    </row>
    <row r="49" spans="1:12" x14ac:dyDescent="0.2">
      <c r="A49" t="s">
        <v>60</v>
      </c>
      <c r="B49" t="s">
        <v>21</v>
      </c>
      <c r="C49" t="str">
        <f t="shared" si="0"/>
        <v>.X</v>
      </c>
      <c r="D49" t="s">
        <v>726</v>
      </c>
      <c r="E49" t="s">
        <v>76</v>
      </c>
      <c r="F49" t="s">
        <v>727</v>
      </c>
      <c r="G49" t="s">
        <v>784</v>
      </c>
      <c r="H49" t="s">
        <v>785</v>
      </c>
      <c r="I49" t="s">
        <v>1639</v>
      </c>
      <c r="J49" t="s">
        <v>1810</v>
      </c>
      <c r="K49" t="s">
        <v>788</v>
      </c>
      <c r="L49" t="s">
        <v>789</v>
      </c>
    </row>
    <row r="50" spans="1:12" x14ac:dyDescent="0.2">
      <c r="A50" t="s">
        <v>62</v>
      </c>
      <c r="B50" t="s">
        <v>21</v>
      </c>
      <c r="C50" t="str">
        <f t="shared" si="0"/>
        <v>.X</v>
      </c>
      <c r="D50" t="s">
        <v>734</v>
      </c>
      <c r="E50" t="s">
        <v>77</v>
      </c>
      <c r="F50" t="s">
        <v>735</v>
      </c>
      <c r="G50" t="s">
        <v>790</v>
      </c>
      <c r="H50" t="s">
        <v>791</v>
      </c>
      <c r="I50" t="s">
        <v>1640</v>
      </c>
      <c r="J50" t="s">
        <v>1811</v>
      </c>
      <c r="K50" t="s">
        <v>794</v>
      </c>
      <c r="L50" t="s">
        <v>795</v>
      </c>
    </row>
    <row r="51" spans="1:12" x14ac:dyDescent="0.2">
      <c r="A51" t="s">
        <v>64</v>
      </c>
      <c r="B51" t="s">
        <v>21</v>
      </c>
      <c r="C51" t="str">
        <f t="shared" si="0"/>
        <v>.X</v>
      </c>
      <c r="D51" t="s">
        <v>742</v>
      </c>
      <c r="E51" t="s">
        <v>78</v>
      </c>
      <c r="F51" t="s">
        <v>743</v>
      </c>
      <c r="G51" t="s">
        <v>360</v>
      </c>
      <c r="H51" t="s">
        <v>361</v>
      </c>
      <c r="I51" t="s">
        <v>1641</v>
      </c>
      <c r="J51" t="s">
        <v>1812</v>
      </c>
      <c r="K51" t="s">
        <v>798</v>
      </c>
      <c r="L51" t="s">
        <v>799</v>
      </c>
    </row>
    <row r="52" spans="1:12" x14ac:dyDescent="0.2">
      <c r="A52" t="s">
        <v>66</v>
      </c>
      <c r="B52" t="s">
        <v>21</v>
      </c>
      <c r="C52" t="str">
        <f t="shared" si="0"/>
        <v>.X</v>
      </c>
      <c r="D52" t="s">
        <v>748</v>
      </c>
      <c r="E52" t="s">
        <v>79</v>
      </c>
      <c r="F52" t="s">
        <v>749</v>
      </c>
      <c r="G52" t="s">
        <v>362</v>
      </c>
      <c r="H52" t="s">
        <v>363</v>
      </c>
      <c r="I52" t="s">
        <v>1642</v>
      </c>
      <c r="J52" t="s">
        <v>1813</v>
      </c>
      <c r="K52" t="s">
        <v>802</v>
      </c>
      <c r="L52" t="s">
        <v>803</v>
      </c>
    </row>
    <row r="53" spans="1:12" x14ac:dyDescent="0.2">
      <c r="A53" t="s">
        <v>68</v>
      </c>
      <c r="B53" t="s">
        <v>21</v>
      </c>
      <c r="C53" t="str">
        <f t="shared" si="0"/>
        <v>.X</v>
      </c>
      <c r="D53" t="s">
        <v>754</v>
      </c>
      <c r="E53" t="s">
        <v>80</v>
      </c>
      <c r="F53" t="s">
        <v>755</v>
      </c>
      <c r="G53" t="s">
        <v>364</v>
      </c>
      <c r="H53" t="s">
        <v>365</v>
      </c>
      <c r="I53" t="s">
        <v>1643</v>
      </c>
      <c r="J53" t="s">
        <v>1814</v>
      </c>
      <c r="K53" t="s">
        <v>806</v>
      </c>
      <c r="L53" t="s">
        <v>807</v>
      </c>
    </row>
    <row r="54" spans="1:12" x14ac:dyDescent="0.2">
      <c r="A54" t="s">
        <v>70</v>
      </c>
      <c r="B54" t="s">
        <v>21</v>
      </c>
      <c r="C54" t="str">
        <f t="shared" si="0"/>
        <v>.X</v>
      </c>
      <c r="D54" t="s">
        <v>760</v>
      </c>
      <c r="E54" t="s">
        <v>81</v>
      </c>
      <c r="F54" t="s">
        <v>761</v>
      </c>
      <c r="G54" t="s">
        <v>366</v>
      </c>
      <c r="H54" t="s">
        <v>367</v>
      </c>
      <c r="I54" t="s">
        <v>1644</v>
      </c>
      <c r="J54" t="s">
        <v>1815</v>
      </c>
      <c r="K54" t="s">
        <v>810</v>
      </c>
      <c r="L54" t="s">
        <v>811</v>
      </c>
    </row>
    <row r="55" spans="1:12" x14ac:dyDescent="0.2">
      <c r="A55" t="s">
        <v>72</v>
      </c>
      <c r="B55" t="s">
        <v>21</v>
      </c>
      <c r="C55" t="str">
        <f t="shared" si="0"/>
        <v>.X</v>
      </c>
      <c r="D55" t="s">
        <v>766</v>
      </c>
      <c r="E55" t="s">
        <v>82</v>
      </c>
      <c r="F55" t="s">
        <v>767</v>
      </c>
      <c r="G55" t="s">
        <v>368</v>
      </c>
      <c r="H55" t="s">
        <v>369</v>
      </c>
      <c r="I55" t="s">
        <v>1583</v>
      </c>
      <c r="J55" t="s">
        <v>1816</v>
      </c>
      <c r="K55" t="s">
        <v>814</v>
      </c>
      <c r="L55" t="s">
        <v>815</v>
      </c>
    </row>
    <row r="56" spans="1:12" x14ac:dyDescent="0.2">
      <c r="A56" t="s">
        <v>83</v>
      </c>
      <c r="B56" t="s">
        <v>1</v>
      </c>
      <c r="C56" t="str">
        <f t="shared" si="0"/>
        <v>.L</v>
      </c>
      <c r="D56" t="s">
        <v>816</v>
      </c>
      <c r="E56" t="s">
        <v>84</v>
      </c>
      <c r="F56" t="s">
        <v>817</v>
      </c>
      <c r="G56" t="s">
        <v>818</v>
      </c>
      <c r="H56" t="s">
        <v>819</v>
      </c>
      <c r="I56" t="s">
        <v>1645</v>
      </c>
      <c r="J56" t="s">
        <v>1817</v>
      </c>
      <c r="K56" t="s">
        <v>822</v>
      </c>
      <c r="L56" t="s">
        <v>823</v>
      </c>
    </row>
    <row r="57" spans="1:12" x14ac:dyDescent="0.2">
      <c r="A57" t="s">
        <v>85</v>
      </c>
      <c r="B57" t="s">
        <v>1</v>
      </c>
      <c r="C57" t="str">
        <f t="shared" si="0"/>
        <v>.L</v>
      </c>
      <c r="D57" t="s">
        <v>824</v>
      </c>
      <c r="E57" t="s">
        <v>86</v>
      </c>
      <c r="F57" t="s">
        <v>825</v>
      </c>
      <c r="G57" t="s">
        <v>826</v>
      </c>
      <c r="H57" t="s">
        <v>827</v>
      </c>
      <c r="I57" t="s">
        <v>1646</v>
      </c>
      <c r="J57" t="s">
        <v>1818</v>
      </c>
      <c r="K57" t="s">
        <v>830</v>
      </c>
      <c r="L57" t="s">
        <v>831</v>
      </c>
    </row>
    <row r="58" spans="1:12" x14ac:dyDescent="0.2">
      <c r="A58" t="s">
        <v>87</v>
      </c>
      <c r="B58" t="s">
        <v>1</v>
      </c>
      <c r="C58" t="str">
        <f t="shared" si="0"/>
        <v>.L</v>
      </c>
      <c r="D58" t="s">
        <v>832</v>
      </c>
      <c r="E58" t="s">
        <v>88</v>
      </c>
      <c r="F58" t="s">
        <v>833</v>
      </c>
      <c r="G58" t="s">
        <v>834</v>
      </c>
      <c r="H58" t="s">
        <v>835</v>
      </c>
      <c r="I58" t="s">
        <v>1647</v>
      </c>
      <c r="J58" t="s">
        <v>1819</v>
      </c>
      <c r="K58" t="s">
        <v>838</v>
      </c>
      <c r="L58" t="s">
        <v>839</v>
      </c>
    </row>
    <row r="59" spans="1:12" x14ac:dyDescent="0.2">
      <c r="A59" t="s">
        <v>89</v>
      </c>
      <c r="B59" t="s">
        <v>1</v>
      </c>
      <c r="C59" t="str">
        <f t="shared" si="0"/>
        <v>.L</v>
      </c>
      <c r="D59" t="s">
        <v>840</v>
      </c>
      <c r="E59" t="s">
        <v>90</v>
      </c>
      <c r="F59" t="s">
        <v>841</v>
      </c>
      <c r="G59" t="s">
        <v>842</v>
      </c>
      <c r="H59" t="s">
        <v>843</v>
      </c>
      <c r="I59" t="s">
        <v>1648</v>
      </c>
      <c r="J59" t="s">
        <v>1820</v>
      </c>
      <c r="K59" t="s">
        <v>846</v>
      </c>
      <c r="L59" t="s">
        <v>847</v>
      </c>
    </row>
    <row r="60" spans="1:12" x14ac:dyDescent="0.2">
      <c r="A60" t="s">
        <v>91</v>
      </c>
      <c r="B60" t="s">
        <v>1</v>
      </c>
      <c r="C60" t="str">
        <f t="shared" si="0"/>
        <v>.L</v>
      </c>
      <c r="D60" t="s">
        <v>848</v>
      </c>
      <c r="E60" t="s">
        <v>92</v>
      </c>
      <c r="F60" t="s">
        <v>849</v>
      </c>
      <c r="G60" t="s">
        <v>850</v>
      </c>
      <c r="H60" t="s">
        <v>851</v>
      </c>
      <c r="I60" t="s">
        <v>1649</v>
      </c>
      <c r="J60" t="s">
        <v>1821</v>
      </c>
      <c r="K60" t="s">
        <v>854</v>
      </c>
      <c r="L60" t="s">
        <v>855</v>
      </c>
    </row>
    <row r="61" spans="1:12" x14ac:dyDescent="0.2">
      <c r="A61" t="s">
        <v>93</v>
      </c>
      <c r="B61" t="s">
        <v>1</v>
      </c>
      <c r="C61" t="str">
        <f t="shared" si="0"/>
        <v>.L</v>
      </c>
      <c r="D61" t="s">
        <v>856</v>
      </c>
      <c r="E61" t="s">
        <v>94</v>
      </c>
      <c r="F61" t="s">
        <v>857</v>
      </c>
      <c r="G61" t="s">
        <v>858</v>
      </c>
      <c r="H61" t="s">
        <v>859</v>
      </c>
      <c r="I61" t="s">
        <v>1650</v>
      </c>
      <c r="J61" t="s">
        <v>1822</v>
      </c>
      <c r="K61" t="s">
        <v>862</v>
      </c>
      <c r="L61" t="s">
        <v>863</v>
      </c>
    </row>
    <row r="62" spans="1:12" x14ac:dyDescent="0.2">
      <c r="A62" t="s">
        <v>95</v>
      </c>
      <c r="B62" t="s">
        <v>1</v>
      </c>
      <c r="C62" t="str">
        <f t="shared" si="0"/>
        <v>.L</v>
      </c>
      <c r="D62" t="s">
        <v>864</v>
      </c>
      <c r="E62" t="s">
        <v>96</v>
      </c>
      <c r="F62" t="s">
        <v>865</v>
      </c>
      <c r="G62" t="s">
        <v>866</v>
      </c>
      <c r="H62" t="s">
        <v>867</v>
      </c>
      <c r="I62" t="s">
        <v>1651</v>
      </c>
      <c r="J62" t="s">
        <v>1823</v>
      </c>
      <c r="K62" t="s">
        <v>870</v>
      </c>
      <c r="L62" t="s">
        <v>871</v>
      </c>
    </row>
    <row r="63" spans="1:12" x14ac:dyDescent="0.2">
      <c r="A63" t="s">
        <v>83</v>
      </c>
      <c r="B63" t="s">
        <v>21</v>
      </c>
      <c r="C63" t="str">
        <f t="shared" si="0"/>
        <v>.X</v>
      </c>
      <c r="D63" t="s">
        <v>816</v>
      </c>
      <c r="E63" t="s">
        <v>97</v>
      </c>
      <c r="F63" t="s">
        <v>817</v>
      </c>
      <c r="G63" t="s">
        <v>872</v>
      </c>
      <c r="H63" t="s">
        <v>873</v>
      </c>
      <c r="I63" t="s">
        <v>1652</v>
      </c>
      <c r="J63" t="s">
        <v>1824</v>
      </c>
      <c r="K63" t="s">
        <v>876</v>
      </c>
      <c r="L63" t="s">
        <v>877</v>
      </c>
    </row>
    <row r="64" spans="1:12" x14ac:dyDescent="0.2">
      <c r="A64" t="s">
        <v>85</v>
      </c>
      <c r="B64" t="s">
        <v>21</v>
      </c>
      <c r="C64" t="str">
        <f t="shared" si="0"/>
        <v>.X</v>
      </c>
      <c r="D64" t="s">
        <v>824</v>
      </c>
      <c r="E64" t="s">
        <v>98</v>
      </c>
      <c r="F64" t="s">
        <v>825</v>
      </c>
      <c r="G64" t="s">
        <v>878</v>
      </c>
      <c r="H64" t="s">
        <v>879</v>
      </c>
      <c r="I64" t="s">
        <v>1653</v>
      </c>
      <c r="J64" t="s">
        <v>1825</v>
      </c>
      <c r="K64" t="s">
        <v>882</v>
      </c>
      <c r="L64" t="s">
        <v>883</v>
      </c>
    </row>
    <row r="65" spans="1:12" x14ac:dyDescent="0.2">
      <c r="A65" t="s">
        <v>87</v>
      </c>
      <c r="B65" t="s">
        <v>21</v>
      </c>
      <c r="C65" t="str">
        <f t="shared" si="0"/>
        <v>.X</v>
      </c>
      <c r="D65" t="s">
        <v>832</v>
      </c>
      <c r="E65" t="s">
        <v>99</v>
      </c>
      <c r="F65" t="s">
        <v>833</v>
      </c>
      <c r="G65" t="s">
        <v>884</v>
      </c>
      <c r="H65" t="s">
        <v>885</v>
      </c>
      <c r="I65" t="s">
        <v>1654</v>
      </c>
      <c r="J65" t="s">
        <v>1826</v>
      </c>
      <c r="K65" t="s">
        <v>888</v>
      </c>
      <c r="L65" t="s">
        <v>889</v>
      </c>
    </row>
    <row r="66" spans="1:12" x14ac:dyDescent="0.2">
      <c r="A66" t="s">
        <v>89</v>
      </c>
      <c r="B66" t="s">
        <v>21</v>
      </c>
      <c r="C66" t="str">
        <f t="shared" si="0"/>
        <v>.X</v>
      </c>
      <c r="D66" t="s">
        <v>840</v>
      </c>
      <c r="E66" t="s">
        <v>100</v>
      </c>
      <c r="F66" t="s">
        <v>841</v>
      </c>
      <c r="G66" t="s">
        <v>890</v>
      </c>
      <c r="H66" t="s">
        <v>891</v>
      </c>
      <c r="I66" t="s">
        <v>1655</v>
      </c>
      <c r="J66" t="s">
        <v>1827</v>
      </c>
      <c r="K66" t="s">
        <v>894</v>
      </c>
      <c r="L66" t="s">
        <v>895</v>
      </c>
    </row>
    <row r="67" spans="1:12" x14ac:dyDescent="0.2">
      <c r="A67" t="s">
        <v>91</v>
      </c>
      <c r="B67" t="s">
        <v>21</v>
      </c>
      <c r="C67" t="str">
        <f t="shared" ref="C67:C130" si="1">IF(B67="Triều Lên",".L",IF(B67="Triều Xuống",".X","."&amp;B67))</f>
        <v>.X</v>
      </c>
      <c r="D67" t="s">
        <v>848</v>
      </c>
      <c r="E67" t="s">
        <v>101</v>
      </c>
      <c r="F67" t="s">
        <v>849</v>
      </c>
      <c r="G67" t="s">
        <v>896</v>
      </c>
      <c r="H67" t="s">
        <v>897</v>
      </c>
      <c r="I67" t="s">
        <v>1656</v>
      </c>
      <c r="J67" t="s">
        <v>1828</v>
      </c>
      <c r="K67" t="s">
        <v>900</v>
      </c>
      <c r="L67" t="s">
        <v>901</v>
      </c>
    </row>
    <row r="68" spans="1:12" x14ac:dyDescent="0.2">
      <c r="A68" t="s">
        <v>93</v>
      </c>
      <c r="B68" t="s">
        <v>21</v>
      </c>
      <c r="C68" t="str">
        <f t="shared" si="1"/>
        <v>.X</v>
      </c>
      <c r="D68" t="s">
        <v>856</v>
      </c>
      <c r="E68" t="s">
        <v>102</v>
      </c>
      <c r="F68" t="s">
        <v>857</v>
      </c>
      <c r="G68" t="s">
        <v>902</v>
      </c>
      <c r="H68" t="s">
        <v>903</v>
      </c>
      <c r="I68" t="s">
        <v>1657</v>
      </c>
      <c r="J68" t="s">
        <v>1829</v>
      </c>
      <c r="K68" t="s">
        <v>906</v>
      </c>
      <c r="L68" t="s">
        <v>907</v>
      </c>
    </row>
    <row r="69" spans="1:12" x14ac:dyDescent="0.2">
      <c r="A69" t="s">
        <v>95</v>
      </c>
      <c r="B69" t="s">
        <v>21</v>
      </c>
      <c r="C69" t="str">
        <f t="shared" si="1"/>
        <v>.X</v>
      </c>
      <c r="D69" t="s">
        <v>864</v>
      </c>
      <c r="E69" t="s">
        <v>103</v>
      </c>
      <c r="F69" t="s">
        <v>865</v>
      </c>
      <c r="G69" t="s">
        <v>908</v>
      </c>
      <c r="H69" t="s">
        <v>909</v>
      </c>
      <c r="I69" t="s">
        <v>1658</v>
      </c>
      <c r="J69" t="s">
        <v>1830</v>
      </c>
      <c r="K69" t="s">
        <v>912</v>
      </c>
      <c r="L69" t="s">
        <v>913</v>
      </c>
    </row>
    <row r="70" spans="1:12" x14ac:dyDescent="0.2">
      <c r="A70" t="s">
        <v>104</v>
      </c>
      <c r="B70" t="s">
        <v>1</v>
      </c>
      <c r="C70" t="str">
        <f t="shared" si="1"/>
        <v>.L</v>
      </c>
      <c r="D70" t="s">
        <v>914</v>
      </c>
      <c r="E70" t="s">
        <v>105</v>
      </c>
      <c r="F70" t="s">
        <v>915</v>
      </c>
      <c r="G70" t="s">
        <v>916</v>
      </c>
      <c r="H70" t="s">
        <v>917</v>
      </c>
      <c r="I70" t="s">
        <v>1659</v>
      </c>
      <c r="J70" t="s">
        <v>1831</v>
      </c>
      <c r="K70" t="s">
        <v>920</v>
      </c>
      <c r="L70" t="s">
        <v>921</v>
      </c>
    </row>
    <row r="71" spans="1:12" x14ac:dyDescent="0.2">
      <c r="A71" t="s">
        <v>106</v>
      </c>
      <c r="B71" t="s">
        <v>1</v>
      </c>
      <c r="C71" t="str">
        <f t="shared" si="1"/>
        <v>.L</v>
      </c>
      <c r="D71" t="s">
        <v>922</v>
      </c>
      <c r="E71" t="s">
        <v>107</v>
      </c>
      <c r="F71" t="s">
        <v>923</v>
      </c>
      <c r="G71" t="s">
        <v>924</v>
      </c>
      <c r="H71" t="s">
        <v>925</v>
      </c>
      <c r="I71" t="s">
        <v>1660</v>
      </c>
      <c r="J71" t="s">
        <v>1832</v>
      </c>
      <c r="K71" t="s">
        <v>928</v>
      </c>
      <c r="L71" t="s">
        <v>929</v>
      </c>
    </row>
    <row r="72" spans="1:12" x14ac:dyDescent="0.2">
      <c r="A72" t="s">
        <v>108</v>
      </c>
      <c r="B72" t="s">
        <v>1</v>
      </c>
      <c r="C72" t="str">
        <f t="shared" si="1"/>
        <v>.L</v>
      </c>
      <c r="D72" t="s">
        <v>930</v>
      </c>
      <c r="E72" t="s">
        <v>109</v>
      </c>
      <c r="F72" t="s">
        <v>931</v>
      </c>
      <c r="G72" t="s">
        <v>932</v>
      </c>
      <c r="H72" t="s">
        <v>933</v>
      </c>
      <c r="I72" t="s">
        <v>1661</v>
      </c>
      <c r="J72" t="s">
        <v>1833</v>
      </c>
      <c r="K72" t="s">
        <v>936</v>
      </c>
      <c r="L72" t="s">
        <v>937</v>
      </c>
    </row>
    <row r="73" spans="1:12" x14ac:dyDescent="0.2">
      <c r="A73" t="s">
        <v>110</v>
      </c>
      <c r="B73" t="s">
        <v>1</v>
      </c>
      <c r="C73" t="str">
        <f t="shared" si="1"/>
        <v>.L</v>
      </c>
      <c r="D73" t="s">
        <v>938</v>
      </c>
      <c r="E73" t="s">
        <v>111</v>
      </c>
      <c r="F73" t="s">
        <v>939</v>
      </c>
      <c r="G73" t="s">
        <v>940</v>
      </c>
      <c r="H73" t="s">
        <v>941</v>
      </c>
      <c r="I73" t="s">
        <v>1662</v>
      </c>
      <c r="J73" t="s">
        <v>1834</v>
      </c>
      <c r="K73" t="s">
        <v>944</v>
      </c>
      <c r="L73" t="s">
        <v>945</v>
      </c>
    </row>
    <row r="74" spans="1:12" x14ac:dyDescent="0.2">
      <c r="A74" t="s">
        <v>112</v>
      </c>
      <c r="B74" t="s">
        <v>1</v>
      </c>
      <c r="C74" t="str">
        <f t="shared" si="1"/>
        <v>.L</v>
      </c>
      <c r="D74" t="s">
        <v>946</v>
      </c>
      <c r="E74" t="s">
        <v>113</v>
      </c>
      <c r="F74" t="s">
        <v>947</v>
      </c>
      <c r="G74" t="s">
        <v>462</v>
      </c>
      <c r="H74" t="s">
        <v>463</v>
      </c>
      <c r="I74" t="s">
        <v>1663</v>
      </c>
      <c r="J74" t="s">
        <v>1835</v>
      </c>
      <c r="K74" t="s">
        <v>950</v>
      </c>
      <c r="L74" t="s">
        <v>951</v>
      </c>
    </row>
    <row r="75" spans="1:12" x14ac:dyDescent="0.2">
      <c r="A75" t="s">
        <v>114</v>
      </c>
      <c r="B75" t="s">
        <v>1</v>
      </c>
      <c r="C75" t="str">
        <f t="shared" si="1"/>
        <v>.L</v>
      </c>
      <c r="D75" t="s">
        <v>952</v>
      </c>
      <c r="E75" t="s">
        <v>115</v>
      </c>
      <c r="F75" t="s">
        <v>953</v>
      </c>
      <c r="G75" t="s">
        <v>464</v>
      </c>
      <c r="H75" t="s">
        <v>465</v>
      </c>
      <c r="I75" t="s">
        <v>1664</v>
      </c>
      <c r="J75" t="s">
        <v>1836</v>
      </c>
      <c r="K75" t="s">
        <v>956</v>
      </c>
      <c r="L75" t="s">
        <v>957</v>
      </c>
    </row>
    <row r="76" spans="1:12" x14ac:dyDescent="0.2">
      <c r="A76" t="s">
        <v>116</v>
      </c>
      <c r="B76" t="s">
        <v>1</v>
      </c>
      <c r="C76" t="str">
        <f t="shared" si="1"/>
        <v>.L</v>
      </c>
      <c r="D76" t="s">
        <v>958</v>
      </c>
      <c r="E76" t="s">
        <v>117</v>
      </c>
      <c r="F76" t="s">
        <v>959</v>
      </c>
      <c r="G76" t="s">
        <v>466</v>
      </c>
      <c r="H76" t="s">
        <v>467</v>
      </c>
      <c r="I76" t="s">
        <v>1665</v>
      </c>
      <c r="J76" t="s">
        <v>1837</v>
      </c>
      <c r="K76" t="s">
        <v>962</v>
      </c>
      <c r="L76" t="s">
        <v>963</v>
      </c>
    </row>
    <row r="77" spans="1:12" x14ac:dyDescent="0.2">
      <c r="A77" t="s">
        <v>104</v>
      </c>
      <c r="B77" t="s">
        <v>21</v>
      </c>
      <c r="C77" t="str">
        <f t="shared" si="1"/>
        <v>.X</v>
      </c>
      <c r="D77" t="s">
        <v>914</v>
      </c>
      <c r="E77" t="s">
        <v>118</v>
      </c>
      <c r="F77" t="s">
        <v>915</v>
      </c>
      <c r="G77" t="s">
        <v>964</v>
      </c>
      <c r="H77" t="s">
        <v>965</v>
      </c>
      <c r="I77" t="s">
        <v>1666</v>
      </c>
      <c r="J77" t="s">
        <v>1838</v>
      </c>
      <c r="K77" t="s">
        <v>968</v>
      </c>
      <c r="L77" t="s">
        <v>969</v>
      </c>
    </row>
    <row r="78" spans="1:12" x14ac:dyDescent="0.2">
      <c r="A78" t="s">
        <v>106</v>
      </c>
      <c r="B78" t="s">
        <v>21</v>
      </c>
      <c r="C78" t="str">
        <f t="shared" si="1"/>
        <v>.X</v>
      </c>
      <c r="D78" t="s">
        <v>922</v>
      </c>
      <c r="E78" t="s">
        <v>119</v>
      </c>
      <c r="F78" t="s">
        <v>923</v>
      </c>
      <c r="G78" t="s">
        <v>970</v>
      </c>
      <c r="H78" t="s">
        <v>971</v>
      </c>
      <c r="I78" t="s">
        <v>1667</v>
      </c>
      <c r="J78" t="s">
        <v>1839</v>
      </c>
      <c r="K78" t="s">
        <v>974</v>
      </c>
      <c r="L78" t="s">
        <v>975</v>
      </c>
    </row>
    <row r="79" spans="1:12" x14ac:dyDescent="0.2">
      <c r="A79" t="s">
        <v>108</v>
      </c>
      <c r="B79" t="s">
        <v>21</v>
      </c>
      <c r="C79" t="str">
        <f t="shared" si="1"/>
        <v>.X</v>
      </c>
      <c r="D79" t="s">
        <v>930</v>
      </c>
      <c r="E79" t="s">
        <v>120</v>
      </c>
      <c r="F79" t="s">
        <v>931</v>
      </c>
      <c r="G79" t="s">
        <v>976</v>
      </c>
      <c r="H79" t="s">
        <v>977</v>
      </c>
      <c r="I79" t="s">
        <v>1668</v>
      </c>
      <c r="J79" t="s">
        <v>1840</v>
      </c>
      <c r="K79" t="s">
        <v>980</v>
      </c>
      <c r="L79" t="s">
        <v>981</v>
      </c>
    </row>
    <row r="80" spans="1:12" x14ac:dyDescent="0.2">
      <c r="A80" t="s">
        <v>110</v>
      </c>
      <c r="B80" t="s">
        <v>21</v>
      </c>
      <c r="C80" t="str">
        <f t="shared" si="1"/>
        <v>.X</v>
      </c>
      <c r="D80" t="s">
        <v>938</v>
      </c>
      <c r="E80" t="s">
        <v>121</v>
      </c>
      <c r="F80" t="s">
        <v>939</v>
      </c>
      <c r="G80" t="s">
        <v>982</v>
      </c>
      <c r="H80" t="s">
        <v>983</v>
      </c>
      <c r="I80" t="s">
        <v>1669</v>
      </c>
      <c r="J80" t="s">
        <v>1841</v>
      </c>
      <c r="K80" t="s">
        <v>986</v>
      </c>
      <c r="L80" t="s">
        <v>987</v>
      </c>
    </row>
    <row r="81" spans="1:12" x14ac:dyDescent="0.2">
      <c r="A81" t="s">
        <v>112</v>
      </c>
      <c r="B81" t="s">
        <v>21</v>
      </c>
      <c r="C81" t="str">
        <f t="shared" si="1"/>
        <v>.X</v>
      </c>
      <c r="D81" t="s">
        <v>946</v>
      </c>
      <c r="E81" t="s">
        <v>122</v>
      </c>
      <c r="F81" t="s">
        <v>947</v>
      </c>
      <c r="G81" t="s">
        <v>468</v>
      </c>
      <c r="H81" t="s">
        <v>469</v>
      </c>
      <c r="I81" t="s">
        <v>1670</v>
      </c>
      <c r="J81" t="s">
        <v>1842</v>
      </c>
      <c r="K81" t="s">
        <v>990</v>
      </c>
      <c r="L81" t="s">
        <v>991</v>
      </c>
    </row>
    <row r="82" spans="1:12" x14ac:dyDescent="0.2">
      <c r="A82" t="s">
        <v>114</v>
      </c>
      <c r="B82" t="s">
        <v>21</v>
      </c>
      <c r="C82" t="str">
        <f t="shared" si="1"/>
        <v>.X</v>
      </c>
      <c r="D82" t="s">
        <v>952</v>
      </c>
      <c r="E82" t="s">
        <v>123</v>
      </c>
      <c r="F82" t="s">
        <v>953</v>
      </c>
      <c r="G82" t="s">
        <v>470</v>
      </c>
      <c r="H82" t="s">
        <v>471</v>
      </c>
      <c r="I82" t="s">
        <v>1671</v>
      </c>
      <c r="J82" t="s">
        <v>1843</v>
      </c>
      <c r="K82" t="s">
        <v>994</v>
      </c>
      <c r="L82" t="s">
        <v>995</v>
      </c>
    </row>
    <row r="83" spans="1:12" x14ac:dyDescent="0.2">
      <c r="A83" t="s">
        <v>116</v>
      </c>
      <c r="B83" t="s">
        <v>21</v>
      </c>
      <c r="C83" t="str">
        <f t="shared" si="1"/>
        <v>.X</v>
      </c>
      <c r="D83" t="s">
        <v>958</v>
      </c>
      <c r="E83" t="s">
        <v>124</v>
      </c>
      <c r="F83" t="s">
        <v>959</v>
      </c>
      <c r="G83" t="s">
        <v>472</v>
      </c>
      <c r="H83" t="s">
        <v>473</v>
      </c>
      <c r="I83" t="s">
        <v>1672</v>
      </c>
      <c r="J83" t="s">
        <v>1844</v>
      </c>
      <c r="K83" t="s">
        <v>998</v>
      </c>
      <c r="L83" t="s">
        <v>999</v>
      </c>
    </row>
    <row r="84" spans="1:12" x14ac:dyDescent="0.2">
      <c r="A84" t="s">
        <v>125</v>
      </c>
      <c r="B84" t="s">
        <v>1</v>
      </c>
      <c r="C84" t="str">
        <f t="shared" si="1"/>
        <v>.L</v>
      </c>
      <c r="D84" t="s">
        <v>1000</v>
      </c>
      <c r="E84" t="s">
        <v>126</v>
      </c>
      <c r="F84" t="s">
        <v>1001</v>
      </c>
      <c r="G84" t="s">
        <v>442</v>
      </c>
      <c r="H84" t="s">
        <v>443</v>
      </c>
      <c r="I84" t="s">
        <v>1673</v>
      </c>
      <c r="J84" t="s">
        <v>1845</v>
      </c>
      <c r="K84" t="s">
        <v>1004</v>
      </c>
      <c r="L84" t="s">
        <v>1005</v>
      </c>
    </row>
    <row r="85" spans="1:12" x14ac:dyDescent="0.2">
      <c r="A85" t="s">
        <v>127</v>
      </c>
      <c r="B85" t="s">
        <v>1</v>
      </c>
      <c r="C85" t="str">
        <f t="shared" si="1"/>
        <v>.L</v>
      </c>
      <c r="D85" t="s">
        <v>1006</v>
      </c>
      <c r="E85" t="s">
        <v>128</v>
      </c>
      <c r="F85" t="s">
        <v>1007</v>
      </c>
      <c r="G85" t="s">
        <v>444</v>
      </c>
      <c r="H85" t="s">
        <v>445</v>
      </c>
      <c r="I85" t="s">
        <v>1674</v>
      </c>
      <c r="J85" t="s">
        <v>1846</v>
      </c>
      <c r="K85" t="s">
        <v>1010</v>
      </c>
      <c r="L85" t="s">
        <v>1011</v>
      </c>
    </row>
    <row r="86" spans="1:12" x14ac:dyDescent="0.2">
      <c r="A86" t="s">
        <v>129</v>
      </c>
      <c r="B86" t="s">
        <v>1</v>
      </c>
      <c r="C86" t="str">
        <f t="shared" si="1"/>
        <v>.L</v>
      </c>
      <c r="D86" t="s">
        <v>1012</v>
      </c>
      <c r="E86" t="s">
        <v>130</v>
      </c>
      <c r="F86" t="s">
        <v>1013</v>
      </c>
      <c r="G86" t="s">
        <v>446</v>
      </c>
      <c r="H86" t="s">
        <v>447</v>
      </c>
      <c r="I86" t="s">
        <v>1675</v>
      </c>
      <c r="J86" t="s">
        <v>1847</v>
      </c>
      <c r="K86" t="s">
        <v>1016</v>
      </c>
      <c r="L86" t="s">
        <v>1017</v>
      </c>
    </row>
    <row r="87" spans="1:12" x14ac:dyDescent="0.2">
      <c r="A87" t="s">
        <v>131</v>
      </c>
      <c r="B87" t="s">
        <v>1</v>
      </c>
      <c r="C87" t="str">
        <f t="shared" si="1"/>
        <v>.L</v>
      </c>
      <c r="D87" t="s">
        <v>1018</v>
      </c>
      <c r="E87" t="s">
        <v>132</v>
      </c>
      <c r="F87" t="s">
        <v>1019</v>
      </c>
      <c r="G87" t="s">
        <v>448</v>
      </c>
      <c r="H87" t="s">
        <v>449</v>
      </c>
      <c r="I87" t="s">
        <v>1676</v>
      </c>
      <c r="J87" t="s">
        <v>1848</v>
      </c>
      <c r="K87" t="s">
        <v>1022</v>
      </c>
      <c r="L87" t="s">
        <v>1023</v>
      </c>
    </row>
    <row r="88" spans="1:12" x14ac:dyDescent="0.2">
      <c r="A88" t="s">
        <v>133</v>
      </c>
      <c r="B88" t="s">
        <v>1</v>
      </c>
      <c r="C88" t="str">
        <f t="shared" si="1"/>
        <v>.L</v>
      </c>
      <c r="D88" t="s">
        <v>1024</v>
      </c>
      <c r="E88" t="s">
        <v>134</v>
      </c>
      <c r="F88" t="s">
        <v>1025</v>
      </c>
      <c r="G88" t="s">
        <v>294</v>
      </c>
      <c r="H88" t="s">
        <v>295</v>
      </c>
      <c r="I88" t="s">
        <v>1580</v>
      </c>
      <c r="J88" t="s">
        <v>1849</v>
      </c>
      <c r="K88" t="s">
        <v>1028</v>
      </c>
      <c r="L88" t="s">
        <v>1029</v>
      </c>
    </row>
    <row r="89" spans="1:12" x14ac:dyDescent="0.2">
      <c r="A89" t="s">
        <v>135</v>
      </c>
      <c r="B89" t="s">
        <v>1</v>
      </c>
      <c r="C89" t="str">
        <f t="shared" si="1"/>
        <v>.L</v>
      </c>
      <c r="D89" t="s">
        <v>1030</v>
      </c>
      <c r="E89" t="s">
        <v>136</v>
      </c>
      <c r="F89" t="s">
        <v>1031</v>
      </c>
      <c r="G89" t="s">
        <v>296</v>
      </c>
      <c r="H89" t="s">
        <v>297</v>
      </c>
      <c r="I89" t="s">
        <v>1677</v>
      </c>
      <c r="J89" t="s">
        <v>1850</v>
      </c>
      <c r="K89" t="s">
        <v>1034</v>
      </c>
      <c r="L89" t="s">
        <v>1035</v>
      </c>
    </row>
    <row r="90" spans="1:12" x14ac:dyDescent="0.2">
      <c r="A90" t="s">
        <v>137</v>
      </c>
      <c r="B90" t="s">
        <v>1</v>
      </c>
      <c r="C90" t="str">
        <f t="shared" si="1"/>
        <v>.L</v>
      </c>
      <c r="D90" t="s">
        <v>1036</v>
      </c>
      <c r="E90" t="s">
        <v>138</v>
      </c>
      <c r="F90" t="s">
        <v>1037</v>
      </c>
      <c r="G90" t="s">
        <v>300</v>
      </c>
      <c r="H90" t="s">
        <v>301</v>
      </c>
      <c r="I90" t="s">
        <v>1678</v>
      </c>
      <c r="J90" t="s">
        <v>1851</v>
      </c>
      <c r="K90" t="s">
        <v>1040</v>
      </c>
      <c r="L90" t="s">
        <v>1041</v>
      </c>
    </row>
    <row r="91" spans="1:12" x14ac:dyDescent="0.2">
      <c r="A91" t="s">
        <v>125</v>
      </c>
      <c r="B91" t="s">
        <v>21</v>
      </c>
      <c r="C91" t="str">
        <f t="shared" si="1"/>
        <v>.X</v>
      </c>
      <c r="D91" t="s">
        <v>1000</v>
      </c>
      <c r="E91" t="s">
        <v>139</v>
      </c>
      <c r="F91" t="s">
        <v>1001</v>
      </c>
      <c r="G91" t="s">
        <v>450</v>
      </c>
      <c r="H91" t="s">
        <v>451</v>
      </c>
      <c r="I91" t="s">
        <v>1587</v>
      </c>
      <c r="J91" t="s">
        <v>1588</v>
      </c>
      <c r="K91" t="s">
        <v>1044</v>
      </c>
      <c r="L91" t="s">
        <v>1045</v>
      </c>
    </row>
    <row r="92" spans="1:12" x14ac:dyDescent="0.2">
      <c r="A92" t="s">
        <v>127</v>
      </c>
      <c r="B92" t="s">
        <v>21</v>
      </c>
      <c r="C92" t="str">
        <f t="shared" si="1"/>
        <v>.X</v>
      </c>
      <c r="D92" t="s">
        <v>1006</v>
      </c>
      <c r="E92" t="s">
        <v>140</v>
      </c>
      <c r="F92" t="s">
        <v>1007</v>
      </c>
      <c r="G92" t="s">
        <v>452</v>
      </c>
      <c r="H92" t="s">
        <v>453</v>
      </c>
      <c r="I92" t="s">
        <v>1679</v>
      </c>
      <c r="J92" t="s">
        <v>1852</v>
      </c>
      <c r="K92" t="s">
        <v>1048</v>
      </c>
      <c r="L92" t="s">
        <v>1049</v>
      </c>
    </row>
    <row r="93" spans="1:12" x14ac:dyDescent="0.2">
      <c r="A93" t="s">
        <v>129</v>
      </c>
      <c r="B93" t="s">
        <v>21</v>
      </c>
      <c r="C93" t="str">
        <f t="shared" si="1"/>
        <v>.X</v>
      </c>
      <c r="D93" t="s">
        <v>1012</v>
      </c>
      <c r="E93" t="s">
        <v>141</v>
      </c>
      <c r="F93" t="s">
        <v>1013</v>
      </c>
      <c r="G93" t="s">
        <v>454</v>
      </c>
      <c r="H93" t="s">
        <v>455</v>
      </c>
      <c r="I93" t="s">
        <v>1680</v>
      </c>
      <c r="J93" t="s">
        <v>1853</v>
      </c>
      <c r="K93" t="s">
        <v>1052</v>
      </c>
      <c r="L93" t="s">
        <v>1053</v>
      </c>
    </row>
    <row r="94" spans="1:12" x14ac:dyDescent="0.2">
      <c r="A94" t="s">
        <v>131</v>
      </c>
      <c r="B94" t="s">
        <v>21</v>
      </c>
      <c r="C94" t="str">
        <f t="shared" si="1"/>
        <v>.X</v>
      </c>
      <c r="D94" t="s">
        <v>1018</v>
      </c>
      <c r="E94" t="s">
        <v>142</v>
      </c>
      <c r="F94" t="s">
        <v>1019</v>
      </c>
      <c r="G94" t="s">
        <v>456</v>
      </c>
      <c r="H94" t="s">
        <v>457</v>
      </c>
      <c r="I94" t="s">
        <v>1681</v>
      </c>
      <c r="J94" t="s">
        <v>1854</v>
      </c>
      <c r="K94" t="s">
        <v>1056</v>
      </c>
      <c r="L94" t="s">
        <v>1057</v>
      </c>
    </row>
    <row r="95" spans="1:12" x14ac:dyDescent="0.2">
      <c r="A95" t="s">
        <v>133</v>
      </c>
      <c r="B95" t="s">
        <v>21</v>
      </c>
      <c r="C95" t="str">
        <f t="shared" si="1"/>
        <v>.X</v>
      </c>
      <c r="D95" t="s">
        <v>1024</v>
      </c>
      <c r="E95" t="s">
        <v>143</v>
      </c>
      <c r="F95" t="s">
        <v>1025</v>
      </c>
      <c r="G95" t="s">
        <v>302</v>
      </c>
      <c r="H95" t="s">
        <v>303</v>
      </c>
      <c r="I95" t="s">
        <v>1682</v>
      </c>
      <c r="J95" t="s">
        <v>1855</v>
      </c>
      <c r="K95" t="s">
        <v>1060</v>
      </c>
      <c r="L95" t="s">
        <v>1061</v>
      </c>
    </row>
    <row r="96" spans="1:12" x14ac:dyDescent="0.2">
      <c r="A96" t="s">
        <v>135</v>
      </c>
      <c r="B96" t="s">
        <v>21</v>
      </c>
      <c r="C96" t="str">
        <f t="shared" si="1"/>
        <v>.X</v>
      </c>
      <c r="D96" t="s">
        <v>1030</v>
      </c>
      <c r="E96" t="s">
        <v>144</v>
      </c>
      <c r="F96" t="s">
        <v>1031</v>
      </c>
      <c r="G96" t="s">
        <v>304</v>
      </c>
      <c r="H96" t="s">
        <v>305</v>
      </c>
      <c r="I96" t="s">
        <v>1683</v>
      </c>
      <c r="J96" t="s">
        <v>1856</v>
      </c>
      <c r="K96" t="s">
        <v>1064</v>
      </c>
      <c r="L96" t="s">
        <v>1065</v>
      </c>
    </row>
    <row r="97" spans="1:12" x14ac:dyDescent="0.2">
      <c r="A97" t="s">
        <v>137</v>
      </c>
      <c r="B97" t="s">
        <v>21</v>
      </c>
      <c r="C97" t="str">
        <f t="shared" si="1"/>
        <v>.X</v>
      </c>
      <c r="D97" t="s">
        <v>1036</v>
      </c>
      <c r="E97" t="s">
        <v>145</v>
      </c>
      <c r="F97" t="s">
        <v>1037</v>
      </c>
      <c r="G97" t="s">
        <v>308</v>
      </c>
      <c r="H97" t="s">
        <v>309</v>
      </c>
      <c r="I97" t="s">
        <v>1684</v>
      </c>
      <c r="J97" t="s">
        <v>1857</v>
      </c>
      <c r="K97" t="s">
        <v>1068</v>
      </c>
      <c r="L97" t="s">
        <v>1069</v>
      </c>
    </row>
    <row r="98" spans="1:12" x14ac:dyDescent="0.2">
      <c r="A98" t="s">
        <v>146</v>
      </c>
      <c r="B98" t="s">
        <v>1</v>
      </c>
      <c r="C98" t="str">
        <f t="shared" si="1"/>
        <v>.L</v>
      </c>
      <c r="D98" t="s">
        <v>1070</v>
      </c>
      <c r="E98" t="s">
        <v>147</v>
      </c>
      <c r="F98" t="s">
        <v>1071</v>
      </c>
      <c r="G98" t="s">
        <v>370</v>
      </c>
      <c r="H98" t="s">
        <v>371</v>
      </c>
      <c r="I98" t="s">
        <v>1593</v>
      </c>
      <c r="J98" t="s">
        <v>1594</v>
      </c>
      <c r="K98" t="s">
        <v>1074</v>
      </c>
      <c r="L98" t="s">
        <v>1075</v>
      </c>
    </row>
    <row r="99" spans="1:12" x14ac:dyDescent="0.2">
      <c r="A99" t="s">
        <v>148</v>
      </c>
      <c r="B99" t="s">
        <v>1</v>
      </c>
      <c r="C99" t="str">
        <f t="shared" si="1"/>
        <v>.L</v>
      </c>
      <c r="D99" t="s">
        <v>1076</v>
      </c>
      <c r="E99" t="s">
        <v>149</v>
      </c>
      <c r="F99" t="s">
        <v>1077</v>
      </c>
      <c r="G99" t="s">
        <v>372</v>
      </c>
      <c r="H99" t="s">
        <v>373</v>
      </c>
      <c r="I99" t="s">
        <v>1685</v>
      </c>
      <c r="J99" t="s">
        <v>1858</v>
      </c>
      <c r="K99" t="s">
        <v>1080</v>
      </c>
      <c r="L99" t="s">
        <v>1081</v>
      </c>
    </row>
    <row r="100" spans="1:12" x14ac:dyDescent="0.2">
      <c r="A100" t="s">
        <v>150</v>
      </c>
      <c r="B100" t="s">
        <v>1</v>
      </c>
      <c r="C100" t="str">
        <f t="shared" si="1"/>
        <v>.L</v>
      </c>
      <c r="D100" t="s">
        <v>1082</v>
      </c>
      <c r="E100" t="s">
        <v>151</v>
      </c>
      <c r="F100" t="s">
        <v>1083</v>
      </c>
      <c r="G100" t="s">
        <v>374</v>
      </c>
      <c r="H100" t="s">
        <v>375</v>
      </c>
      <c r="I100" t="s">
        <v>1686</v>
      </c>
      <c r="J100" t="s">
        <v>1859</v>
      </c>
      <c r="K100" t="s">
        <v>1086</v>
      </c>
      <c r="L100" t="s">
        <v>1087</v>
      </c>
    </row>
    <row r="101" spans="1:12" x14ac:dyDescent="0.2">
      <c r="A101" t="s">
        <v>152</v>
      </c>
      <c r="B101" t="s">
        <v>1</v>
      </c>
      <c r="C101" t="str">
        <f t="shared" si="1"/>
        <v>.L</v>
      </c>
      <c r="D101" t="s">
        <v>1088</v>
      </c>
      <c r="E101" t="s">
        <v>153</v>
      </c>
      <c r="F101" t="s">
        <v>1089</v>
      </c>
      <c r="G101" t="s">
        <v>376</v>
      </c>
      <c r="H101" t="s">
        <v>377</v>
      </c>
      <c r="I101" t="s">
        <v>1687</v>
      </c>
      <c r="J101" t="s">
        <v>1860</v>
      </c>
      <c r="K101" t="s">
        <v>1092</v>
      </c>
      <c r="L101" t="s">
        <v>1093</v>
      </c>
    </row>
    <row r="102" spans="1:12" x14ac:dyDescent="0.2">
      <c r="A102" t="s">
        <v>154</v>
      </c>
      <c r="B102" t="s">
        <v>1</v>
      </c>
      <c r="C102" t="str">
        <f t="shared" si="1"/>
        <v>.L</v>
      </c>
      <c r="D102" t="s">
        <v>1094</v>
      </c>
      <c r="E102" t="s">
        <v>155</v>
      </c>
      <c r="F102" t="s">
        <v>1095</v>
      </c>
      <c r="G102" t="s">
        <v>386</v>
      </c>
      <c r="H102" t="s">
        <v>387</v>
      </c>
      <c r="I102" t="s">
        <v>1591</v>
      </c>
      <c r="J102" t="s">
        <v>1592</v>
      </c>
      <c r="K102" t="s">
        <v>1098</v>
      </c>
      <c r="L102" t="s">
        <v>1099</v>
      </c>
    </row>
    <row r="103" spans="1:12" x14ac:dyDescent="0.2">
      <c r="A103" t="s">
        <v>156</v>
      </c>
      <c r="B103" t="s">
        <v>1</v>
      </c>
      <c r="C103" t="str">
        <f t="shared" si="1"/>
        <v>.L</v>
      </c>
      <c r="D103" t="s">
        <v>1100</v>
      </c>
      <c r="E103" t="s">
        <v>157</v>
      </c>
      <c r="F103" t="s">
        <v>1101</v>
      </c>
      <c r="G103" t="s">
        <v>388</v>
      </c>
      <c r="H103" t="s">
        <v>389</v>
      </c>
      <c r="I103" t="s">
        <v>1688</v>
      </c>
      <c r="J103" t="s">
        <v>1861</v>
      </c>
      <c r="K103" t="s">
        <v>1104</v>
      </c>
      <c r="L103" t="s">
        <v>1105</v>
      </c>
    </row>
    <row r="104" spans="1:12" x14ac:dyDescent="0.2">
      <c r="A104" t="s">
        <v>158</v>
      </c>
      <c r="B104" t="s">
        <v>1</v>
      </c>
      <c r="C104" t="str">
        <f t="shared" si="1"/>
        <v>.L</v>
      </c>
      <c r="D104" t="s">
        <v>1106</v>
      </c>
      <c r="E104" t="s">
        <v>159</v>
      </c>
      <c r="F104" t="s">
        <v>1107</v>
      </c>
      <c r="G104" t="s">
        <v>390</v>
      </c>
      <c r="H104" t="s">
        <v>391</v>
      </c>
      <c r="I104" t="s">
        <v>1689</v>
      </c>
      <c r="J104" t="s">
        <v>1862</v>
      </c>
      <c r="K104" t="s">
        <v>1110</v>
      </c>
      <c r="L104" t="s">
        <v>1111</v>
      </c>
    </row>
    <row r="105" spans="1:12" x14ac:dyDescent="0.2">
      <c r="A105" t="s">
        <v>160</v>
      </c>
      <c r="B105" t="s">
        <v>1</v>
      </c>
      <c r="C105" t="str">
        <f t="shared" si="1"/>
        <v>.L</v>
      </c>
      <c r="D105" t="s">
        <v>1112</v>
      </c>
      <c r="E105" t="s">
        <v>161</v>
      </c>
      <c r="F105" t="s">
        <v>1113</v>
      </c>
      <c r="G105" t="s">
        <v>392</v>
      </c>
      <c r="H105" t="s">
        <v>393</v>
      </c>
      <c r="I105" t="s">
        <v>1585</v>
      </c>
      <c r="J105" t="s">
        <v>1863</v>
      </c>
      <c r="K105" t="s">
        <v>1116</v>
      </c>
      <c r="L105" t="s">
        <v>1117</v>
      </c>
    </row>
    <row r="106" spans="1:12" x14ac:dyDescent="0.2">
      <c r="A106" t="s">
        <v>146</v>
      </c>
      <c r="B106" t="s">
        <v>21</v>
      </c>
      <c r="C106" t="str">
        <f t="shared" si="1"/>
        <v>.X</v>
      </c>
      <c r="D106" t="s">
        <v>1070</v>
      </c>
      <c r="E106" t="s">
        <v>162</v>
      </c>
      <c r="F106" t="s">
        <v>1071</v>
      </c>
      <c r="G106" t="s">
        <v>378</v>
      </c>
      <c r="H106" t="s">
        <v>379</v>
      </c>
      <c r="I106" t="s">
        <v>1584</v>
      </c>
      <c r="J106" t="s">
        <v>1864</v>
      </c>
      <c r="K106" t="s">
        <v>1120</v>
      </c>
      <c r="L106" t="s">
        <v>1121</v>
      </c>
    </row>
    <row r="107" spans="1:12" x14ac:dyDescent="0.2">
      <c r="A107" t="s">
        <v>148</v>
      </c>
      <c r="B107" t="s">
        <v>21</v>
      </c>
      <c r="C107" t="str">
        <f t="shared" si="1"/>
        <v>.X</v>
      </c>
      <c r="D107" t="s">
        <v>1076</v>
      </c>
      <c r="E107" t="s">
        <v>163</v>
      </c>
      <c r="F107" t="s">
        <v>1077</v>
      </c>
      <c r="G107" t="s">
        <v>380</v>
      </c>
      <c r="H107" t="s">
        <v>381</v>
      </c>
      <c r="I107" t="s">
        <v>1690</v>
      </c>
      <c r="J107" t="s">
        <v>1865</v>
      </c>
      <c r="K107" t="s">
        <v>1124</v>
      </c>
      <c r="L107" t="s">
        <v>1125</v>
      </c>
    </row>
    <row r="108" spans="1:12" x14ac:dyDescent="0.2">
      <c r="A108" t="s">
        <v>150</v>
      </c>
      <c r="B108" t="s">
        <v>21</v>
      </c>
      <c r="C108" t="str">
        <f t="shared" si="1"/>
        <v>.X</v>
      </c>
      <c r="D108" t="s">
        <v>1082</v>
      </c>
      <c r="E108" t="s">
        <v>164</v>
      </c>
      <c r="F108" t="s">
        <v>1083</v>
      </c>
      <c r="G108" t="s">
        <v>382</v>
      </c>
      <c r="H108" t="s">
        <v>383</v>
      </c>
      <c r="I108" t="s">
        <v>1691</v>
      </c>
      <c r="J108" t="s">
        <v>1866</v>
      </c>
      <c r="K108" t="s">
        <v>1128</v>
      </c>
      <c r="L108" t="s">
        <v>1129</v>
      </c>
    </row>
    <row r="109" spans="1:12" x14ac:dyDescent="0.2">
      <c r="A109" t="s">
        <v>152</v>
      </c>
      <c r="B109" t="s">
        <v>21</v>
      </c>
      <c r="C109" t="str">
        <f t="shared" si="1"/>
        <v>.X</v>
      </c>
      <c r="D109" t="s">
        <v>1088</v>
      </c>
      <c r="E109" t="s">
        <v>165</v>
      </c>
      <c r="F109" t="s">
        <v>1089</v>
      </c>
      <c r="G109" t="s">
        <v>384</v>
      </c>
      <c r="H109" t="s">
        <v>385</v>
      </c>
      <c r="I109" t="s">
        <v>1692</v>
      </c>
      <c r="J109" t="s">
        <v>1867</v>
      </c>
      <c r="K109" t="s">
        <v>1132</v>
      </c>
      <c r="L109" t="s">
        <v>1133</v>
      </c>
    </row>
    <row r="110" spans="1:12" x14ac:dyDescent="0.2">
      <c r="A110" t="s">
        <v>154</v>
      </c>
      <c r="B110" t="s">
        <v>21</v>
      </c>
      <c r="C110" t="str">
        <f t="shared" si="1"/>
        <v>.X</v>
      </c>
      <c r="D110" t="s">
        <v>1094</v>
      </c>
      <c r="E110" t="s">
        <v>166</v>
      </c>
      <c r="F110" t="s">
        <v>1095</v>
      </c>
      <c r="G110" t="s">
        <v>394</v>
      </c>
      <c r="H110" t="s">
        <v>395</v>
      </c>
      <c r="I110" t="s">
        <v>1693</v>
      </c>
      <c r="J110" t="s">
        <v>1868</v>
      </c>
      <c r="K110" t="s">
        <v>1136</v>
      </c>
      <c r="L110" t="s">
        <v>1137</v>
      </c>
    </row>
    <row r="111" spans="1:12" x14ac:dyDescent="0.2">
      <c r="A111" t="s">
        <v>156</v>
      </c>
      <c r="B111" t="s">
        <v>21</v>
      </c>
      <c r="C111" t="str">
        <f t="shared" si="1"/>
        <v>.X</v>
      </c>
      <c r="D111" t="s">
        <v>1100</v>
      </c>
      <c r="E111" t="s">
        <v>167</v>
      </c>
      <c r="F111" t="s">
        <v>1101</v>
      </c>
      <c r="G111" t="s">
        <v>396</v>
      </c>
      <c r="H111" t="s">
        <v>397</v>
      </c>
      <c r="I111" t="s">
        <v>1694</v>
      </c>
      <c r="J111" t="s">
        <v>1869</v>
      </c>
      <c r="K111" t="s">
        <v>1140</v>
      </c>
      <c r="L111" t="s">
        <v>1141</v>
      </c>
    </row>
    <row r="112" spans="1:12" x14ac:dyDescent="0.2">
      <c r="A112" t="s">
        <v>158</v>
      </c>
      <c r="B112" t="s">
        <v>21</v>
      </c>
      <c r="C112" t="str">
        <f t="shared" si="1"/>
        <v>.X</v>
      </c>
      <c r="D112" t="s">
        <v>1106</v>
      </c>
      <c r="E112" t="s">
        <v>168</v>
      </c>
      <c r="F112" t="s">
        <v>1107</v>
      </c>
      <c r="G112" t="s">
        <v>398</v>
      </c>
      <c r="H112" t="s">
        <v>399</v>
      </c>
      <c r="I112" t="s">
        <v>1695</v>
      </c>
      <c r="J112" t="s">
        <v>1870</v>
      </c>
      <c r="K112" t="s">
        <v>1144</v>
      </c>
      <c r="L112" t="s">
        <v>1145</v>
      </c>
    </row>
    <row r="113" spans="1:12" x14ac:dyDescent="0.2">
      <c r="A113" t="s">
        <v>160</v>
      </c>
      <c r="B113" t="s">
        <v>21</v>
      </c>
      <c r="C113" t="str">
        <f t="shared" si="1"/>
        <v>.X</v>
      </c>
      <c r="D113" t="s">
        <v>1112</v>
      </c>
      <c r="E113" t="s">
        <v>169</v>
      </c>
      <c r="F113" t="s">
        <v>1113</v>
      </c>
      <c r="G113" t="s">
        <v>400</v>
      </c>
      <c r="H113" t="s">
        <v>401</v>
      </c>
      <c r="I113" t="s">
        <v>1696</v>
      </c>
      <c r="J113" t="s">
        <v>1871</v>
      </c>
      <c r="K113" t="s">
        <v>1148</v>
      </c>
      <c r="L113" t="s">
        <v>1149</v>
      </c>
    </row>
    <row r="114" spans="1:12" x14ac:dyDescent="0.2">
      <c r="A114" t="s">
        <v>170</v>
      </c>
      <c r="B114" t="s">
        <v>608</v>
      </c>
      <c r="C114" t="str">
        <f t="shared" si="1"/>
        <v>.01</v>
      </c>
      <c r="D114" t="s">
        <v>1150</v>
      </c>
      <c r="E114" t="s">
        <v>1151</v>
      </c>
      <c r="F114" t="s">
        <v>1152</v>
      </c>
      <c r="G114" t="s">
        <v>402</v>
      </c>
      <c r="H114" t="s">
        <v>403</v>
      </c>
      <c r="I114" t="s">
        <v>1697</v>
      </c>
      <c r="J114" t="s">
        <v>1872</v>
      </c>
      <c r="K114" t="s">
        <v>1155</v>
      </c>
      <c r="L114" t="s">
        <v>1156</v>
      </c>
    </row>
    <row r="115" spans="1:12" x14ac:dyDescent="0.2">
      <c r="A115" t="s">
        <v>172</v>
      </c>
      <c r="B115" t="s">
        <v>608</v>
      </c>
      <c r="C115" t="str">
        <f t="shared" si="1"/>
        <v>.01</v>
      </c>
      <c r="D115" t="s">
        <v>1157</v>
      </c>
      <c r="E115" t="s">
        <v>1158</v>
      </c>
      <c r="F115" t="s">
        <v>1159</v>
      </c>
      <c r="G115" t="s">
        <v>404</v>
      </c>
      <c r="H115" t="s">
        <v>405</v>
      </c>
      <c r="I115" t="s">
        <v>1698</v>
      </c>
      <c r="J115" t="s">
        <v>1873</v>
      </c>
      <c r="K115" t="s">
        <v>1162</v>
      </c>
      <c r="L115" t="s">
        <v>1163</v>
      </c>
    </row>
    <row r="116" spans="1:12" x14ac:dyDescent="0.2">
      <c r="A116" t="s">
        <v>174</v>
      </c>
      <c r="B116" t="s">
        <v>1</v>
      </c>
      <c r="C116" t="str">
        <f t="shared" si="1"/>
        <v>.L</v>
      </c>
      <c r="D116" t="s">
        <v>1164</v>
      </c>
      <c r="E116" t="s">
        <v>175</v>
      </c>
      <c r="F116" t="s">
        <v>1165</v>
      </c>
      <c r="G116" t="s">
        <v>406</v>
      </c>
      <c r="H116" t="s">
        <v>407</v>
      </c>
      <c r="I116" t="s">
        <v>1699</v>
      </c>
      <c r="J116" t="s">
        <v>1874</v>
      </c>
      <c r="K116" t="s">
        <v>1168</v>
      </c>
      <c r="L116" t="s">
        <v>1169</v>
      </c>
    </row>
    <row r="117" spans="1:12" x14ac:dyDescent="0.2">
      <c r="A117" t="s">
        <v>176</v>
      </c>
      <c r="B117" t="s">
        <v>1</v>
      </c>
      <c r="C117" t="str">
        <f t="shared" si="1"/>
        <v>.L</v>
      </c>
      <c r="D117" t="s">
        <v>1170</v>
      </c>
      <c r="E117" t="s">
        <v>177</v>
      </c>
      <c r="F117" t="s">
        <v>1171</v>
      </c>
      <c r="G117" t="s">
        <v>408</v>
      </c>
      <c r="H117" t="s">
        <v>409</v>
      </c>
      <c r="I117" t="s">
        <v>1700</v>
      </c>
      <c r="J117" t="s">
        <v>1875</v>
      </c>
      <c r="K117" t="s">
        <v>1174</v>
      </c>
      <c r="L117" t="s">
        <v>1175</v>
      </c>
    </row>
    <row r="118" spans="1:12" x14ac:dyDescent="0.2">
      <c r="A118" t="s">
        <v>178</v>
      </c>
      <c r="B118" t="s">
        <v>1</v>
      </c>
      <c r="C118" t="str">
        <f t="shared" si="1"/>
        <v>.L</v>
      </c>
      <c r="D118" t="s">
        <v>1176</v>
      </c>
      <c r="E118" t="s">
        <v>179</v>
      </c>
      <c r="F118" t="s">
        <v>1177</v>
      </c>
      <c r="G118" t="s">
        <v>410</v>
      </c>
      <c r="H118" t="s">
        <v>411</v>
      </c>
      <c r="I118" t="s">
        <v>1701</v>
      </c>
      <c r="J118" t="s">
        <v>1876</v>
      </c>
      <c r="K118" t="s">
        <v>1180</v>
      </c>
      <c r="L118" t="s">
        <v>1181</v>
      </c>
    </row>
    <row r="119" spans="1:12" x14ac:dyDescent="0.2">
      <c r="A119" t="s">
        <v>180</v>
      </c>
      <c r="B119" t="s">
        <v>1</v>
      </c>
      <c r="C119" t="str">
        <f t="shared" si="1"/>
        <v>.L</v>
      </c>
      <c r="D119" t="s">
        <v>1182</v>
      </c>
      <c r="E119" t="s">
        <v>181</v>
      </c>
      <c r="F119" t="s">
        <v>1183</v>
      </c>
      <c r="G119" t="s">
        <v>1184</v>
      </c>
      <c r="H119" t="s">
        <v>1185</v>
      </c>
      <c r="I119" t="s">
        <v>1702</v>
      </c>
      <c r="J119" t="s">
        <v>1877</v>
      </c>
      <c r="K119" t="s">
        <v>1188</v>
      </c>
      <c r="L119" t="s">
        <v>1189</v>
      </c>
    </row>
    <row r="120" spans="1:12" x14ac:dyDescent="0.2">
      <c r="A120" t="s">
        <v>182</v>
      </c>
      <c r="B120" t="s">
        <v>1</v>
      </c>
      <c r="C120" t="str">
        <f t="shared" si="1"/>
        <v>.L</v>
      </c>
      <c r="D120" t="s">
        <v>1190</v>
      </c>
      <c r="E120" t="s">
        <v>183</v>
      </c>
      <c r="F120" t="s">
        <v>1191</v>
      </c>
      <c r="G120" t="s">
        <v>1192</v>
      </c>
      <c r="H120" t="s">
        <v>1193</v>
      </c>
      <c r="I120" t="s">
        <v>1703</v>
      </c>
      <c r="J120" t="s">
        <v>1878</v>
      </c>
      <c r="K120" t="s">
        <v>1196</v>
      </c>
      <c r="L120" t="s">
        <v>1197</v>
      </c>
    </row>
    <row r="121" spans="1:12" x14ac:dyDescent="0.2">
      <c r="A121" t="s">
        <v>184</v>
      </c>
      <c r="B121" t="s">
        <v>1</v>
      </c>
      <c r="C121" t="str">
        <f t="shared" si="1"/>
        <v>.L</v>
      </c>
      <c r="D121" t="s">
        <v>1198</v>
      </c>
      <c r="E121" t="s">
        <v>185</v>
      </c>
      <c r="F121" t="s">
        <v>1199</v>
      </c>
      <c r="G121" t="s">
        <v>1200</v>
      </c>
      <c r="H121" t="s">
        <v>1201</v>
      </c>
      <c r="I121" t="s">
        <v>1704</v>
      </c>
      <c r="J121" t="s">
        <v>1879</v>
      </c>
      <c r="K121" t="s">
        <v>1204</v>
      </c>
      <c r="L121" t="s">
        <v>1205</v>
      </c>
    </row>
    <row r="122" spans="1:12" x14ac:dyDescent="0.2">
      <c r="A122" t="s">
        <v>186</v>
      </c>
      <c r="B122" t="s">
        <v>1</v>
      </c>
      <c r="C122" t="str">
        <f t="shared" si="1"/>
        <v>.L</v>
      </c>
      <c r="D122" t="s">
        <v>1206</v>
      </c>
      <c r="E122" t="s">
        <v>187</v>
      </c>
      <c r="F122" t="s">
        <v>1207</v>
      </c>
      <c r="G122" t="s">
        <v>1208</v>
      </c>
      <c r="H122" t="s">
        <v>1209</v>
      </c>
      <c r="I122" t="s">
        <v>1705</v>
      </c>
      <c r="J122" t="s">
        <v>1880</v>
      </c>
      <c r="K122" t="s">
        <v>1212</v>
      </c>
      <c r="L122" t="s">
        <v>1213</v>
      </c>
    </row>
    <row r="123" spans="1:12" x14ac:dyDescent="0.2">
      <c r="A123" t="s">
        <v>170</v>
      </c>
      <c r="B123" t="s">
        <v>667</v>
      </c>
      <c r="C123" t="str">
        <f t="shared" si="1"/>
        <v>.02</v>
      </c>
      <c r="D123" t="s">
        <v>1150</v>
      </c>
      <c r="E123" t="s">
        <v>1214</v>
      </c>
      <c r="F123" t="s">
        <v>1152</v>
      </c>
      <c r="G123" t="s">
        <v>412</v>
      </c>
      <c r="H123" t="s">
        <v>413</v>
      </c>
      <c r="I123" t="s">
        <v>1706</v>
      </c>
      <c r="J123" t="s">
        <v>1881</v>
      </c>
      <c r="K123" t="s">
        <v>1217</v>
      </c>
      <c r="L123" t="s">
        <v>1218</v>
      </c>
    </row>
    <row r="124" spans="1:12" x14ac:dyDescent="0.2">
      <c r="A124" t="s">
        <v>172</v>
      </c>
      <c r="B124" t="s">
        <v>667</v>
      </c>
      <c r="C124" t="str">
        <f t="shared" si="1"/>
        <v>.02</v>
      </c>
      <c r="D124" t="s">
        <v>1157</v>
      </c>
      <c r="E124" t="s">
        <v>1219</v>
      </c>
      <c r="F124" t="s">
        <v>1159</v>
      </c>
      <c r="G124" t="s">
        <v>414</v>
      </c>
      <c r="H124" t="s">
        <v>415</v>
      </c>
      <c r="I124" t="s">
        <v>1707</v>
      </c>
      <c r="J124" t="s">
        <v>1882</v>
      </c>
      <c r="K124" t="s">
        <v>1222</v>
      </c>
      <c r="L124" t="s">
        <v>1223</v>
      </c>
    </row>
    <row r="125" spans="1:12" x14ac:dyDescent="0.2">
      <c r="A125" t="s">
        <v>174</v>
      </c>
      <c r="B125" t="s">
        <v>21</v>
      </c>
      <c r="C125" t="str">
        <f t="shared" si="1"/>
        <v>.X</v>
      </c>
      <c r="D125" t="s">
        <v>1164</v>
      </c>
      <c r="E125" t="s">
        <v>190</v>
      </c>
      <c r="F125" t="s">
        <v>1165</v>
      </c>
      <c r="G125" t="s">
        <v>416</v>
      </c>
      <c r="H125" t="s">
        <v>417</v>
      </c>
      <c r="I125" t="s">
        <v>1708</v>
      </c>
      <c r="J125" t="s">
        <v>1883</v>
      </c>
      <c r="K125" t="s">
        <v>1226</v>
      </c>
      <c r="L125" t="s">
        <v>1227</v>
      </c>
    </row>
    <row r="126" spans="1:12" x14ac:dyDescent="0.2">
      <c r="A126" t="s">
        <v>176</v>
      </c>
      <c r="B126" t="s">
        <v>21</v>
      </c>
      <c r="C126" t="str">
        <f t="shared" si="1"/>
        <v>.X</v>
      </c>
      <c r="D126" t="s">
        <v>1170</v>
      </c>
      <c r="E126" t="s">
        <v>191</v>
      </c>
      <c r="F126" t="s">
        <v>1171</v>
      </c>
      <c r="G126" t="s">
        <v>418</v>
      </c>
      <c r="H126" t="s">
        <v>419</v>
      </c>
      <c r="I126" t="s">
        <v>1709</v>
      </c>
      <c r="J126" t="s">
        <v>1884</v>
      </c>
      <c r="K126" t="s">
        <v>1230</v>
      </c>
      <c r="L126" t="s">
        <v>1231</v>
      </c>
    </row>
    <row r="127" spans="1:12" x14ac:dyDescent="0.2">
      <c r="A127" t="s">
        <v>178</v>
      </c>
      <c r="B127" t="s">
        <v>21</v>
      </c>
      <c r="C127" t="str">
        <f t="shared" si="1"/>
        <v>.X</v>
      </c>
      <c r="D127" t="s">
        <v>1176</v>
      </c>
      <c r="E127" t="s">
        <v>192</v>
      </c>
      <c r="F127" t="s">
        <v>1177</v>
      </c>
      <c r="G127" t="s">
        <v>420</v>
      </c>
      <c r="H127" t="s">
        <v>421</v>
      </c>
      <c r="I127" t="s">
        <v>1710</v>
      </c>
      <c r="J127" t="s">
        <v>1885</v>
      </c>
      <c r="K127" t="s">
        <v>1234</v>
      </c>
      <c r="L127" t="s">
        <v>1235</v>
      </c>
    </row>
    <row r="128" spans="1:12" x14ac:dyDescent="0.2">
      <c r="A128" t="s">
        <v>180</v>
      </c>
      <c r="B128" t="s">
        <v>21</v>
      </c>
      <c r="C128" t="str">
        <f t="shared" si="1"/>
        <v>.X</v>
      </c>
      <c r="D128" t="s">
        <v>1182</v>
      </c>
      <c r="E128" t="s">
        <v>193</v>
      </c>
      <c r="F128" t="s">
        <v>1183</v>
      </c>
      <c r="G128" t="s">
        <v>1236</v>
      </c>
      <c r="H128" t="s">
        <v>1237</v>
      </c>
      <c r="I128" t="s">
        <v>1711</v>
      </c>
      <c r="J128" t="s">
        <v>1886</v>
      </c>
      <c r="K128" t="s">
        <v>1240</v>
      </c>
      <c r="L128" t="s">
        <v>1241</v>
      </c>
    </row>
    <row r="129" spans="1:12" x14ac:dyDescent="0.2">
      <c r="A129" t="s">
        <v>182</v>
      </c>
      <c r="B129" t="s">
        <v>21</v>
      </c>
      <c r="C129" t="str">
        <f t="shared" si="1"/>
        <v>.X</v>
      </c>
      <c r="D129" t="s">
        <v>1190</v>
      </c>
      <c r="E129" t="s">
        <v>194</v>
      </c>
      <c r="F129" t="s">
        <v>1191</v>
      </c>
      <c r="G129" t="s">
        <v>1242</v>
      </c>
      <c r="H129" t="s">
        <v>1243</v>
      </c>
      <c r="I129" t="s">
        <v>1712</v>
      </c>
      <c r="J129" t="s">
        <v>1887</v>
      </c>
      <c r="K129" t="s">
        <v>1246</v>
      </c>
      <c r="L129" t="s">
        <v>1247</v>
      </c>
    </row>
    <row r="130" spans="1:12" x14ac:dyDescent="0.2">
      <c r="A130" t="s">
        <v>184</v>
      </c>
      <c r="B130" t="s">
        <v>21</v>
      </c>
      <c r="C130" t="str">
        <f t="shared" si="1"/>
        <v>.X</v>
      </c>
      <c r="D130" t="s">
        <v>1198</v>
      </c>
      <c r="E130" t="s">
        <v>195</v>
      </c>
      <c r="F130" t="s">
        <v>1199</v>
      </c>
      <c r="G130" t="s">
        <v>1248</v>
      </c>
      <c r="H130" t="s">
        <v>1249</v>
      </c>
      <c r="I130" t="s">
        <v>1713</v>
      </c>
      <c r="J130" t="s">
        <v>1888</v>
      </c>
      <c r="K130" t="s">
        <v>1252</v>
      </c>
      <c r="L130" t="s">
        <v>1253</v>
      </c>
    </row>
    <row r="131" spans="1:12" x14ac:dyDescent="0.2">
      <c r="A131" t="s">
        <v>186</v>
      </c>
      <c r="B131" t="s">
        <v>21</v>
      </c>
      <c r="C131" t="str">
        <f t="shared" ref="C131:C181" si="2">IF(B131="Triều Lên",".L",IF(B131="Triều Xuống",".X","."&amp;B131))</f>
        <v>.X</v>
      </c>
      <c r="D131" t="s">
        <v>1206</v>
      </c>
      <c r="E131" t="s">
        <v>196</v>
      </c>
      <c r="F131" t="s">
        <v>1207</v>
      </c>
      <c r="G131" t="s">
        <v>1254</v>
      </c>
      <c r="H131" t="s">
        <v>1255</v>
      </c>
      <c r="I131" t="s">
        <v>1714</v>
      </c>
      <c r="J131" t="s">
        <v>1889</v>
      </c>
      <c r="K131" t="s">
        <v>1258</v>
      </c>
      <c r="L131" t="s">
        <v>1259</v>
      </c>
    </row>
    <row r="132" spans="1:12" x14ac:dyDescent="0.2">
      <c r="A132" t="s">
        <v>197</v>
      </c>
      <c r="B132" t="s">
        <v>1</v>
      </c>
      <c r="C132" t="str">
        <f t="shared" si="2"/>
        <v>.L</v>
      </c>
      <c r="D132" t="s">
        <v>1260</v>
      </c>
      <c r="E132" t="s">
        <v>198</v>
      </c>
      <c r="F132" t="s">
        <v>1261</v>
      </c>
      <c r="G132" t="s">
        <v>422</v>
      </c>
      <c r="H132" t="s">
        <v>423</v>
      </c>
      <c r="I132" t="s">
        <v>1715</v>
      </c>
      <c r="J132" t="s">
        <v>1890</v>
      </c>
      <c r="K132" t="s">
        <v>1264</v>
      </c>
      <c r="L132" t="s">
        <v>1265</v>
      </c>
    </row>
    <row r="133" spans="1:12" x14ac:dyDescent="0.2">
      <c r="A133" t="s">
        <v>199</v>
      </c>
      <c r="B133" t="s">
        <v>1</v>
      </c>
      <c r="C133" t="str">
        <f t="shared" si="2"/>
        <v>.L</v>
      </c>
      <c r="D133" t="s">
        <v>1266</v>
      </c>
      <c r="E133" t="s">
        <v>200</v>
      </c>
      <c r="F133" t="s">
        <v>1267</v>
      </c>
      <c r="G133" t="s">
        <v>424</v>
      </c>
      <c r="H133" t="s">
        <v>425</v>
      </c>
      <c r="I133" t="s">
        <v>1716</v>
      </c>
      <c r="J133" t="s">
        <v>1891</v>
      </c>
      <c r="K133" t="s">
        <v>1270</v>
      </c>
      <c r="L133" t="s">
        <v>1271</v>
      </c>
    </row>
    <row r="134" spans="1:12" x14ac:dyDescent="0.2">
      <c r="A134" t="s">
        <v>201</v>
      </c>
      <c r="B134" t="s">
        <v>1</v>
      </c>
      <c r="C134" t="str">
        <f t="shared" si="2"/>
        <v>.L</v>
      </c>
      <c r="D134" t="s">
        <v>1272</v>
      </c>
      <c r="E134" t="s">
        <v>202</v>
      </c>
      <c r="F134" t="s">
        <v>1273</v>
      </c>
      <c r="G134" t="s">
        <v>426</v>
      </c>
      <c r="H134" t="s">
        <v>427</v>
      </c>
      <c r="I134" t="s">
        <v>1717</v>
      </c>
      <c r="J134" t="s">
        <v>1892</v>
      </c>
      <c r="K134" t="s">
        <v>1276</v>
      </c>
      <c r="L134" t="s">
        <v>1277</v>
      </c>
    </row>
    <row r="135" spans="1:12" x14ac:dyDescent="0.2">
      <c r="A135" t="s">
        <v>203</v>
      </c>
      <c r="B135" t="s">
        <v>1</v>
      </c>
      <c r="C135" t="str">
        <f t="shared" si="2"/>
        <v>.L</v>
      </c>
      <c r="D135" t="s">
        <v>1278</v>
      </c>
      <c r="E135" t="s">
        <v>204</v>
      </c>
      <c r="F135" t="s">
        <v>1279</v>
      </c>
      <c r="G135" t="s">
        <v>428</v>
      </c>
      <c r="H135" t="s">
        <v>429</v>
      </c>
      <c r="I135" t="s">
        <v>1718</v>
      </c>
      <c r="J135" t="s">
        <v>1893</v>
      </c>
      <c r="K135" t="s">
        <v>1282</v>
      </c>
      <c r="L135" t="s">
        <v>1283</v>
      </c>
    </row>
    <row r="136" spans="1:12" x14ac:dyDescent="0.2">
      <c r="A136" t="s">
        <v>205</v>
      </c>
      <c r="B136" t="s">
        <v>1</v>
      </c>
      <c r="C136" t="str">
        <f t="shared" si="2"/>
        <v>.L</v>
      </c>
      <c r="D136" t="s">
        <v>1284</v>
      </c>
      <c r="E136" t="s">
        <v>206</v>
      </c>
      <c r="F136" t="s">
        <v>1285</v>
      </c>
      <c r="G136" t="s">
        <v>430</v>
      </c>
      <c r="H136" t="s">
        <v>431</v>
      </c>
      <c r="I136" t="s">
        <v>1586</v>
      </c>
      <c r="J136" t="s">
        <v>1894</v>
      </c>
      <c r="K136" t="s">
        <v>1288</v>
      </c>
      <c r="L136" t="s">
        <v>1289</v>
      </c>
    </row>
    <row r="137" spans="1:12" x14ac:dyDescent="0.2">
      <c r="A137" t="s">
        <v>207</v>
      </c>
      <c r="B137" t="s">
        <v>608</v>
      </c>
      <c r="C137" t="str">
        <f t="shared" si="2"/>
        <v>.01</v>
      </c>
      <c r="D137" t="s">
        <v>1290</v>
      </c>
      <c r="E137" t="s">
        <v>1291</v>
      </c>
      <c r="F137" t="s">
        <v>1292</v>
      </c>
      <c r="G137" t="s">
        <v>278</v>
      </c>
      <c r="H137" t="s">
        <v>279</v>
      </c>
      <c r="I137" t="s">
        <v>1719</v>
      </c>
      <c r="J137" t="s">
        <v>1895</v>
      </c>
      <c r="K137" t="s">
        <v>1295</v>
      </c>
      <c r="L137" t="s">
        <v>1296</v>
      </c>
    </row>
    <row r="138" spans="1:12" x14ac:dyDescent="0.2">
      <c r="A138" t="s">
        <v>209</v>
      </c>
      <c r="B138" t="s">
        <v>608</v>
      </c>
      <c r="C138" t="str">
        <f t="shared" si="2"/>
        <v>.01</v>
      </c>
      <c r="D138" t="s">
        <v>1297</v>
      </c>
      <c r="E138" t="s">
        <v>1298</v>
      </c>
      <c r="F138" t="s">
        <v>1299</v>
      </c>
      <c r="G138" t="s">
        <v>280</v>
      </c>
      <c r="H138" t="s">
        <v>281</v>
      </c>
      <c r="I138" t="s">
        <v>1720</v>
      </c>
      <c r="J138" t="s">
        <v>1896</v>
      </c>
      <c r="K138" t="s">
        <v>1302</v>
      </c>
      <c r="L138" t="s">
        <v>1303</v>
      </c>
    </row>
    <row r="139" spans="1:12" x14ac:dyDescent="0.2">
      <c r="A139" t="s">
        <v>211</v>
      </c>
      <c r="B139" t="s">
        <v>608</v>
      </c>
      <c r="C139" t="str">
        <f t="shared" si="2"/>
        <v>.01</v>
      </c>
      <c r="D139" t="s">
        <v>1304</v>
      </c>
      <c r="E139" t="s">
        <v>1305</v>
      </c>
      <c r="F139" t="s">
        <v>1306</v>
      </c>
      <c r="G139" t="s">
        <v>282</v>
      </c>
      <c r="H139" t="s">
        <v>283</v>
      </c>
      <c r="I139" t="s">
        <v>1721</v>
      </c>
      <c r="J139" t="s">
        <v>1897</v>
      </c>
      <c r="K139" t="s">
        <v>1309</v>
      </c>
      <c r="L139" t="s">
        <v>1310</v>
      </c>
    </row>
    <row r="140" spans="1:12" x14ac:dyDescent="0.2">
      <c r="A140" t="s">
        <v>213</v>
      </c>
      <c r="B140" t="s">
        <v>608</v>
      </c>
      <c r="C140" t="str">
        <f t="shared" si="2"/>
        <v>.01</v>
      </c>
      <c r="D140" t="s">
        <v>1311</v>
      </c>
      <c r="E140" t="s">
        <v>1312</v>
      </c>
      <c r="F140" t="s">
        <v>1313</v>
      </c>
      <c r="G140" t="s">
        <v>284</v>
      </c>
      <c r="H140" t="s">
        <v>285</v>
      </c>
      <c r="I140" t="s">
        <v>1722</v>
      </c>
      <c r="J140" t="s">
        <v>1898</v>
      </c>
      <c r="K140" t="s">
        <v>1316</v>
      </c>
      <c r="L140" t="s">
        <v>1317</v>
      </c>
    </row>
    <row r="141" spans="1:12" x14ac:dyDescent="0.2">
      <c r="A141" t="s">
        <v>197</v>
      </c>
      <c r="B141" t="s">
        <v>21</v>
      </c>
      <c r="C141" t="str">
        <f t="shared" si="2"/>
        <v>.X</v>
      </c>
      <c r="D141" t="s">
        <v>1260</v>
      </c>
      <c r="E141" t="s">
        <v>215</v>
      </c>
      <c r="F141" t="s">
        <v>1261</v>
      </c>
      <c r="G141" t="s">
        <v>432</v>
      </c>
      <c r="H141" t="s">
        <v>433</v>
      </c>
      <c r="I141" t="s">
        <v>1723</v>
      </c>
      <c r="J141" t="s">
        <v>1899</v>
      </c>
      <c r="K141" t="s">
        <v>1320</v>
      </c>
      <c r="L141" t="s">
        <v>1321</v>
      </c>
    </row>
    <row r="142" spans="1:12" x14ac:dyDescent="0.2">
      <c r="A142" t="s">
        <v>199</v>
      </c>
      <c r="B142" t="s">
        <v>21</v>
      </c>
      <c r="C142" t="str">
        <f t="shared" si="2"/>
        <v>.X</v>
      </c>
      <c r="D142" t="s">
        <v>1266</v>
      </c>
      <c r="E142" t="s">
        <v>216</v>
      </c>
      <c r="F142" t="s">
        <v>1267</v>
      </c>
      <c r="G142" t="s">
        <v>434</v>
      </c>
      <c r="H142" t="s">
        <v>435</v>
      </c>
      <c r="I142" t="s">
        <v>1724</v>
      </c>
      <c r="J142" t="s">
        <v>1900</v>
      </c>
      <c r="K142" t="s">
        <v>1324</v>
      </c>
      <c r="L142" t="s">
        <v>1325</v>
      </c>
    </row>
    <row r="143" spans="1:12" x14ac:dyDescent="0.2">
      <c r="A143" t="s">
        <v>201</v>
      </c>
      <c r="B143" t="s">
        <v>21</v>
      </c>
      <c r="C143" t="str">
        <f t="shared" si="2"/>
        <v>.X</v>
      </c>
      <c r="D143" t="s">
        <v>1272</v>
      </c>
      <c r="E143" t="s">
        <v>217</v>
      </c>
      <c r="F143" t="s">
        <v>1273</v>
      </c>
      <c r="G143" t="s">
        <v>436</v>
      </c>
      <c r="H143" t="s">
        <v>437</v>
      </c>
      <c r="I143" t="s">
        <v>1725</v>
      </c>
      <c r="J143" t="s">
        <v>1901</v>
      </c>
      <c r="K143" t="s">
        <v>1328</v>
      </c>
      <c r="L143" t="s">
        <v>1329</v>
      </c>
    </row>
    <row r="144" spans="1:12" x14ac:dyDescent="0.2">
      <c r="A144" t="s">
        <v>203</v>
      </c>
      <c r="B144" t="s">
        <v>21</v>
      </c>
      <c r="C144" t="str">
        <f t="shared" si="2"/>
        <v>.X</v>
      </c>
      <c r="D144" t="s">
        <v>1278</v>
      </c>
      <c r="E144" t="s">
        <v>218</v>
      </c>
      <c r="F144" t="s">
        <v>1279</v>
      </c>
      <c r="G144" t="s">
        <v>438</v>
      </c>
      <c r="H144" t="s">
        <v>439</v>
      </c>
      <c r="I144" t="s">
        <v>1726</v>
      </c>
      <c r="J144" t="s">
        <v>1902</v>
      </c>
      <c r="K144" t="s">
        <v>1332</v>
      </c>
      <c r="L144" t="s">
        <v>1333</v>
      </c>
    </row>
    <row r="145" spans="1:12" x14ac:dyDescent="0.2">
      <c r="A145" t="s">
        <v>205</v>
      </c>
      <c r="B145" t="s">
        <v>21</v>
      </c>
      <c r="C145" t="str">
        <f t="shared" si="2"/>
        <v>.X</v>
      </c>
      <c r="D145" t="s">
        <v>1284</v>
      </c>
      <c r="E145" t="s">
        <v>219</v>
      </c>
      <c r="F145" t="s">
        <v>1285</v>
      </c>
      <c r="G145" t="s">
        <v>440</v>
      </c>
      <c r="H145" t="s">
        <v>441</v>
      </c>
      <c r="I145" t="s">
        <v>1727</v>
      </c>
      <c r="J145" t="s">
        <v>1903</v>
      </c>
      <c r="K145" t="s">
        <v>1336</v>
      </c>
      <c r="L145" t="s">
        <v>1337</v>
      </c>
    </row>
    <row r="146" spans="1:12" x14ac:dyDescent="0.2">
      <c r="A146" t="s">
        <v>207</v>
      </c>
      <c r="B146" t="s">
        <v>667</v>
      </c>
      <c r="C146" t="str">
        <f t="shared" si="2"/>
        <v>.02</v>
      </c>
      <c r="D146" t="s">
        <v>1290</v>
      </c>
      <c r="E146" t="s">
        <v>1338</v>
      </c>
      <c r="F146" t="s">
        <v>1292</v>
      </c>
      <c r="G146" t="s">
        <v>286</v>
      </c>
      <c r="H146" t="s">
        <v>287</v>
      </c>
      <c r="I146" t="s">
        <v>1728</v>
      </c>
      <c r="J146" t="s">
        <v>1904</v>
      </c>
      <c r="K146" t="s">
        <v>1341</v>
      </c>
      <c r="L146" t="s">
        <v>1342</v>
      </c>
    </row>
    <row r="147" spans="1:12" x14ac:dyDescent="0.2">
      <c r="A147" t="s">
        <v>209</v>
      </c>
      <c r="B147" t="s">
        <v>667</v>
      </c>
      <c r="C147" t="str">
        <f t="shared" si="2"/>
        <v>.02</v>
      </c>
      <c r="D147" t="s">
        <v>1297</v>
      </c>
      <c r="E147" t="s">
        <v>1343</v>
      </c>
      <c r="F147" t="s">
        <v>1299</v>
      </c>
      <c r="G147" t="s">
        <v>288</v>
      </c>
      <c r="H147" t="s">
        <v>289</v>
      </c>
      <c r="I147" t="s">
        <v>1729</v>
      </c>
      <c r="J147" t="s">
        <v>1905</v>
      </c>
      <c r="K147" t="s">
        <v>1346</v>
      </c>
      <c r="L147" t="s">
        <v>1347</v>
      </c>
    </row>
    <row r="148" spans="1:12" x14ac:dyDescent="0.2">
      <c r="A148" t="s">
        <v>211</v>
      </c>
      <c r="B148" t="s">
        <v>667</v>
      </c>
      <c r="C148" t="str">
        <f t="shared" si="2"/>
        <v>.02</v>
      </c>
      <c r="D148" t="s">
        <v>1304</v>
      </c>
      <c r="E148" t="s">
        <v>1348</v>
      </c>
      <c r="F148" t="s">
        <v>1306</v>
      </c>
      <c r="G148" t="s">
        <v>290</v>
      </c>
      <c r="H148" t="s">
        <v>291</v>
      </c>
      <c r="I148" t="s">
        <v>1730</v>
      </c>
      <c r="J148" t="s">
        <v>1906</v>
      </c>
      <c r="K148" t="s">
        <v>1351</v>
      </c>
      <c r="L148" t="s">
        <v>1352</v>
      </c>
    </row>
    <row r="149" spans="1:12" x14ac:dyDescent="0.2">
      <c r="A149" t="s">
        <v>213</v>
      </c>
      <c r="B149" t="s">
        <v>667</v>
      </c>
      <c r="C149" t="str">
        <f t="shared" si="2"/>
        <v>.02</v>
      </c>
      <c r="D149" t="s">
        <v>1311</v>
      </c>
      <c r="E149" t="s">
        <v>1353</v>
      </c>
      <c r="F149" t="s">
        <v>1313</v>
      </c>
      <c r="G149" t="s">
        <v>292</v>
      </c>
      <c r="H149" t="s">
        <v>293</v>
      </c>
      <c r="I149" t="s">
        <v>1731</v>
      </c>
      <c r="J149" t="s">
        <v>1907</v>
      </c>
      <c r="K149" t="s">
        <v>1356</v>
      </c>
      <c r="L149" t="s">
        <v>1357</v>
      </c>
    </row>
    <row r="150" spans="1:12" x14ac:dyDescent="0.2">
      <c r="A150" t="s">
        <v>224</v>
      </c>
      <c r="B150" t="s">
        <v>1</v>
      </c>
      <c r="C150" t="str">
        <f t="shared" si="2"/>
        <v>.L</v>
      </c>
      <c r="D150" t="s">
        <v>1358</v>
      </c>
      <c r="E150" t="s">
        <v>225</v>
      </c>
      <c r="F150" t="s">
        <v>1359</v>
      </c>
      <c r="G150" t="s">
        <v>298</v>
      </c>
      <c r="H150" t="s">
        <v>299</v>
      </c>
      <c r="I150" t="s">
        <v>1732</v>
      </c>
      <c r="J150" t="s">
        <v>1908</v>
      </c>
      <c r="K150" t="s">
        <v>1362</v>
      </c>
      <c r="L150" t="s">
        <v>1363</v>
      </c>
    </row>
    <row r="151" spans="1:12" x14ac:dyDescent="0.2">
      <c r="A151" t="s">
        <v>224</v>
      </c>
      <c r="B151" t="s">
        <v>21</v>
      </c>
      <c r="C151" t="str">
        <f t="shared" si="2"/>
        <v>.X</v>
      </c>
      <c r="D151" t="s">
        <v>1358</v>
      </c>
      <c r="E151" t="s">
        <v>226</v>
      </c>
      <c r="F151" t="s">
        <v>1359</v>
      </c>
      <c r="G151" t="s">
        <v>306</v>
      </c>
      <c r="H151" t="s">
        <v>307</v>
      </c>
      <c r="I151" t="s">
        <v>1733</v>
      </c>
      <c r="J151" t="s">
        <v>1909</v>
      </c>
      <c r="K151" t="s">
        <v>1366</v>
      </c>
      <c r="L151" t="s">
        <v>1367</v>
      </c>
    </row>
    <row r="152" spans="1:12" x14ac:dyDescent="0.2">
      <c r="A152" t="s">
        <v>227</v>
      </c>
      <c r="B152" t="s">
        <v>1</v>
      </c>
      <c r="C152" t="str">
        <f t="shared" si="2"/>
        <v>.L</v>
      </c>
      <c r="D152" t="s">
        <v>1368</v>
      </c>
      <c r="E152" t="s">
        <v>228</v>
      </c>
      <c r="F152" t="s">
        <v>1369</v>
      </c>
      <c r="G152" t="s">
        <v>458</v>
      </c>
      <c r="H152" t="s">
        <v>459</v>
      </c>
      <c r="I152" t="s">
        <v>1734</v>
      </c>
      <c r="J152" t="s">
        <v>1910</v>
      </c>
      <c r="K152" t="s">
        <v>1372</v>
      </c>
      <c r="L152" t="s">
        <v>1373</v>
      </c>
    </row>
    <row r="153" spans="1:12" x14ac:dyDescent="0.2">
      <c r="A153" t="s">
        <v>227</v>
      </c>
      <c r="B153" t="s">
        <v>21</v>
      </c>
      <c r="C153" t="str">
        <f t="shared" si="2"/>
        <v>.X</v>
      </c>
      <c r="D153" t="s">
        <v>1368</v>
      </c>
      <c r="E153" t="s">
        <v>229</v>
      </c>
      <c r="F153" t="s">
        <v>1369</v>
      </c>
      <c r="G153" t="s">
        <v>460</v>
      </c>
      <c r="H153" t="s">
        <v>461</v>
      </c>
      <c r="I153" t="s">
        <v>1735</v>
      </c>
      <c r="J153" t="s">
        <v>1911</v>
      </c>
      <c r="K153" t="s">
        <v>1376</v>
      </c>
      <c r="L153" t="s">
        <v>1377</v>
      </c>
    </row>
    <row r="154" spans="1:12" x14ac:dyDescent="0.2">
      <c r="A154" t="s">
        <v>230</v>
      </c>
      <c r="B154" t="s">
        <v>1</v>
      </c>
      <c r="C154" t="str">
        <f t="shared" si="2"/>
        <v>.L</v>
      </c>
      <c r="D154" t="s">
        <v>1378</v>
      </c>
      <c r="E154" t="s">
        <v>231</v>
      </c>
      <c r="F154" t="s">
        <v>1379</v>
      </c>
      <c r="G154" t="s">
        <v>1380</v>
      </c>
      <c r="H154" t="s">
        <v>1381</v>
      </c>
      <c r="I154" t="s">
        <v>1736</v>
      </c>
      <c r="J154" t="s">
        <v>1912</v>
      </c>
      <c r="K154" t="s">
        <v>1384</v>
      </c>
      <c r="L154" t="s">
        <v>1385</v>
      </c>
    </row>
    <row r="155" spans="1:12" x14ac:dyDescent="0.2">
      <c r="A155" t="s">
        <v>232</v>
      </c>
      <c r="B155" t="s">
        <v>1</v>
      </c>
      <c r="C155" t="str">
        <f t="shared" si="2"/>
        <v>.L</v>
      </c>
      <c r="D155" t="s">
        <v>1386</v>
      </c>
      <c r="E155" t="s">
        <v>233</v>
      </c>
      <c r="F155" t="s">
        <v>1387</v>
      </c>
      <c r="G155" t="s">
        <v>1388</v>
      </c>
      <c r="H155" t="s">
        <v>1389</v>
      </c>
      <c r="I155" t="s">
        <v>1737</v>
      </c>
      <c r="J155" t="s">
        <v>1913</v>
      </c>
      <c r="K155" t="s">
        <v>1392</v>
      </c>
      <c r="L155" t="s">
        <v>1393</v>
      </c>
    </row>
    <row r="156" spans="1:12" x14ac:dyDescent="0.2">
      <c r="A156" t="s">
        <v>234</v>
      </c>
      <c r="B156" t="s">
        <v>1</v>
      </c>
      <c r="C156" t="str">
        <f t="shared" si="2"/>
        <v>.L</v>
      </c>
      <c r="D156" t="s">
        <v>1394</v>
      </c>
      <c r="E156" t="s">
        <v>235</v>
      </c>
      <c r="F156" t="s">
        <v>1395</v>
      </c>
      <c r="G156" t="s">
        <v>1396</v>
      </c>
      <c r="H156" t="s">
        <v>1397</v>
      </c>
      <c r="I156" t="s">
        <v>1738</v>
      </c>
      <c r="J156" t="s">
        <v>1914</v>
      </c>
      <c r="K156" t="s">
        <v>1400</v>
      </c>
      <c r="L156" t="s">
        <v>1401</v>
      </c>
    </row>
    <row r="157" spans="1:12" x14ac:dyDescent="0.2">
      <c r="A157" t="s">
        <v>236</v>
      </c>
      <c r="B157" t="s">
        <v>1</v>
      </c>
      <c r="C157" t="str">
        <f t="shared" si="2"/>
        <v>.L</v>
      </c>
      <c r="D157" t="s">
        <v>1402</v>
      </c>
      <c r="E157" t="s">
        <v>237</v>
      </c>
      <c r="F157" t="s">
        <v>1403</v>
      </c>
      <c r="G157" t="s">
        <v>1404</v>
      </c>
      <c r="H157" t="s">
        <v>1405</v>
      </c>
      <c r="I157" t="s">
        <v>1739</v>
      </c>
      <c r="J157" t="s">
        <v>1915</v>
      </c>
      <c r="K157" t="s">
        <v>1408</v>
      </c>
      <c r="L157" t="s">
        <v>1409</v>
      </c>
    </row>
    <row r="158" spans="1:12" x14ac:dyDescent="0.2">
      <c r="A158" t="s">
        <v>238</v>
      </c>
      <c r="B158" t="s">
        <v>1</v>
      </c>
      <c r="C158" t="str">
        <f t="shared" si="2"/>
        <v>.L</v>
      </c>
      <c r="D158" t="s">
        <v>1410</v>
      </c>
      <c r="E158" t="s">
        <v>239</v>
      </c>
      <c r="F158" t="s">
        <v>1411</v>
      </c>
      <c r="G158" t="s">
        <v>1412</v>
      </c>
      <c r="H158" t="s">
        <v>1413</v>
      </c>
      <c r="I158" t="s">
        <v>1740</v>
      </c>
      <c r="J158" t="s">
        <v>1916</v>
      </c>
      <c r="K158" t="s">
        <v>1416</v>
      </c>
      <c r="L158" t="s">
        <v>1417</v>
      </c>
    </row>
    <row r="159" spans="1:12" x14ac:dyDescent="0.2">
      <c r="A159" t="s">
        <v>230</v>
      </c>
      <c r="B159" t="s">
        <v>21</v>
      </c>
      <c r="C159" t="str">
        <f t="shared" si="2"/>
        <v>.X</v>
      </c>
      <c r="D159" t="s">
        <v>1378</v>
      </c>
      <c r="E159" t="s">
        <v>240</v>
      </c>
      <c r="F159" t="s">
        <v>1379</v>
      </c>
      <c r="G159" t="s">
        <v>1418</v>
      </c>
      <c r="H159" t="s">
        <v>1419</v>
      </c>
      <c r="I159" t="s">
        <v>1741</v>
      </c>
      <c r="J159" t="s">
        <v>1917</v>
      </c>
      <c r="K159" t="s">
        <v>1422</v>
      </c>
      <c r="L159" t="s">
        <v>1423</v>
      </c>
    </row>
    <row r="160" spans="1:12" x14ac:dyDescent="0.2">
      <c r="A160" t="s">
        <v>232</v>
      </c>
      <c r="B160" t="s">
        <v>21</v>
      </c>
      <c r="C160" t="str">
        <f t="shared" si="2"/>
        <v>.X</v>
      </c>
      <c r="D160" t="s">
        <v>1386</v>
      </c>
      <c r="E160" t="s">
        <v>241</v>
      </c>
      <c r="F160" t="s">
        <v>1387</v>
      </c>
      <c r="G160" t="s">
        <v>1424</v>
      </c>
      <c r="H160" t="s">
        <v>1425</v>
      </c>
      <c r="I160" t="s">
        <v>1578</v>
      </c>
      <c r="J160" t="s">
        <v>1579</v>
      </c>
      <c r="K160" t="s">
        <v>1428</v>
      </c>
      <c r="L160" t="s">
        <v>1429</v>
      </c>
    </row>
    <row r="161" spans="1:12" x14ac:dyDescent="0.2">
      <c r="A161" t="s">
        <v>234</v>
      </c>
      <c r="B161" t="s">
        <v>21</v>
      </c>
      <c r="C161" t="str">
        <f t="shared" si="2"/>
        <v>.X</v>
      </c>
      <c r="D161" t="s">
        <v>1394</v>
      </c>
      <c r="E161" t="s">
        <v>242</v>
      </c>
      <c r="F161" t="s">
        <v>1395</v>
      </c>
      <c r="G161" t="s">
        <v>1430</v>
      </c>
      <c r="H161" t="s">
        <v>1431</v>
      </c>
      <c r="I161" t="s">
        <v>1742</v>
      </c>
      <c r="J161" t="s">
        <v>1918</v>
      </c>
      <c r="K161" t="s">
        <v>1434</v>
      </c>
      <c r="L161" t="s">
        <v>1435</v>
      </c>
    </row>
    <row r="162" spans="1:12" x14ac:dyDescent="0.2">
      <c r="A162" t="s">
        <v>236</v>
      </c>
      <c r="B162" t="s">
        <v>21</v>
      </c>
      <c r="C162" t="str">
        <f t="shared" si="2"/>
        <v>.X</v>
      </c>
      <c r="D162" t="s">
        <v>1402</v>
      </c>
      <c r="E162" t="s">
        <v>243</v>
      </c>
      <c r="F162" t="s">
        <v>1403</v>
      </c>
      <c r="G162" t="s">
        <v>1436</v>
      </c>
      <c r="H162" t="s">
        <v>1437</v>
      </c>
      <c r="I162" t="s">
        <v>1743</v>
      </c>
      <c r="J162" t="s">
        <v>1919</v>
      </c>
      <c r="K162" t="s">
        <v>1440</v>
      </c>
      <c r="L162" t="s">
        <v>1441</v>
      </c>
    </row>
    <row r="163" spans="1:12" x14ac:dyDescent="0.2">
      <c r="A163" t="s">
        <v>238</v>
      </c>
      <c r="B163" t="s">
        <v>21</v>
      </c>
      <c r="C163" t="str">
        <f t="shared" si="2"/>
        <v>.X</v>
      </c>
      <c r="D163" t="s">
        <v>1410</v>
      </c>
      <c r="E163" t="s">
        <v>244</v>
      </c>
      <c r="F163" t="s">
        <v>1411</v>
      </c>
      <c r="G163" t="s">
        <v>1442</v>
      </c>
      <c r="H163" t="s">
        <v>1443</v>
      </c>
      <c r="I163" t="s">
        <v>1744</v>
      </c>
      <c r="J163" t="s">
        <v>1920</v>
      </c>
      <c r="K163" t="s">
        <v>1446</v>
      </c>
      <c r="L163" t="s">
        <v>1447</v>
      </c>
    </row>
    <row r="164" spans="1:12" x14ac:dyDescent="0.2">
      <c r="A164" t="s">
        <v>245</v>
      </c>
      <c r="B164" t="s">
        <v>1</v>
      </c>
      <c r="C164" t="str">
        <f t="shared" si="2"/>
        <v>.L</v>
      </c>
      <c r="D164" t="s">
        <v>1448</v>
      </c>
      <c r="E164" t="s">
        <v>246</v>
      </c>
      <c r="F164" t="s">
        <v>1449</v>
      </c>
      <c r="G164" t="s">
        <v>1450</v>
      </c>
      <c r="H164" t="s">
        <v>1451</v>
      </c>
      <c r="I164" t="s">
        <v>1745</v>
      </c>
      <c r="J164" t="s">
        <v>1921</v>
      </c>
      <c r="K164" t="s">
        <v>1454</v>
      </c>
      <c r="L164" t="s">
        <v>1455</v>
      </c>
    </row>
    <row r="165" spans="1:12" x14ac:dyDescent="0.2">
      <c r="A165" t="s">
        <v>247</v>
      </c>
      <c r="B165" t="s">
        <v>1</v>
      </c>
      <c r="C165" t="str">
        <f t="shared" si="2"/>
        <v>.L</v>
      </c>
      <c r="D165" t="s">
        <v>1456</v>
      </c>
      <c r="E165" t="s">
        <v>248</v>
      </c>
      <c r="F165" t="s">
        <v>1457</v>
      </c>
      <c r="G165" t="s">
        <v>1458</v>
      </c>
      <c r="H165" t="s">
        <v>1459</v>
      </c>
      <c r="I165" t="s">
        <v>1746</v>
      </c>
      <c r="J165" t="s">
        <v>1922</v>
      </c>
      <c r="K165" t="s">
        <v>1462</v>
      </c>
      <c r="L165" t="s">
        <v>1463</v>
      </c>
    </row>
    <row r="166" spans="1:12" x14ac:dyDescent="0.2">
      <c r="A166" t="s">
        <v>249</v>
      </c>
      <c r="B166" t="s">
        <v>1</v>
      </c>
      <c r="C166" t="str">
        <f t="shared" si="2"/>
        <v>.L</v>
      </c>
      <c r="D166" t="s">
        <v>1464</v>
      </c>
      <c r="E166" t="s">
        <v>250</v>
      </c>
      <c r="F166" t="s">
        <v>1465</v>
      </c>
      <c r="G166" t="s">
        <v>1466</v>
      </c>
      <c r="H166" t="s">
        <v>1467</v>
      </c>
      <c r="I166" t="s">
        <v>1747</v>
      </c>
      <c r="J166" t="s">
        <v>1923</v>
      </c>
      <c r="K166" t="s">
        <v>1470</v>
      </c>
      <c r="L166" t="s">
        <v>1471</v>
      </c>
    </row>
    <row r="167" spans="1:12" x14ac:dyDescent="0.2">
      <c r="A167" t="s">
        <v>251</v>
      </c>
      <c r="B167" t="s">
        <v>1</v>
      </c>
      <c r="C167" t="str">
        <f t="shared" si="2"/>
        <v>.L</v>
      </c>
      <c r="D167" t="s">
        <v>1472</v>
      </c>
      <c r="E167" t="s">
        <v>252</v>
      </c>
      <c r="F167" t="s">
        <v>1473</v>
      </c>
      <c r="G167" t="s">
        <v>1474</v>
      </c>
      <c r="H167" t="s">
        <v>1475</v>
      </c>
      <c r="I167" t="s">
        <v>1748</v>
      </c>
      <c r="J167" t="s">
        <v>1924</v>
      </c>
      <c r="K167" t="s">
        <v>1478</v>
      </c>
      <c r="L167" t="s">
        <v>1479</v>
      </c>
    </row>
    <row r="168" spans="1:12" x14ac:dyDescent="0.2">
      <c r="A168" t="s">
        <v>253</v>
      </c>
      <c r="B168" t="s">
        <v>1</v>
      </c>
      <c r="C168" t="str">
        <f t="shared" si="2"/>
        <v>.L</v>
      </c>
      <c r="D168" t="s">
        <v>1480</v>
      </c>
      <c r="E168" t="s">
        <v>254</v>
      </c>
      <c r="F168" t="s">
        <v>1481</v>
      </c>
      <c r="G168" t="s">
        <v>1482</v>
      </c>
      <c r="H168" t="s">
        <v>1483</v>
      </c>
      <c r="I168" t="s">
        <v>1749</v>
      </c>
      <c r="J168" t="s">
        <v>1925</v>
      </c>
      <c r="K168" t="s">
        <v>1486</v>
      </c>
      <c r="L168" t="s">
        <v>1487</v>
      </c>
    </row>
    <row r="169" spans="1:12" x14ac:dyDescent="0.2">
      <c r="A169" t="s">
        <v>245</v>
      </c>
      <c r="B169" t="s">
        <v>21</v>
      </c>
      <c r="C169" t="str">
        <f t="shared" si="2"/>
        <v>.X</v>
      </c>
      <c r="D169" t="s">
        <v>1448</v>
      </c>
      <c r="E169" t="s">
        <v>255</v>
      </c>
      <c r="F169" t="s">
        <v>1449</v>
      </c>
      <c r="G169" t="s">
        <v>1488</v>
      </c>
      <c r="H169" t="s">
        <v>1489</v>
      </c>
      <c r="I169" t="s">
        <v>1750</v>
      </c>
      <c r="J169" t="s">
        <v>1926</v>
      </c>
      <c r="K169" t="s">
        <v>1492</v>
      </c>
      <c r="L169" t="s">
        <v>1493</v>
      </c>
    </row>
    <row r="170" spans="1:12" x14ac:dyDescent="0.2">
      <c r="A170" t="s">
        <v>247</v>
      </c>
      <c r="B170" t="s">
        <v>21</v>
      </c>
      <c r="C170" t="str">
        <f t="shared" si="2"/>
        <v>.X</v>
      </c>
      <c r="D170" t="s">
        <v>1456</v>
      </c>
      <c r="E170" t="s">
        <v>256</v>
      </c>
      <c r="F170" t="s">
        <v>1457</v>
      </c>
      <c r="G170" t="s">
        <v>1494</v>
      </c>
      <c r="H170" t="s">
        <v>1495</v>
      </c>
      <c r="I170" t="s">
        <v>1751</v>
      </c>
      <c r="J170" t="s">
        <v>1927</v>
      </c>
      <c r="K170" t="s">
        <v>1498</v>
      </c>
      <c r="L170" t="s">
        <v>1499</v>
      </c>
    </row>
    <row r="171" spans="1:12" x14ac:dyDescent="0.2">
      <c r="A171" t="s">
        <v>249</v>
      </c>
      <c r="B171" t="s">
        <v>21</v>
      </c>
      <c r="C171" t="str">
        <f t="shared" si="2"/>
        <v>.X</v>
      </c>
      <c r="D171" t="s">
        <v>1464</v>
      </c>
      <c r="E171" t="s">
        <v>257</v>
      </c>
      <c r="F171" t="s">
        <v>1465</v>
      </c>
      <c r="G171" t="s">
        <v>1500</v>
      </c>
      <c r="H171" t="s">
        <v>1501</v>
      </c>
      <c r="I171" t="s">
        <v>1752</v>
      </c>
      <c r="J171" t="s">
        <v>1928</v>
      </c>
      <c r="K171" t="s">
        <v>1504</v>
      </c>
      <c r="L171" t="s">
        <v>1505</v>
      </c>
    </row>
    <row r="172" spans="1:12" x14ac:dyDescent="0.2">
      <c r="A172" t="s">
        <v>251</v>
      </c>
      <c r="B172" t="s">
        <v>21</v>
      </c>
      <c r="C172" t="str">
        <f t="shared" si="2"/>
        <v>.X</v>
      </c>
      <c r="D172" t="s">
        <v>1472</v>
      </c>
      <c r="E172" t="s">
        <v>258</v>
      </c>
      <c r="F172" t="s">
        <v>1473</v>
      </c>
      <c r="G172" t="s">
        <v>1506</v>
      </c>
      <c r="H172" t="s">
        <v>1507</v>
      </c>
      <c r="I172" t="s">
        <v>1753</v>
      </c>
      <c r="J172" t="s">
        <v>1929</v>
      </c>
      <c r="K172" t="s">
        <v>1510</v>
      </c>
      <c r="L172" t="s">
        <v>1511</v>
      </c>
    </row>
    <row r="173" spans="1:12" x14ac:dyDescent="0.2">
      <c r="A173" t="s">
        <v>253</v>
      </c>
      <c r="B173" t="s">
        <v>21</v>
      </c>
      <c r="C173" t="str">
        <f t="shared" si="2"/>
        <v>.X</v>
      </c>
      <c r="D173" t="s">
        <v>1480</v>
      </c>
      <c r="E173" t="s">
        <v>259</v>
      </c>
      <c r="F173" t="s">
        <v>1481</v>
      </c>
      <c r="G173" t="s">
        <v>1512</v>
      </c>
      <c r="H173" t="s">
        <v>1513</v>
      </c>
      <c r="I173" t="s">
        <v>1754</v>
      </c>
      <c r="J173" t="s">
        <v>1930</v>
      </c>
      <c r="K173" t="s">
        <v>1516</v>
      </c>
      <c r="L173" t="s">
        <v>1517</v>
      </c>
    </row>
    <row r="174" spans="1:12" x14ac:dyDescent="0.2">
      <c r="A174" t="s">
        <v>260</v>
      </c>
      <c r="B174" t="s">
        <v>1</v>
      </c>
      <c r="C174" t="str">
        <f t="shared" si="2"/>
        <v>.L</v>
      </c>
      <c r="D174" t="s">
        <v>1518</v>
      </c>
      <c r="E174" t="s">
        <v>261</v>
      </c>
      <c r="F174" t="s">
        <v>1519</v>
      </c>
      <c r="G174" t="s">
        <v>1520</v>
      </c>
      <c r="H174" t="s">
        <v>1521</v>
      </c>
      <c r="I174" t="s">
        <v>1755</v>
      </c>
      <c r="J174" t="s">
        <v>1931</v>
      </c>
      <c r="K174" t="s">
        <v>1524</v>
      </c>
      <c r="L174" t="s">
        <v>1525</v>
      </c>
    </row>
    <row r="175" spans="1:12" x14ac:dyDescent="0.2">
      <c r="A175" t="s">
        <v>262</v>
      </c>
      <c r="B175" t="s">
        <v>1</v>
      </c>
      <c r="C175" t="str">
        <f t="shared" si="2"/>
        <v>.L</v>
      </c>
      <c r="D175" t="s">
        <v>1526</v>
      </c>
      <c r="E175" t="s">
        <v>263</v>
      </c>
      <c r="F175" t="s">
        <v>1527</v>
      </c>
      <c r="G175" t="s">
        <v>1528</v>
      </c>
      <c r="H175" t="s">
        <v>1529</v>
      </c>
      <c r="I175" t="s">
        <v>1756</v>
      </c>
      <c r="J175" t="s">
        <v>1932</v>
      </c>
      <c r="K175" t="s">
        <v>1532</v>
      </c>
      <c r="L175" t="s">
        <v>1533</v>
      </c>
    </row>
    <row r="176" spans="1:12" x14ac:dyDescent="0.2">
      <c r="A176" t="s">
        <v>264</v>
      </c>
      <c r="B176" t="s">
        <v>1</v>
      </c>
      <c r="C176" t="str">
        <f t="shared" si="2"/>
        <v>.L</v>
      </c>
      <c r="D176" t="s">
        <v>1534</v>
      </c>
      <c r="E176" t="s">
        <v>265</v>
      </c>
      <c r="F176" t="s">
        <v>1535</v>
      </c>
      <c r="G176" t="s">
        <v>1536</v>
      </c>
      <c r="H176" t="s">
        <v>1537</v>
      </c>
      <c r="I176" t="s">
        <v>1757</v>
      </c>
      <c r="J176" t="s">
        <v>1933</v>
      </c>
      <c r="K176" t="s">
        <v>1540</v>
      </c>
      <c r="L176" t="s">
        <v>1541</v>
      </c>
    </row>
    <row r="177" spans="1:12" x14ac:dyDescent="0.2">
      <c r="A177" t="s">
        <v>266</v>
      </c>
      <c r="B177" t="s">
        <v>1</v>
      </c>
      <c r="C177" t="str">
        <f t="shared" si="2"/>
        <v>.L</v>
      </c>
      <c r="D177" t="s">
        <v>1542</v>
      </c>
      <c r="E177" t="s">
        <v>267</v>
      </c>
      <c r="F177" t="s">
        <v>1543</v>
      </c>
      <c r="G177" t="s">
        <v>1544</v>
      </c>
      <c r="H177" t="s">
        <v>1545</v>
      </c>
      <c r="I177" t="s">
        <v>1758</v>
      </c>
      <c r="J177" t="s">
        <v>1934</v>
      </c>
      <c r="K177" t="s">
        <v>1548</v>
      </c>
      <c r="L177" t="s">
        <v>1549</v>
      </c>
    </row>
    <row r="178" spans="1:12" x14ac:dyDescent="0.2">
      <c r="A178" t="s">
        <v>260</v>
      </c>
      <c r="B178" t="s">
        <v>21</v>
      </c>
      <c r="C178" t="str">
        <f t="shared" si="2"/>
        <v>.X</v>
      </c>
      <c r="D178" t="s">
        <v>1518</v>
      </c>
      <c r="E178" t="s">
        <v>268</v>
      </c>
      <c r="F178" t="s">
        <v>1519</v>
      </c>
      <c r="G178" t="s">
        <v>1550</v>
      </c>
      <c r="H178" t="s">
        <v>1551</v>
      </c>
      <c r="I178" t="s">
        <v>1759</v>
      </c>
      <c r="J178" t="s">
        <v>1935</v>
      </c>
      <c r="K178" t="s">
        <v>1554</v>
      </c>
      <c r="L178" t="s">
        <v>1555</v>
      </c>
    </row>
    <row r="179" spans="1:12" x14ac:dyDescent="0.2">
      <c r="A179" t="s">
        <v>262</v>
      </c>
      <c r="B179" t="s">
        <v>21</v>
      </c>
      <c r="C179" t="str">
        <f t="shared" si="2"/>
        <v>.X</v>
      </c>
      <c r="D179" t="s">
        <v>1526</v>
      </c>
      <c r="E179" t="s">
        <v>269</v>
      </c>
      <c r="F179" t="s">
        <v>1527</v>
      </c>
      <c r="G179" t="s">
        <v>1556</v>
      </c>
      <c r="H179" t="s">
        <v>1557</v>
      </c>
      <c r="I179" t="s">
        <v>1760</v>
      </c>
      <c r="J179" t="s">
        <v>1936</v>
      </c>
      <c r="K179" t="s">
        <v>1560</v>
      </c>
      <c r="L179" t="s">
        <v>1561</v>
      </c>
    </row>
    <row r="180" spans="1:12" x14ac:dyDescent="0.2">
      <c r="A180" t="s">
        <v>264</v>
      </c>
      <c r="B180" t="s">
        <v>21</v>
      </c>
      <c r="C180" t="str">
        <f t="shared" si="2"/>
        <v>.X</v>
      </c>
      <c r="D180" t="s">
        <v>1534</v>
      </c>
      <c r="E180" t="s">
        <v>270</v>
      </c>
      <c r="F180" t="s">
        <v>1535</v>
      </c>
      <c r="G180" t="s">
        <v>1562</v>
      </c>
      <c r="H180" t="s">
        <v>1563</v>
      </c>
      <c r="I180" t="s">
        <v>1761</v>
      </c>
      <c r="J180" t="s">
        <v>1937</v>
      </c>
      <c r="K180" t="s">
        <v>1566</v>
      </c>
      <c r="L180" t="s">
        <v>1567</v>
      </c>
    </row>
    <row r="181" spans="1:12" x14ac:dyDescent="0.2">
      <c r="A181" t="s">
        <v>266</v>
      </c>
      <c r="B181" t="s">
        <v>21</v>
      </c>
      <c r="C181" t="str">
        <f t="shared" si="2"/>
        <v>.X</v>
      </c>
      <c r="D181" t="s">
        <v>1542</v>
      </c>
      <c r="E181" t="s">
        <v>271</v>
      </c>
      <c r="F181" t="s">
        <v>1543</v>
      </c>
      <c r="G181" t="s">
        <v>1568</v>
      </c>
      <c r="H181" t="s">
        <v>1569</v>
      </c>
      <c r="I181" t="s">
        <v>1762</v>
      </c>
      <c r="J181" t="s">
        <v>1938</v>
      </c>
      <c r="K181" t="s">
        <v>1572</v>
      </c>
      <c r="L181" t="s">
        <v>1573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56C1-0127-4A99-81A0-F86495917AA5}">
  <dimension ref="A1:L181"/>
  <sheetViews>
    <sheetView topLeftCell="G1" workbookViewId="0">
      <selection activeCell="I6" sqref="I6"/>
    </sheetView>
  </sheetViews>
  <sheetFormatPr defaultRowHeight="14.25" x14ac:dyDescent="0.2"/>
  <cols>
    <col min="1" max="1" width="16.375" bestFit="1" customWidth="1"/>
    <col min="2" max="2" width="10.625" bestFit="1" customWidth="1"/>
    <col min="3" max="3" width="10.625" customWidth="1"/>
    <col min="4" max="4" width="16.625" bestFit="1" customWidth="1"/>
    <col min="5" max="5" width="19.75" bestFit="1" customWidth="1"/>
    <col min="6" max="6" width="93.75" bestFit="1" customWidth="1"/>
    <col min="7" max="7" width="43.25" bestFit="1" customWidth="1"/>
    <col min="8" max="8" width="27.875" bestFit="1" customWidth="1"/>
    <col min="9" max="9" width="51.125" bestFit="1" customWidth="1"/>
    <col min="10" max="10" width="52.875" bestFit="1" customWidth="1"/>
    <col min="11" max="11" width="52.625" bestFit="1" customWidth="1"/>
    <col min="12" max="12" width="48.5" bestFit="1" customWidth="1"/>
  </cols>
  <sheetData>
    <row r="1" spans="1:12" x14ac:dyDescent="0.2">
      <c r="A1" t="s">
        <v>498</v>
      </c>
      <c r="B1" t="s">
        <v>499</v>
      </c>
      <c r="C1" t="s">
        <v>1574</v>
      </c>
      <c r="D1" t="s">
        <v>277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</row>
    <row r="2" spans="1:12" x14ac:dyDescent="0.2">
      <c r="A2" t="s">
        <v>0</v>
      </c>
      <c r="B2" t="s">
        <v>1</v>
      </c>
      <c r="C2" t="str">
        <f>IF(B2="Triều Lên",".L",IF(B2="Triều Xuống",".X","."&amp;B2))</f>
        <v>.L</v>
      </c>
      <c r="D2" t="s">
        <v>508</v>
      </c>
      <c r="E2" t="s">
        <v>2</v>
      </c>
      <c r="F2" t="s">
        <v>509</v>
      </c>
      <c r="G2" t="s">
        <v>310</v>
      </c>
      <c r="H2" t="s">
        <v>311</v>
      </c>
      <c r="I2" t="s">
        <v>510</v>
      </c>
      <c r="J2" t="s">
        <v>511</v>
      </c>
      <c r="K2" t="s">
        <v>512</v>
      </c>
      <c r="L2" t="s">
        <v>513</v>
      </c>
    </row>
    <row r="3" spans="1:12" x14ac:dyDescent="0.2">
      <c r="A3" t="s">
        <v>3</v>
      </c>
      <c r="B3" t="s">
        <v>1</v>
      </c>
      <c r="C3" t="str">
        <f t="shared" ref="C3:C66" si="0">IF(B3="Triều Lên",".L",IF(B3="Triều Xuống",".X","."&amp;B3))</f>
        <v>.L</v>
      </c>
      <c r="D3" t="s">
        <v>514</v>
      </c>
      <c r="E3" t="s">
        <v>4</v>
      </c>
      <c r="F3" t="s">
        <v>515</v>
      </c>
      <c r="G3" t="s">
        <v>312</v>
      </c>
      <c r="H3" t="s">
        <v>313</v>
      </c>
      <c r="I3" t="s">
        <v>516</v>
      </c>
      <c r="J3" t="s">
        <v>517</v>
      </c>
      <c r="K3" t="s">
        <v>518</v>
      </c>
      <c r="L3" t="s">
        <v>519</v>
      </c>
    </row>
    <row r="4" spans="1:12" x14ac:dyDescent="0.2">
      <c r="A4" t="s">
        <v>5</v>
      </c>
      <c r="B4" t="s">
        <v>1</v>
      </c>
      <c r="C4" t="str">
        <f t="shared" si="0"/>
        <v>.L</v>
      </c>
      <c r="D4" t="s">
        <v>520</v>
      </c>
      <c r="E4" t="s">
        <v>6</v>
      </c>
      <c r="F4" t="s">
        <v>521</v>
      </c>
      <c r="G4" t="s">
        <v>314</v>
      </c>
      <c r="H4" t="s">
        <v>315</v>
      </c>
      <c r="I4" t="s">
        <v>522</v>
      </c>
      <c r="J4" t="s">
        <v>523</v>
      </c>
      <c r="K4" t="s">
        <v>524</v>
      </c>
      <c r="L4" t="s">
        <v>525</v>
      </c>
    </row>
    <row r="5" spans="1:12" x14ac:dyDescent="0.2">
      <c r="A5" t="s">
        <v>7</v>
      </c>
      <c r="B5" t="s">
        <v>1</v>
      </c>
      <c r="C5" t="str">
        <f t="shared" si="0"/>
        <v>.L</v>
      </c>
      <c r="D5" t="s">
        <v>526</v>
      </c>
      <c r="E5" t="s">
        <v>8</v>
      </c>
      <c r="F5" t="s">
        <v>527</v>
      </c>
      <c r="G5" t="s">
        <v>316</v>
      </c>
      <c r="H5" t="s">
        <v>317</v>
      </c>
      <c r="I5" t="s">
        <v>528</v>
      </c>
      <c r="J5" t="s">
        <v>529</v>
      </c>
      <c r="K5" t="s">
        <v>530</v>
      </c>
      <c r="L5" t="s">
        <v>531</v>
      </c>
    </row>
    <row r="6" spans="1:12" x14ac:dyDescent="0.2">
      <c r="A6" t="s">
        <v>9</v>
      </c>
      <c r="B6" t="s">
        <v>1</v>
      </c>
      <c r="C6" t="str">
        <f t="shared" si="0"/>
        <v>.L</v>
      </c>
      <c r="D6" t="s">
        <v>532</v>
      </c>
      <c r="E6" t="s">
        <v>10</v>
      </c>
      <c r="F6" t="s">
        <v>533</v>
      </c>
      <c r="G6" t="s">
        <v>334</v>
      </c>
      <c r="H6" t="s">
        <v>335</v>
      </c>
      <c r="I6" t="s">
        <v>534</v>
      </c>
      <c r="J6" t="s">
        <v>535</v>
      </c>
      <c r="K6" t="s">
        <v>536</v>
      </c>
      <c r="L6" t="s">
        <v>537</v>
      </c>
    </row>
    <row r="7" spans="1:12" x14ac:dyDescent="0.2">
      <c r="A7" t="s">
        <v>11</v>
      </c>
      <c r="B7" t="s">
        <v>1</v>
      </c>
      <c r="C7" t="str">
        <f t="shared" si="0"/>
        <v>.L</v>
      </c>
      <c r="D7" t="s">
        <v>538</v>
      </c>
      <c r="E7" t="s">
        <v>12</v>
      </c>
      <c r="F7" t="s">
        <v>539</v>
      </c>
      <c r="G7" t="s">
        <v>330</v>
      </c>
      <c r="H7" t="s">
        <v>331</v>
      </c>
      <c r="I7" t="s">
        <v>540</v>
      </c>
      <c r="J7" t="s">
        <v>541</v>
      </c>
      <c r="K7" t="s">
        <v>542</v>
      </c>
      <c r="L7" t="s">
        <v>543</v>
      </c>
    </row>
    <row r="8" spans="1:12" x14ac:dyDescent="0.2">
      <c r="A8" t="s">
        <v>13</v>
      </c>
      <c r="B8" t="s">
        <v>1</v>
      </c>
      <c r="C8" t="str">
        <f t="shared" si="0"/>
        <v>.L</v>
      </c>
      <c r="D8" t="s">
        <v>544</v>
      </c>
      <c r="E8" t="s">
        <v>14</v>
      </c>
      <c r="F8" t="s">
        <v>545</v>
      </c>
      <c r="G8" t="s">
        <v>332</v>
      </c>
      <c r="H8" t="s">
        <v>333</v>
      </c>
      <c r="I8" t="s">
        <v>546</v>
      </c>
      <c r="J8" t="s">
        <v>547</v>
      </c>
      <c r="K8" t="s">
        <v>548</v>
      </c>
      <c r="L8" t="s">
        <v>549</v>
      </c>
    </row>
    <row r="9" spans="1:12" x14ac:dyDescent="0.2">
      <c r="A9" t="s">
        <v>15</v>
      </c>
      <c r="B9" t="s">
        <v>1</v>
      </c>
      <c r="C9" t="str">
        <f t="shared" si="0"/>
        <v>.L</v>
      </c>
      <c r="D9" t="s">
        <v>550</v>
      </c>
      <c r="E9" t="s">
        <v>16</v>
      </c>
      <c r="F9" t="s">
        <v>551</v>
      </c>
      <c r="G9" t="s">
        <v>318</v>
      </c>
      <c r="H9" t="s">
        <v>319</v>
      </c>
      <c r="I9" t="s">
        <v>552</v>
      </c>
      <c r="J9" t="s">
        <v>553</v>
      </c>
      <c r="K9" t="s">
        <v>554</v>
      </c>
      <c r="L9" t="s">
        <v>555</v>
      </c>
    </row>
    <row r="10" spans="1:12" x14ac:dyDescent="0.2">
      <c r="A10" t="s">
        <v>17</v>
      </c>
      <c r="B10" t="s">
        <v>1</v>
      </c>
      <c r="C10" t="str">
        <f t="shared" si="0"/>
        <v>.L</v>
      </c>
      <c r="D10" t="s">
        <v>556</v>
      </c>
      <c r="E10" t="s">
        <v>18</v>
      </c>
      <c r="F10" t="s">
        <v>557</v>
      </c>
      <c r="G10" t="s">
        <v>336</v>
      </c>
      <c r="H10" t="s">
        <v>337</v>
      </c>
      <c r="I10" t="s">
        <v>558</v>
      </c>
      <c r="J10" t="s">
        <v>559</v>
      </c>
      <c r="K10" t="s">
        <v>560</v>
      </c>
      <c r="L10" t="s">
        <v>561</v>
      </c>
    </row>
    <row r="11" spans="1:12" x14ac:dyDescent="0.2">
      <c r="A11" t="s">
        <v>19</v>
      </c>
      <c r="B11" t="s">
        <v>1</v>
      </c>
      <c r="C11" t="str">
        <f t="shared" si="0"/>
        <v>.L</v>
      </c>
      <c r="D11" t="s">
        <v>562</v>
      </c>
      <c r="E11" t="s">
        <v>20</v>
      </c>
      <c r="F11" t="s">
        <v>563</v>
      </c>
      <c r="G11" t="s">
        <v>338</v>
      </c>
      <c r="H11" t="s">
        <v>339</v>
      </c>
      <c r="I11" t="s">
        <v>564</v>
      </c>
      <c r="J11" t="s">
        <v>565</v>
      </c>
      <c r="K11" t="s">
        <v>566</v>
      </c>
      <c r="L11" t="s">
        <v>567</v>
      </c>
    </row>
    <row r="12" spans="1:12" x14ac:dyDescent="0.2">
      <c r="A12" t="s">
        <v>0</v>
      </c>
      <c r="B12" t="s">
        <v>21</v>
      </c>
      <c r="C12" t="str">
        <f t="shared" si="0"/>
        <v>.X</v>
      </c>
      <c r="D12" t="s">
        <v>508</v>
      </c>
      <c r="E12" t="s">
        <v>22</v>
      </c>
      <c r="F12" t="s">
        <v>509</v>
      </c>
      <c r="G12" t="s">
        <v>320</v>
      </c>
      <c r="H12" t="s">
        <v>321</v>
      </c>
      <c r="I12" t="s">
        <v>568</v>
      </c>
      <c r="J12" t="s">
        <v>569</v>
      </c>
      <c r="K12" t="s">
        <v>570</v>
      </c>
      <c r="L12" t="s">
        <v>571</v>
      </c>
    </row>
    <row r="13" spans="1:12" x14ac:dyDescent="0.2">
      <c r="A13" t="s">
        <v>3</v>
      </c>
      <c r="B13" t="s">
        <v>21</v>
      </c>
      <c r="C13" t="str">
        <f t="shared" si="0"/>
        <v>.X</v>
      </c>
      <c r="D13" t="s">
        <v>514</v>
      </c>
      <c r="E13" t="s">
        <v>23</v>
      </c>
      <c r="F13" t="s">
        <v>515</v>
      </c>
      <c r="G13" t="s">
        <v>322</v>
      </c>
      <c r="H13" t="s">
        <v>323</v>
      </c>
      <c r="I13" t="s">
        <v>572</v>
      </c>
      <c r="J13" t="s">
        <v>573</v>
      </c>
      <c r="K13" t="s">
        <v>574</v>
      </c>
      <c r="L13" t="s">
        <v>575</v>
      </c>
    </row>
    <row r="14" spans="1:12" x14ac:dyDescent="0.2">
      <c r="A14" t="s">
        <v>5</v>
      </c>
      <c r="B14" t="s">
        <v>21</v>
      </c>
      <c r="C14" t="str">
        <f t="shared" si="0"/>
        <v>.X</v>
      </c>
      <c r="D14" t="s">
        <v>520</v>
      </c>
      <c r="E14" t="s">
        <v>24</v>
      </c>
      <c r="F14" t="s">
        <v>521</v>
      </c>
      <c r="G14" t="s">
        <v>324</v>
      </c>
      <c r="H14" t="s">
        <v>325</v>
      </c>
      <c r="I14" t="s">
        <v>576</v>
      </c>
      <c r="J14" t="s">
        <v>577</v>
      </c>
      <c r="K14" t="s">
        <v>578</v>
      </c>
      <c r="L14" t="s">
        <v>579</v>
      </c>
    </row>
    <row r="15" spans="1:12" x14ac:dyDescent="0.2">
      <c r="A15" t="s">
        <v>7</v>
      </c>
      <c r="B15" t="s">
        <v>21</v>
      </c>
      <c r="C15" t="str">
        <f t="shared" si="0"/>
        <v>.X</v>
      </c>
      <c r="D15" t="s">
        <v>526</v>
      </c>
      <c r="E15" t="s">
        <v>25</v>
      </c>
      <c r="F15" t="s">
        <v>527</v>
      </c>
      <c r="G15" t="s">
        <v>326</v>
      </c>
      <c r="H15" t="s">
        <v>327</v>
      </c>
      <c r="I15" t="s">
        <v>580</v>
      </c>
      <c r="J15" t="s">
        <v>581</v>
      </c>
      <c r="K15" t="s">
        <v>582</v>
      </c>
      <c r="L15" t="s">
        <v>583</v>
      </c>
    </row>
    <row r="16" spans="1:12" x14ac:dyDescent="0.2">
      <c r="A16" t="s">
        <v>9</v>
      </c>
      <c r="B16" t="s">
        <v>21</v>
      </c>
      <c r="C16" t="str">
        <f t="shared" si="0"/>
        <v>.X</v>
      </c>
      <c r="D16" t="s">
        <v>532</v>
      </c>
      <c r="E16" t="s">
        <v>26</v>
      </c>
      <c r="F16" t="s">
        <v>533</v>
      </c>
      <c r="G16" t="s">
        <v>344</v>
      </c>
      <c r="H16" t="s">
        <v>345</v>
      </c>
      <c r="I16" t="s">
        <v>584</v>
      </c>
      <c r="J16" t="s">
        <v>585</v>
      </c>
      <c r="K16" t="s">
        <v>586</v>
      </c>
      <c r="L16" t="s">
        <v>587</v>
      </c>
    </row>
    <row r="17" spans="1:12" x14ac:dyDescent="0.2">
      <c r="A17" t="s">
        <v>11</v>
      </c>
      <c r="B17" t="s">
        <v>21</v>
      </c>
      <c r="C17" t="str">
        <f t="shared" si="0"/>
        <v>.X</v>
      </c>
      <c r="D17" t="s">
        <v>538</v>
      </c>
      <c r="E17" t="s">
        <v>27</v>
      </c>
      <c r="F17" t="s">
        <v>539</v>
      </c>
      <c r="G17" t="s">
        <v>340</v>
      </c>
      <c r="H17" t="s">
        <v>341</v>
      </c>
      <c r="I17" t="s">
        <v>588</v>
      </c>
      <c r="J17" t="s">
        <v>589</v>
      </c>
      <c r="K17" t="s">
        <v>590</v>
      </c>
      <c r="L17" t="s">
        <v>591</v>
      </c>
    </row>
    <row r="18" spans="1:12" x14ac:dyDescent="0.2">
      <c r="A18" t="s">
        <v>13</v>
      </c>
      <c r="B18" t="s">
        <v>21</v>
      </c>
      <c r="C18" t="str">
        <f t="shared" si="0"/>
        <v>.X</v>
      </c>
      <c r="D18" t="s">
        <v>544</v>
      </c>
      <c r="E18" t="s">
        <v>28</v>
      </c>
      <c r="F18" t="s">
        <v>545</v>
      </c>
      <c r="G18" t="s">
        <v>342</v>
      </c>
      <c r="H18" t="s">
        <v>343</v>
      </c>
      <c r="I18" t="s">
        <v>592</v>
      </c>
      <c r="J18" t="s">
        <v>593</v>
      </c>
      <c r="K18" t="s">
        <v>594</v>
      </c>
      <c r="L18" t="s">
        <v>595</v>
      </c>
    </row>
    <row r="19" spans="1:12" x14ac:dyDescent="0.2">
      <c r="A19" t="s">
        <v>15</v>
      </c>
      <c r="B19" t="s">
        <v>21</v>
      </c>
      <c r="C19" t="str">
        <f t="shared" si="0"/>
        <v>.X</v>
      </c>
      <c r="D19" t="s">
        <v>550</v>
      </c>
      <c r="E19" t="s">
        <v>29</v>
      </c>
      <c r="F19" t="s">
        <v>551</v>
      </c>
      <c r="G19" t="s">
        <v>328</v>
      </c>
      <c r="H19" t="s">
        <v>329</v>
      </c>
      <c r="I19" t="s">
        <v>596</v>
      </c>
      <c r="J19" t="s">
        <v>597</v>
      </c>
      <c r="K19" t="s">
        <v>598</v>
      </c>
      <c r="L19" t="s">
        <v>599</v>
      </c>
    </row>
    <row r="20" spans="1:12" x14ac:dyDescent="0.2">
      <c r="A20" t="s">
        <v>17</v>
      </c>
      <c r="B20" t="s">
        <v>21</v>
      </c>
      <c r="C20" t="str">
        <f t="shared" si="0"/>
        <v>.X</v>
      </c>
      <c r="D20" t="s">
        <v>556</v>
      </c>
      <c r="E20" t="s">
        <v>30</v>
      </c>
      <c r="F20" t="s">
        <v>557</v>
      </c>
      <c r="G20" t="s">
        <v>346</v>
      </c>
      <c r="H20" t="s">
        <v>347</v>
      </c>
      <c r="I20" t="s">
        <v>600</v>
      </c>
      <c r="J20" t="s">
        <v>601</v>
      </c>
      <c r="K20" t="s">
        <v>602</v>
      </c>
      <c r="L20" t="s">
        <v>603</v>
      </c>
    </row>
    <row r="21" spans="1:12" x14ac:dyDescent="0.2">
      <c r="A21" t="s">
        <v>19</v>
      </c>
      <c r="B21" t="s">
        <v>21</v>
      </c>
      <c r="C21" t="str">
        <f t="shared" si="0"/>
        <v>.X</v>
      </c>
      <c r="D21" t="s">
        <v>562</v>
      </c>
      <c r="E21" t="s">
        <v>31</v>
      </c>
      <c r="F21" t="s">
        <v>563</v>
      </c>
      <c r="G21" t="s">
        <v>348</v>
      </c>
      <c r="H21" t="s">
        <v>349</v>
      </c>
      <c r="I21" t="s">
        <v>604</v>
      </c>
      <c r="J21" t="s">
        <v>605</v>
      </c>
      <c r="K21" t="s">
        <v>606</v>
      </c>
      <c r="L21" t="s">
        <v>607</v>
      </c>
    </row>
    <row r="22" spans="1:12" x14ac:dyDescent="0.2">
      <c r="A22" t="s">
        <v>32</v>
      </c>
      <c r="B22" t="s">
        <v>608</v>
      </c>
      <c r="C22" t="str">
        <f t="shared" si="0"/>
        <v>.01</v>
      </c>
      <c r="D22" t="s">
        <v>609</v>
      </c>
      <c r="E22" t="s">
        <v>610</v>
      </c>
      <c r="F22" t="s">
        <v>611</v>
      </c>
      <c r="G22" t="s">
        <v>474</v>
      </c>
      <c r="H22" t="s">
        <v>475</v>
      </c>
      <c r="I22" t="s">
        <v>612</v>
      </c>
      <c r="J22" t="s">
        <v>613</v>
      </c>
      <c r="K22" t="s">
        <v>614</v>
      </c>
      <c r="L22" t="s">
        <v>615</v>
      </c>
    </row>
    <row r="23" spans="1:12" x14ac:dyDescent="0.2">
      <c r="A23" t="s">
        <v>34</v>
      </c>
      <c r="B23" t="s">
        <v>608</v>
      </c>
      <c r="C23" t="str">
        <f t="shared" si="0"/>
        <v>.01</v>
      </c>
      <c r="D23" t="s">
        <v>616</v>
      </c>
      <c r="E23" t="s">
        <v>617</v>
      </c>
      <c r="F23" t="s">
        <v>618</v>
      </c>
      <c r="G23" t="s">
        <v>476</v>
      </c>
      <c r="H23" t="s">
        <v>477</v>
      </c>
      <c r="I23" t="s">
        <v>619</v>
      </c>
      <c r="J23" t="s">
        <v>620</v>
      </c>
      <c r="K23" t="s">
        <v>621</v>
      </c>
      <c r="L23" t="s">
        <v>622</v>
      </c>
    </row>
    <row r="24" spans="1:12" x14ac:dyDescent="0.2">
      <c r="A24" t="s">
        <v>36</v>
      </c>
      <c r="B24" t="s">
        <v>1</v>
      </c>
      <c r="C24" t="str">
        <f t="shared" si="0"/>
        <v>.L</v>
      </c>
      <c r="D24" t="s">
        <v>623</v>
      </c>
      <c r="E24" t="s">
        <v>37</v>
      </c>
      <c r="F24" t="s">
        <v>624</v>
      </c>
      <c r="G24" t="s">
        <v>625</v>
      </c>
      <c r="H24" t="s">
        <v>626</v>
      </c>
      <c r="I24" t="s">
        <v>627</v>
      </c>
      <c r="J24" t="s">
        <v>628</v>
      </c>
      <c r="K24" t="s">
        <v>629</v>
      </c>
      <c r="L24" t="s">
        <v>630</v>
      </c>
    </row>
    <row r="25" spans="1:12" x14ac:dyDescent="0.2">
      <c r="A25" t="s">
        <v>38</v>
      </c>
      <c r="B25" t="s">
        <v>608</v>
      </c>
      <c r="C25" t="str">
        <f t="shared" si="0"/>
        <v>.01</v>
      </c>
      <c r="D25" t="s">
        <v>631</v>
      </c>
      <c r="E25" t="s">
        <v>632</v>
      </c>
      <c r="F25" t="s">
        <v>633</v>
      </c>
      <c r="G25" t="s">
        <v>478</v>
      </c>
      <c r="H25" t="s">
        <v>479</v>
      </c>
      <c r="I25" t="s">
        <v>634</v>
      </c>
      <c r="J25" t="s">
        <v>635</v>
      </c>
      <c r="K25" t="s">
        <v>636</v>
      </c>
      <c r="L25" t="s">
        <v>637</v>
      </c>
    </row>
    <row r="26" spans="1:12" x14ac:dyDescent="0.2">
      <c r="A26" t="s">
        <v>40</v>
      </c>
      <c r="B26" t="s">
        <v>608</v>
      </c>
      <c r="C26" t="str">
        <f t="shared" si="0"/>
        <v>.01</v>
      </c>
      <c r="D26" t="s">
        <v>638</v>
      </c>
      <c r="E26" t="s">
        <v>639</v>
      </c>
      <c r="F26" t="s">
        <v>640</v>
      </c>
      <c r="G26" t="s">
        <v>480</v>
      </c>
      <c r="H26" t="s">
        <v>481</v>
      </c>
      <c r="I26" t="s">
        <v>641</v>
      </c>
      <c r="J26" t="s">
        <v>642</v>
      </c>
      <c r="K26" t="s">
        <v>643</v>
      </c>
      <c r="L26" t="s">
        <v>644</v>
      </c>
    </row>
    <row r="27" spans="1:12" x14ac:dyDescent="0.2">
      <c r="A27" t="s">
        <v>42</v>
      </c>
      <c r="B27" t="s">
        <v>608</v>
      </c>
      <c r="C27" t="str">
        <f t="shared" si="0"/>
        <v>.01</v>
      </c>
      <c r="D27" t="s">
        <v>645</v>
      </c>
      <c r="E27" t="s">
        <v>646</v>
      </c>
      <c r="F27" t="s">
        <v>647</v>
      </c>
      <c r="G27" t="s">
        <v>482</v>
      </c>
      <c r="H27" t="s">
        <v>483</v>
      </c>
      <c r="I27" t="s">
        <v>648</v>
      </c>
      <c r="J27" t="s">
        <v>649</v>
      </c>
      <c r="K27" t="s">
        <v>650</v>
      </c>
      <c r="L27" t="s">
        <v>651</v>
      </c>
    </row>
    <row r="28" spans="1:12" x14ac:dyDescent="0.2">
      <c r="A28" t="s">
        <v>44</v>
      </c>
      <c r="B28" t="s">
        <v>608</v>
      </c>
      <c r="C28" t="str">
        <f t="shared" si="0"/>
        <v>.01</v>
      </c>
      <c r="D28" t="s">
        <v>652</v>
      </c>
      <c r="E28" t="s">
        <v>653</v>
      </c>
      <c r="F28" t="s">
        <v>654</v>
      </c>
      <c r="G28" t="s">
        <v>484</v>
      </c>
      <c r="H28" t="s">
        <v>485</v>
      </c>
      <c r="I28" t="s">
        <v>655</v>
      </c>
      <c r="J28" t="s">
        <v>656</v>
      </c>
      <c r="K28" t="s">
        <v>657</v>
      </c>
      <c r="L28" t="s">
        <v>658</v>
      </c>
    </row>
    <row r="29" spans="1:12" x14ac:dyDescent="0.2">
      <c r="A29" t="s">
        <v>46</v>
      </c>
      <c r="B29" t="s">
        <v>1</v>
      </c>
      <c r="C29" t="str">
        <f t="shared" si="0"/>
        <v>.L</v>
      </c>
      <c r="D29" t="s">
        <v>659</v>
      </c>
      <c r="E29" t="s">
        <v>47</v>
      </c>
      <c r="F29" t="s">
        <v>660</v>
      </c>
      <c r="G29" t="s">
        <v>661</v>
      </c>
      <c r="H29" t="s">
        <v>662</v>
      </c>
      <c r="I29" t="s">
        <v>663</v>
      </c>
      <c r="J29" t="s">
        <v>664</v>
      </c>
      <c r="K29" t="s">
        <v>665</v>
      </c>
      <c r="L29" t="s">
        <v>666</v>
      </c>
    </row>
    <row r="30" spans="1:12" x14ac:dyDescent="0.2">
      <c r="A30" t="s">
        <v>32</v>
      </c>
      <c r="B30" t="s">
        <v>667</v>
      </c>
      <c r="C30" t="str">
        <f t="shared" si="0"/>
        <v>.02</v>
      </c>
      <c r="D30" t="s">
        <v>609</v>
      </c>
      <c r="E30" t="s">
        <v>668</v>
      </c>
      <c r="F30" t="s">
        <v>611</v>
      </c>
      <c r="G30" t="s">
        <v>486</v>
      </c>
      <c r="H30" t="s">
        <v>487</v>
      </c>
      <c r="I30" t="s">
        <v>669</v>
      </c>
      <c r="J30" t="s">
        <v>670</v>
      </c>
      <c r="K30" t="s">
        <v>671</v>
      </c>
      <c r="L30" t="s">
        <v>672</v>
      </c>
    </row>
    <row r="31" spans="1:12" x14ac:dyDescent="0.2">
      <c r="A31" t="s">
        <v>34</v>
      </c>
      <c r="B31" t="s">
        <v>667</v>
      </c>
      <c r="C31" t="str">
        <f t="shared" si="0"/>
        <v>.02</v>
      </c>
      <c r="D31" t="s">
        <v>616</v>
      </c>
      <c r="E31" t="s">
        <v>673</v>
      </c>
      <c r="F31" t="s">
        <v>618</v>
      </c>
      <c r="G31" t="s">
        <v>488</v>
      </c>
      <c r="H31" t="s">
        <v>489</v>
      </c>
      <c r="I31" t="s">
        <v>674</v>
      </c>
      <c r="J31" t="s">
        <v>675</v>
      </c>
      <c r="K31" t="s">
        <v>676</v>
      </c>
      <c r="L31" t="s">
        <v>677</v>
      </c>
    </row>
    <row r="32" spans="1:12" x14ac:dyDescent="0.2">
      <c r="A32" t="s">
        <v>36</v>
      </c>
      <c r="B32" t="s">
        <v>21</v>
      </c>
      <c r="C32" t="str">
        <f t="shared" si="0"/>
        <v>.X</v>
      </c>
      <c r="D32" t="s">
        <v>623</v>
      </c>
      <c r="E32" t="s">
        <v>50</v>
      </c>
      <c r="F32" t="s">
        <v>624</v>
      </c>
      <c r="G32" t="s">
        <v>678</v>
      </c>
      <c r="H32" t="s">
        <v>679</v>
      </c>
      <c r="I32" t="s">
        <v>680</v>
      </c>
      <c r="J32" t="s">
        <v>681</v>
      </c>
      <c r="K32" t="s">
        <v>682</v>
      </c>
      <c r="L32" t="s">
        <v>683</v>
      </c>
    </row>
    <row r="33" spans="1:12" x14ac:dyDescent="0.2">
      <c r="A33" t="s">
        <v>38</v>
      </c>
      <c r="B33" t="s">
        <v>667</v>
      </c>
      <c r="C33" t="str">
        <f t="shared" si="0"/>
        <v>.02</v>
      </c>
      <c r="D33" t="s">
        <v>631</v>
      </c>
      <c r="E33" t="s">
        <v>684</v>
      </c>
      <c r="F33" t="s">
        <v>633</v>
      </c>
      <c r="G33" t="s">
        <v>490</v>
      </c>
      <c r="H33" t="s">
        <v>491</v>
      </c>
      <c r="I33" t="s">
        <v>685</v>
      </c>
      <c r="J33" t="s">
        <v>686</v>
      </c>
      <c r="K33" t="s">
        <v>687</v>
      </c>
      <c r="L33" t="s">
        <v>688</v>
      </c>
    </row>
    <row r="34" spans="1:12" x14ac:dyDescent="0.2">
      <c r="A34" t="s">
        <v>40</v>
      </c>
      <c r="B34" t="s">
        <v>667</v>
      </c>
      <c r="C34" t="str">
        <f t="shared" si="0"/>
        <v>.02</v>
      </c>
      <c r="D34" t="s">
        <v>638</v>
      </c>
      <c r="E34" t="s">
        <v>689</v>
      </c>
      <c r="F34" t="s">
        <v>640</v>
      </c>
      <c r="G34" t="s">
        <v>492</v>
      </c>
      <c r="H34" t="s">
        <v>493</v>
      </c>
      <c r="I34" t="s">
        <v>690</v>
      </c>
      <c r="J34" t="s">
        <v>691</v>
      </c>
      <c r="K34" t="s">
        <v>692</v>
      </c>
      <c r="L34" t="s">
        <v>693</v>
      </c>
    </row>
    <row r="35" spans="1:12" x14ac:dyDescent="0.2">
      <c r="A35" t="s">
        <v>42</v>
      </c>
      <c r="B35" t="s">
        <v>667</v>
      </c>
      <c r="C35" t="str">
        <f t="shared" si="0"/>
        <v>.02</v>
      </c>
      <c r="D35" t="s">
        <v>645</v>
      </c>
      <c r="E35" t="s">
        <v>694</v>
      </c>
      <c r="F35" t="s">
        <v>647</v>
      </c>
      <c r="G35" t="s">
        <v>494</v>
      </c>
      <c r="H35" t="s">
        <v>495</v>
      </c>
      <c r="I35" t="s">
        <v>695</v>
      </c>
      <c r="J35" t="s">
        <v>696</v>
      </c>
      <c r="K35" t="s">
        <v>697</v>
      </c>
      <c r="L35" t="s">
        <v>698</v>
      </c>
    </row>
    <row r="36" spans="1:12" x14ac:dyDescent="0.2">
      <c r="A36" t="s">
        <v>44</v>
      </c>
      <c r="B36" t="s">
        <v>667</v>
      </c>
      <c r="C36" t="str">
        <f t="shared" si="0"/>
        <v>.02</v>
      </c>
      <c r="D36" t="s">
        <v>652</v>
      </c>
      <c r="E36" t="s">
        <v>699</v>
      </c>
      <c r="F36" t="s">
        <v>654</v>
      </c>
      <c r="G36" t="s">
        <v>496</v>
      </c>
      <c r="H36" t="s">
        <v>497</v>
      </c>
      <c r="I36" t="s">
        <v>700</v>
      </c>
      <c r="J36" t="s">
        <v>701</v>
      </c>
      <c r="K36" t="s">
        <v>702</v>
      </c>
      <c r="L36" t="s">
        <v>703</v>
      </c>
    </row>
    <row r="37" spans="1:12" x14ac:dyDescent="0.2">
      <c r="A37" t="s">
        <v>46</v>
      </c>
      <c r="B37" t="s">
        <v>21</v>
      </c>
      <c r="C37" t="str">
        <f t="shared" si="0"/>
        <v>.X</v>
      </c>
      <c r="D37" t="s">
        <v>659</v>
      </c>
      <c r="E37" t="s">
        <v>55</v>
      </c>
      <c r="F37" t="s">
        <v>660</v>
      </c>
      <c r="G37" t="s">
        <v>704</v>
      </c>
      <c r="H37" t="s">
        <v>705</v>
      </c>
      <c r="I37" t="s">
        <v>706</v>
      </c>
      <c r="J37" t="s">
        <v>707</v>
      </c>
      <c r="K37" t="s">
        <v>708</v>
      </c>
      <c r="L37" t="s">
        <v>709</v>
      </c>
    </row>
    <row r="38" spans="1:12" x14ac:dyDescent="0.2">
      <c r="A38" t="s">
        <v>56</v>
      </c>
      <c r="B38" t="s">
        <v>1</v>
      </c>
      <c r="C38" t="str">
        <f t="shared" si="0"/>
        <v>.L</v>
      </c>
      <c r="D38" t="s">
        <v>710</v>
      </c>
      <c r="E38" t="s">
        <v>57</v>
      </c>
      <c r="F38" t="s">
        <v>711</v>
      </c>
      <c r="G38" t="s">
        <v>712</v>
      </c>
      <c r="H38" t="s">
        <v>713</v>
      </c>
      <c r="I38" t="s">
        <v>714</v>
      </c>
      <c r="J38" t="s">
        <v>715</v>
      </c>
      <c r="K38" t="s">
        <v>716</v>
      </c>
      <c r="L38" t="s">
        <v>717</v>
      </c>
    </row>
    <row r="39" spans="1:12" x14ac:dyDescent="0.2">
      <c r="A39" t="s">
        <v>58</v>
      </c>
      <c r="B39" t="s">
        <v>1</v>
      </c>
      <c r="C39" t="str">
        <f t="shared" si="0"/>
        <v>.L</v>
      </c>
      <c r="D39" t="s">
        <v>718</v>
      </c>
      <c r="E39" t="s">
        <v>59</v>
      </c>
      <c r="F39" t="s">
        <v>719</v>
      </c>
      <c r="G39" t="s">
        <v>720</v>
      </c>
      <c r="H39" t="s">
        <v>721</v>
      </c>
      <c r="I39" t="s">
        <v>722</v>
      </c>
      <c r="J39" t="s">
        <v>723</v>
      </c>
      <c r="K39" t="s">
        <v>724</v>
      </c>
      <c r="L39" t="s">
        <v>725</v>
      </c>
    </row>
    <row r="40" spans="1:12" x14ac:dyDescent="0.2">
      <c r="A40" t="s">
        <v>60</v>
      </c>
      <c r="B40" t="s">
        <v>1</v>
      </c>
      <c r="C40" t="str">
        <f t="shared" si="0"/>
        <v>.L</v>
      </c>
      <c r="D40" t="s">
        <v>726</v>
      </c>
      <c r="E40" t="s">
        <v>61</v>
      </c>
      <c r="F40" t="s">
        <v>727</v>
      </c>
      <c r="G40" t="s">
        <v>728</v>
      </c>
      <c r="H40" t="s">
        <v>729</v>
      </c>
      <c r="I40" t="s">
        <v>730</v>
      </c>
      <c r="J40" t="s">
        <v>731</v>
      </c>
      <c r="K40" t="s">
        <v>732</v>
      </c>
      <c r="L40" t="s">
        <v>733</v>
      </c>
    </row>
    <row r="41" spans="1:12" x14ac:dyDescent="0.2">
      <c r="A41" t="s">
        <v>62</v>
      </c>
      <c r="B41" t="s">
        <v>1</v>
      </c>
      <c r="C41" t="str">
        <f t="shared" si="0"/>
        <v>.L</v>
      </c>
      <c r="D41" t="s">
        <v>734</v>
      </c>
      <c r="E41" t="s">
        <v>63</v>
      </c>
      <c r="F41" t="s">
        <v>735</v>
      </c>
      <c r="G41" t="s">
        <v>736</v>
      </c>
      <c r="H41" t="s">
        <v>737</v>
      </c>
      <c r="I41" t="s">
        <v>738</v>
      </c>
      <c r="J41" t="s">
        <v>739</v>
      </c>
      <c r="K41" t="s">
        <v>740</v>
      </c>
      <c r="L41" t="s">
        <v>741</v>
      </c>
    </row>
    <row r="42" spans="1:12" x14ac:dyDescent="0.2">
      <c r="A42" t="s">
        <v>64</v>
      </c>
      <c r="B42" t="s">
        <v>1</v>
      </c>
      <c r="C42" t="str">
        <f t="shared" si="0"/>
        <v>.L</v>
      </c>
      <c r="D42" t="s">
        <v>742</v>
      </c>
      <c r="E42" t="s">
        <v>65</v>
      </c>
      <c r="F42" t="s">
        <v>743</v>
      </c>
      <c r="G42" t="s">
        <v>350</v>
      </c>
      <c r="H42" t="s">
        <v>351</v>
      </c>
      <c r="I42" t="s">
        <v>744</v>
      </c>
      <c r="J42" t="s">
        <v>745</v>
      </c>
      <c r="K42" t="s">
        <v>746</v>
      </c>
      <c r="L42" t="s">
        <v>747</v>
      </c>
    </row>
    <row r="43" spans="1:12" x14ac:dyDescent="0.2">
      <c r="A43" t="s">
        <v>66</v>
      </c>
      <c r="B43" t="s">
        <v>1</v>
      </c>
      <c r="C43" t="str">
        <f t="shared" si="0"/>
        <v>.L</v>
      </c>
      <c r="D43" t="s">
        <v>748</v>
      </c>
      <c r="E43" t="s">
        <v>67</v>
      </c>
      <c r="F43" t="s">
        <v>749</v>
      </c>
      <c r="G43" t="s">
        <v>352</v>
      </c>
      <c r="H43" t="s">
        <v>353</v>
      </c>
      <c r="I43" t="s">
        <v>750</v>
      </c>
      <c r="J43" t="s">
        <v>751</v>
      </c>
      <c r="K43" t="s">
        <v>752</v>
      </c>
      <c r="L43" t="s">
        <v>753</v>
      </c>
    </row>
    <row r="44" spans="1:12" x14ac:dyDescent="0.2">
      <c r="A44" t="s">
        <v>68</v>
      </c>
      <c r="B44" t="s">
        <v>1</v>
      </c>
      <c r="C44" t="str">
        <f t="shared" si="0"/>
        <v>.L</v>
      </c>
      <c r="D44" t="s">
        <v>754</v>
      </c>
      <c r="E44" t="s">
        <v>69</v>
      </c>
      <c r="F44" t="s">
        <v>755</v>
      </c>
      <c r="G44" t="s">
        <v>354</v>
      </c>
      <c r="H44" t="s">
        <v>355</v>
      </c>
      <c r="I44" t="s">
        <v>756</v>
      </c>
      <c r="J44" t="s">
        <v>757</v>
      </c>
      <c r="K44" t="s">
        <v>758</v>
      </c>
      <c r="L44" t="s">
        <v>759</v>
      </c>
    </row>
    <row r="45" spans="1:12" x14ac:dyDescent="0.2">
      <c r="A45" t="s">
        <v>70</v>
      </c>
      <c r="B45" t="s">
        <v>1</v>
      </c>
      <c r="C45" t="str">
        <f t="shared" si="0"/>
        <v>.L</v>
      </c>
      <c r="D45" t="s">
        <v>760</v>
      </c>
      <c r="E45" t="s">
        <v>71</v>
      </c>
      <c r="F45" t="s">
        <v>761</v>
      </c>
      <c r="G45" t="s">
        <v>356</v>
      </c>
      <c r="H45" t="s">
        <v>357</v>
      </c>
      <c r="I45" t="s">
        <v>762</v>
      </c>
      <c r="J45" t="s">
        <v>763</v>
      </c>
      <c r="K45" t="s">
        <v>764</v>
      </c>
      <c r="L45" t="s">
        <v>765</v>
      </c>
    </row>
    <row r="46" spans="1:12" x14ac:dyDescent="0.2">
      <c r="A46" t="s">
        <v>72</v>
      </c>
      <c r="B46" t="s">
        <v>1</v>
      </c>
      <c r="C46" t="str">
        <f t="shared" si="0"/>
        <v>.L</v>
      </c>
      <c r="D46" t="s">
        <v>766</v>
      </c>
      <c r="E46" t="s">
        <v>73</v>
      </c>
      <c r="F46" t="s">
        <v>767</v>
      </c>
      <c r="G46" t="s">
        <v>358</v>
      </c>
      <c r="H46" t="s">
        <v>359</v>
      </c>
      <c r="I46" t="s">
        <v>768</v>
      </c>
      <c r="J46" t="s">
        <v>769</v>
      </c>
      <c r="K46" t="s">
        <v>770</v>
      </c>
      <c r="L46" t="s">
        <v>771</v>
      </c>
    </row>
    <row r="47" spans="1:12" x14ac:dyDescent="0.2">
      <c r="A47" t="s">
        <v>56</v>
      </c>
      <c r="B47" t="s">
        <v>21</v>
      </c>
      <c r="C47" t="str">
        <f t="shared" si="0"/>
        <v>.X</v>
      </c>
      <c r="D47" t="s">
        <v>710</v>
      </c>
      <c r="E47" t="s">
        <v>74</v>
      </c>
      <c r="F47" t="s">
        <v>711</v>
      </c>
      <c r="G47" t="s">
        <v>772</v>
      </c>
      <c r="H47" t="s">
        <v>773</v>
      </c>
      <c r="I47" t="s">
        <v>774</v>
      </c>
      <c r="J47" t="s">
        <v>775</v>
      </c>
      <c r="K47" t="s">
        <v>776</v>
      </c>
      <c r="L47" t="s">
        <v>777</v>
      </c>
    </row>
    <row r="48" spans="1:12" x14ac:dyDescent="0.2">
      <c r="A48" t="s">
        <v>58</v>
      </c>
      <c r="B48" t="s">
        <v>21</v>
      </c>
      <c r="C48" t="str">
        <f t="shared" si="0"/>
        <v>.X</v>
      </c>
      <c r="D48" t="s">
        <v>718</v>
      </c>
      <c r="E48" t="s">
        <v>75</v>
      </c>
      <c r="F48" t="s">
        <v>719</v>
      </c>
      <c r="G48" t="s">
        <v>778</v>
      </c>
      <c r="H48" t="s">
        <v>779</v>
      </c>
      <c r="I48" t="s">
        <v>780</v>
      </c>
      <c r="J48" t="s">
        <v>781</v>
      </c>
      <c r="K48" t="s">
        <v>782</v>
      </c>
      <c r="L48" t="s">
        <v>783</v>
      </c>
    </row>
    <row r="49" spans="1:12" x14ac:dyDescent="0.2">
      <c r="A49" t="s">
        <v>60</v>
      </c>
      <c r="B49" t="s">
        <v>21</v>
      </c>
      <c r="C49" t="str">
        <f t="shared" si="0"/>
        <v>.X</v>
      </c>
      <c r="D49" t="s">
        <v>726</v>
      </c>
      <c r="E49" t="s">
        <v>76</v>
      </c>
      <c r="F49" t="s">
        <v>727</v>
      </c>
      <c r="G49" t="s">
        <v>784</v>
      </c>
      <c r="H49" t="s">
        <v>785</v>
      </c>
      <c r="I49" t="s">
        <v>786</v>
      </c>
      <c r="J49" t="s">
        <v>787</v>
      </c>
      <c r="K49" t="s">
        <v>788</v>
      </c>
      <c r="L49" t="s">
        <v>789</v>
      </c>
    </row>
    <row r="50" spans="1:12" x14ac:dyDescent="0.2">
      <c r="A50" t="s">
        <v>62</v>
      </c>
      <c r="B50" t="s">
        <v>21</v>
      </c>
      <c r="C50" t="str">
        <f t="shared" si="0"/>
        <v>.X</v>
      </c>
      <c r="D50" t="s">
        <v>734</v>
      </c>
      <c r="E50" t="s">
        <v>77</v>
      </c>
      <c r="F50" t="s">
        <v>735</v>
      </c>
      <c r="G50" t="s">
        <v>790</v>
      </c>
      <c r="H50" t="s">
        <v>791</v>
      </c>
      <c r="I50" t="s">
        <v>792</v>
      </c>
      <c r="J50" t="s">
        <v>793</v>
      </c>
      <c r="K50" t="s">
        <v>794</v>
      </c>
      <c r="L50" t="s">
        <v>795</v>
      </c>
    </row>
    <row r="51" spans="1:12" x14ac:dyDescent="0.2">
      <c r="A51" t="s">
        <v>64</v>
      </c>
      <c r="B51" t="s">
        <v>21</v>
      </c>
      <c r="C51" t="str">
        <f t="shared" si="0"/>
        <v>.X</v>
      </c>
      <c r="D51" t="s">
        <v>742</v>
      </c>
      <c r="E51" t="s">
        <v>78</v>
      </c>
      <c r="F51" t="s">
        <v>743</v>
      </c>
      <c r="G51" t="s">
        <v>360</v>
      </c>
      <c r="H51" t="s">
        <v>361</v>
      </c>
      <c r="I51" t="s">
        <v>796</v>
      </c>
      <c r="J51" t="s">
        <v>797</v>
      </c>
      <c r="K51" t="s">
        <v>798</v>
      </c>
      <c r="L51" t="s">
        <v>799</v>
      </c>
    </row>
    <row r="52" spans="1:12" x14ac:dyDescent="0.2">
      <c r="A52" t="s">
        <v>66</v>
      </c>
      <c r="B52" t="s">
        <v>21</v>
      </c>
      <c r="C52" t="str">
        <f t="shared" si="0"/>
        <v>.X</v>
      </c>
      <c r="D52" t="s">
        <v>748</v>
      </c>
      <c r="E52" t="s">
        <v>79</v>
      </c>
      <c r="F52" t="s">
        <v>749</v>
      </c>
      <c r="G52" t="s">
        <v>362</v>
      </c>
      <c r="H52" t="s">
        <v>363</v>
      </c>
      <c r="I52" t="s">
        <v>800</v>
      </c>
      <c r="J52" t="s">
        <v>801</v>
      </c>
      <c r="K52" t="s">
        <v>802</v>
      </c>
      <c r="L52" t="s">
        <v>803</v>
      </c>
    </row>
    <row r="53" spans="1:12" x14ac:dyDescent="0.2">
      <c r="A53" t="s">
        <v>68</v>
      </c>
      <c r="B53" t="s">
        <v>21</v>
      </c>
      <c r="C53" t="str">
        <f t="shared" si="0"/>
        <v>.X</v>
      </c>
      <c r="D53" t="s">
        <v>754</v>
      </c>
      <c r="E53" t="s">
        <v>80</v>
      </c>
      <c r="F53" t="s">
        <v>755</v>
      </c>
      <c r="G53" t="s">
        <v>364</v>
      </c>
      <c r="H53" t="s">
        <v>365</v>
      </c>
      <c r="I53" t="s">
        <v>804</v>
      </c>
      <c r="J53" t="s">
        <v>805</v>
      </c>
      <c r="K53" t="s">
        <v>806</v>
      </c>
      <c r="L53" t="s">
        <v>807</v>
      </c>
    </row>
    <row r="54" spans="1:12" x14ac:dyDescent="0.2">
      <c r="A54" t="s">
        <v>70</v>
      </c>
      <c r="B54" t="s">
        <v>21</v>
      </c>
      <c r="C54" t="str">
        <f t="shared" si="0"/>
        <v>.X</v>
      </c>
      <c r="D54" t="s">
        <v>760</v>
      </c>
      <c r="E54" t="s">
        <v>81</v>
      </c>
      <c r="F54" t="s">
        <v>761</v>
      </c>
      <c r="G54" t="s">
        <v>366</v>
      </c>
      <c r="H54" t="s">
        <v>367</v>
      </c>
      <c r="I54" t="s">
        <v>808</v>
      </c>
      <c r="J54" t="s">
        <v>809</v>
      </c>
      <c r="K54" t="s">
        <v>810</v>
      </c>
      <c r="L54" t="s">
        <v>811</v>
      </c>
    </row>
    <row r="55" spans="1:12" x14ac:dyDescent="0.2">
      <c r="A55" t="s">
        <v>72</v>
      </c>
      <c r="B55" t="s">
        <v>21</v>
      </c>
      <c r="C55" t="str">
        <f t="shared" si="0"/>
        <v>.X</v>
      </c>
      <c r="D55" t="s">
        <v>766</v>
      </c>
      <c r="E55" t="s">
        <v>82</v>
      </c>
      <c r="F55" t="s">
        <v>767</v>
      </c>
      <c r="G55" t="s">
        <v>368</v>
      </c>
      <c r="H55" t="s">
        <v>369</v>
      </c>
      <c r="I55" t="s">
        <v>812</v>
      </c>
      <c r="J55" t="s">
        <v>813</v>
      </c>
      <c r="K55" t="s">
        <v>814</v>
      </c>
      <c r="L55" t="s">
        <v>815</v>
      </c>
    </row>
    <row r="56" spans="1:12" x14ac:dyDescent="0.2">
      <c r="A56" t="s">
        <v>83</v>
      </c>
      <c r="B56" t="s">
        <v>1</v>
      </c>
      <c r="C56" t="str">
        <f t="shared" si="0"/>
        <v>.L</v>
      </c>
      <c r="D56" t="s">
        <v>816</v>
      </c>
      <c r="E56" t="s">
        <v>84</v>
      </c>
      <c r="F56" t="s">
        <v>817</v>
      </c>
      <c r="G56" t="s">
        <v>818</v>
      </c>
      <c r="H56" t="s">
        <v>819</v>
      </c>
      <c r="I56" t="s">
        <v>820</v>
      </c>
      <c r="J56" t="s">
        <v>821</v>
      </c>
      <c r="K56" t="s">
        <v>822</v>
      </c>
      <c r="L56" t="s">
        <v>823</v>
      </c>
    </row>
    <row r="57" spans="1:12" x14ac:dyDescent="0.2">
      <c r="A57" t="s">
        <v>85</v>
      </c>
      <c r="B57" t="s">
        <v>1</v>
      </c>
      <c r="C57" t="str">
        <f t="shared" si="0"/>
        <v>.L</v>
      </c>
      <c r="D57" t="s">
        <v>824</v>
      </c>
      <c r="E57" t="s">
        <v>86</v>
      </c>
      <c r="F57" t="s">
        <v>825</v>
      </c>
      <c r="G57" t="s">
        <v>826</v>
      </c>
      <c r="H57" t="s">
        <v>827</v>
      </c>
      <c r="I57" t="s">
        <v>828</v>
      </c>
      <c r="J57" t="s">
        <v>829</v>
      </c>
      <c r="K57" t="s">
        <v>830</v>
      </c>
      <c r="L57" t="s">
        <v>831</v>
      </c>
    </row>
    <row r="58" spans="1:12" x14ac:dyDescent="0.2">
      <c r="A58" t="s">
        <v>87</v>
      </c>
      <c r="B58" t="s">
        <v>1</v>
      </c>
      <c r="C58" t="str">
        <f t="shared" si="0"/>
        <v>.L</v>
      </c>
      <c r="D58" t="s">
        <v>832</v>
      </c>
      <c r="E58" t="s">
        <v>88</v>
      </c>
      <c r="F58" t="s">
        <v>833</v>
      </c>
      <c r="G58" t="s">
        <v>834</v>
      </c>
      <c r="H58" t="s">
        <v>835</v>
      </c>
      <c r="I58" t="s">
        <v>836</v>
      </c>
      <c r="J58" t="s">
        <v>837</v>
      </c>
      <c r="K58" t="s">
        <v>838</v>
      </c>
      <c r="L58" t="s">
        <v>839</v>
      </c>
    </row>
    <row r="59" spans="1:12" x14ac:dyDescent="0.2">
      <c r="A59" t="s">
        <v>89</v>
      </c>
      <c r="B59" t="s">
        <v>1</v>
      </c>
      <c r="C59" t="str">
        <f t="shared" si="0"/>
        <v>.L</v>
      </c>
      <c r="D59" t="s">
        <v>840</v>
      </c>
      <c r="E59" t="s">
        <v>90</v>
      </c>
      <c r="F59" t="s">
        <v>841</v>
      </c>
      <c r="G59" t="s">
        <v>842</v>
      </c>
      <c r="H59" t="s">
        <v>843</v>
      </c>
      <c r="I59" t="s">
        <v>844</v>
      </c>
      <c r="J59" t="s">
        <v>845</v>
      </c>
      <c r="K59" t="s">
        <v>846</v>
      </c>
      <c r="L59" t="s">
        <v>847</v>
      </c>
    </row>
    <row r="60" spans="1:12" x14ac:dyDescent="0.2">
      <c r="A60" t="s">
        <v>91</v>
      </c>
      <c r="B60" t="s">
        <v>1</v>
      </c>
      <c r="C60" t="str">
        <f t="shared" si="0"/>
        <v>.L</v>
      </c>
      <c r="D60" t="s">
        <v>848</v>
      </c>
      <c r="E60" t="s">
        <v>92</v>
      </c>
      <c r="F60" t="s">
        <v>849</v>
      </c>
      <c r="G60" t="s">
        <v>850</v>
      </c>
      <c r="H60" t="s">
        <v>851</v>
      </c>
      <c r="I60" t="s">
        <v>852</v>
      </c>
      <c r="J60" t="s">
        <v>853</v>
      </c>
      <c r="K60" t="s">
        <v>854</v>
      </c>
      <c r="L60" t="s">
        <v>855</v>
      </c>
    </row>
    <row r="61" spans="1:12" x14ac:dyDescent="0.2">
      <c r="A61" t="s">
        <v>93</v>
      </c>
      <c r="B61" t="s">
        <v>1</v>
      </c>
      <c r="C61" t="str">
        <f t="shared" si="0"/>
        <v>.L</v>
      </c>
      <c r="D61" t="s">
        <v>856</v>
      </c>
      <c r="E61" t="s">
        <v>94</v>
      </c>
      <c r="F61" t="s">
        <v>857</v>
      </c>
      <c r="G61" t="s">
        <v>858</v>
      </c>
      <c r="H61" t="s">
        <v>859</v>
      </c>
      <c r="I61" t="s">
        <v>860</v>
      </c>
      <c r="J61" t="s">
        <v>861</v>
      </c>
      <c r="K61" t="s">
        <v>862</v>
      </c>
      <c r="L61" t="s">
        <v>863</v>
      </c>
    </row>
    <row r="62" spans="1:12" x14ac:dyDescent="0.2">
      <c r="A62" t="s">
        <v>95</v>
      </c>
      <c r="B62" t="s">
        <v>1</v>
      </c>
      <c r="C62" t="str">
        <f t="shared" si="0"/>
        <v>.L</v>
      </c>
      <c r="D62" t="s">
        <v>864</v>
      </c>
      <c r="E62" t="s">
        <v>96</v>
      </c>
      <c r="F62" t="s">
        <v>865</v>
      </c>
      <c r="G62" t="s">
        <v>866</v>
      </c>
      <c r="H62" t="s">
        <v>867</v>
      </c>
      <c r="I62" t="s">
        <v>868</v>
      </c>
      <c r="J62" t="s">
        <v>869</v>
      </c>
      <c r="K62" t="s">
        <v>870</v>
      </c>
      <c r="L62" t="s">
        <v>871</v>
      </c>
    </row>
    <row r="63" spans="1:12" x14ac:dyDescent="0.2">
      <c r="A63" t="s">
        <v>83</v>
      </c>
      <c r="B63" t="s">
        <v>21</v>
      </c>
      <c r="C63" t="str">
        <f t="shared" si="0"/>
        <v>.X</v>
      </c>
      <c r="D63" t="s">
        <v>816</v>
      </c>
      <c r="E63" t="s">
        <v>97</v>
      </c>
      <c r="F63" t="s">
        <v>817</v>
      </c>
      <c r="G63" t="s">
        <v>872</v>
      </c>
      <c r="H63" t="s">
        <v>873</v>
      </c>
      <c r="I63" t="s">
        <v>874</v>
      </c>
      <c r="J63" t="s">
        <v>875</v>
      </c>
      <c r="K63" t="s">
        <v>876</v>
      </c>
      <c r="L63" t="s">
        <v>877</v>
      </c>
    </row>
    <row r="64" spans="1:12" x14ac:dyDescent="0.2">
      <c r="A64" t="s">
        <v>85</v>
      </c>
      <c r="B64" t="s">
        <v>21</v>
      </c>
      <c r="C64" t="str">
        <f t="shared" si="0"/>
        <v>.X</v>
      </c>
      <c r="D64" t="s">
        <v>824</v>
      </c>
      <c r="E64" t="s">
        <v>98</v>
      </c>
      <c r="F64" t="s">
        <v>825</v>
      </c>
      <c r="G64" t="s">
        <v>878</v>
      </c>
      <c r="H64" t="s">
        <v>879</v>
      </c>
      <c r="I64" t="s">
        <v>880</v>
      </c>
      <c r="J64" t="s">
        <v>881</v>
      </c>
      <c r="K64" t="s">
        <v>882</v>
      </c>
      <c r="L64" t="s">
        <v>883</v>
      </c>
    </row>
    <row r="65" spans="1:12" x14ac:dyDescent="0.2">
      <c r="A65" t="s">
        <v>87</v>
      </c>
      <c r="B65" t="s">
        <v>21</v>
      </c>
      <c r="C65" t="str">
        <f t="shared" si="0"/>
        <v>.X</v>
      </c>
      <c r="D65" t="s">
        <v>832</v>
      </c>
      <c r="E65" t="s">
        <v>99</v>
      </c>
      <c r="F65" t="s">
        <v>833</v>
      </c>
      <c r="G65" t="s">
        <v>884</v>
      </c>
      <c r="H65" t="s">
        <v>885</v>
      </c>
      <c r="I65" t="s">
        <v>886</v>
      </c>
      <c r="J65" t="s">
        <v>887</v>
      </c>
      <c r="K65" t="s">
        <v>888</v>
      </c>
      <c r="L65" t="s">
        <v>889</v>
      </c>
    </row>
    <row r="66" spans="1:12" x14ac:dyDescent="0.2">
      <c r="A66" t="s">
        <v>89</v>
      </c>
      <c r="B66" t="s">
        <v>21</v>
      </c>
      <c r="C66" t="str">
        <f t="shared" si="0"/>
        <v>.X</v>
      </c>
      <c r="D66" t="s">
        <v>840</v>
      </c>
      <c r="E66" t="s">
        <v>100</v>
      </c>
      <c r="F66" t="s">
        <v>841</v>
      </c>
      <c r="G66" t="s">
        <v>890</v>
      </c>
      <c r="H66" t="s">
        <v>891</v>
      </c>
      <c r="I66" t="s">
        <v>892</v>
      </c>
      <c r="J66" t="s">
        <v>893</v>
      </c>
      <c r="K66" t="s">
        <v>894</v>
      </c>
      <c r="L66" t="s">
        <v>895</v>
      </c>
    </row>
    <row r="67" spans="1:12" x14ac:dyDescent="0.2">
      <c r="A67" t="s">
        <v>91</v>
      </c>
      <c r="B67" t="s">
        <v>21</v>
      </c>
      <c r="C67" t="str">
        <f t="shared" ref="C67:C130" si="1">IF(B67="Triều Lên",".L",IF(B67="Triều Xuống",".X","."&amp;B67))</f>
        <v>.X</v>
      </c>
      <c r="D67" t="s">
        <v>848</v>
      </c>
      <c r="E67" t="s">
        <v>101</v>
      </c>
      <c r="F67" t="s">
        <v>849</v>
      </c>
      <c r="G67" t="s">
        <v>896</v>
      </c>
      <c r="H67" t="s">
        <v>897</v>
      </c>
      <c r="I67" t="s">
        <v>898</v>
      </c>
      <c r="J67" t="s">
        <v>899</v>
      </c>
      <c r="K67" t="s">
        <v>900</v>
      </c>
      <c r="L67" t="s">
        <v>901</v>
      </c>
    </row>
    <row r="68" spans="1:12" x14ac:dyDescent="0.2">
      <c r="A68" t="s">
        <v>93</v>
      </c>
      <c r="B68" t="s">
        <v>21</v>
      </c>
      <c r="C68" t="str">
        <f t="shared" si="1"/>
        <v>.X</v>
      </c>
      <c r="D68" t="s">
        <v>856</v>
      </c>
      <c r="E68" t="s">
        <v>102</v>
      </c>
      <c r="F68" t="s">
        <v>857</v>
      </c>
      <c r="G68" t="s">
        <v>902</v>
      </c>
      <c r="H68" t="s">
        <v>903</v>
      </c>
      <c r="I68" t="s">
        <v>904</v>
      </c>
      <c r="J68" t="s">
        <v>905</v>
      </c>
      <c r="K68" t="s">
        <v>906</v>
      </c>
      <c r="L68" t="s">
        <v>907</v>
      </c>
    </row>
    <row r="69" spans="1:12" x14ac:dyDescent="0.2">
      <c r="A69" t="s">
        <v>95</v>
      </c>
      <c r="B69" t="s">
        <v>21</v>
      </c>
      <c r="C69" t="str">
        <f t="shared" si="1"/>
        <v>.X</v>
      </c>
      <c r="D69" t="s">
        <v>864</v>
      </c>
      <c r="E69" t="s">
        <v>103</v>
      </c>
      <c r="F69" t="s">
        <v>865</v>
      </c>
      <c r="G69" t="s">
        <v>908</v>
      </c>
      <c r="H69" t="s">
        <v>909</v>
      </c>
      <c r="I69" t="s">
        <v>910</v>
      </c>
      <c r="J69" t="s">
        <v>911</v>
      </c>
      <c r="K69" t="s">
        <v>912</v>
      </c>
      <c r="L69" t="s">
        <v>913</v>
      </c>
    </row>
    <row r="70" spans="1:12" x14ac:dyDescent="0.2">
      <c r="A70" t="s">
        <v>104</v>
      </c>
      <c r="B70" t="s">
        <v>1</v>
      </c>
      <c r="C70" t="str">
        <f t="shared" si="1"/>
        <v>.L</v>
      </c>
      <c r="D70" t="s">
        <v>914</v>
      </c>
      <c r="E70" t="s">
        <v>105</v>
      </c>
      <c r="F70" t="s">
        <v>915</v>
      </c>
      <c r="G70" t="s">
        <v>916</v>
      </c>
      <c r="H70" t="s">
        <v>917</v>
      </c>
      <c r="I70" t="s">
        <v>918</v>
      </c>
      <c r="J70" t="s">
        <v>919</v>
      </c>
      <c r="K70" t="s">
        <v>920</v>
      </c>
      <c r="L70" t="s">
        <v>921</v>
      </c>
    </row>
    <row r="71" spans="1:12" x14ac:dyDescent="0.2">
      <c r="A71" t="s">
        <v>106</v>
      </c>
      <c r="B71" t="s">
        <v>1</v>
      </c>
      <c r="C71" t="str">
        <f t="shared" si="1"/>
        <v>.L</v>
      </c>
      <c r="D71" t="s">
        <v>922</v>
      </c>
      <c r="E71" t="s">
        <v>107</v>
      </c>
      <c r="F71" t="s">
        <v>923</v>
      </c>
      <c r="G71" t="s">
        <v>924</v>
      </c>
      <c r="H71" t="s">
        <v>925</v>
      </c>
      <c r="I71" t="s">
        <v>926</v>
      </c>
      <c r="J71" t="s">
        <v>927</v>
      </c>
      <c r="K71" t="s">
        <v>928</v>
      </c>
      <c r="L71" t="s">
        <v>929</v>
      </c>
    </row>
    <row r="72" spans="1:12" x14ac:dyDescent="0.2">
      <c r="A72" t="s">
        <v>108</v>
      </c>
      <c r="B72" t="s">
        <v>1</v>
      </c>
      <c r="C72" t="str">
        <f t="shared" si="1"/>
        <v>.L</v>
      </c>
      <c r="D72" t="s">
        <v>930</v>
      </c>
      <c r="E72" t="s">
        <v>109</v>
      </c>
      <c r="F72" t="s">
        <v>931</v>
      </c>
      <c r="G72" t="s">
        <v>932</v>
      </c>
      <c r="H72" t="s">
        <v>933</v>
      </c>
      <c r="I72" t="s">
        <v>934</v>
      </c>
      <c r="J72" t="s">
        <v>935</v>
      </c>
      <c r="K72" t="s">
        <v>936</v>
      </c>
      <c r="L72" t="s">
        <v>937</v>
      </c>
    </row>
    <row r="73" spans="1:12" x14ac:dyDescent="0.2">
      <c r="A73" t="s">
        <v>110</v>
      </c>
      <c r="B73" t="s">
        <v>1</v>
      </c>
      <c r="C73" t="str">
        <f t="shared" si="1"/>
        <v>.L</v>
      </c>
      <c r="D73" t="s">
        <v>938</v>
      </c>
      <c r="E73" t="s">
        <v>111</v>
      </c>
      <c r="F73" t="s">
        <v>939</v>
      </c>
      <c r="G73" t="s">
        <v>940</v>
      </c>
      <c r="H73" t="s">
        <v>941</v>
      </c>
      <c r="I73" t="s">
        <v>942</v>
      </c>
      <c r="J73" t="s">
        <v>943</v>
      </c>
      <c r="K73" t="s">
        <v>944</v>
      </c>
      <c r="L73" t="s">
        <v>945</v>
      </c>
    </row>
    <row r="74" spans="1:12" x14ac:dyDescent="0.2">
      <c r="A74" t="s">
        <v>112</v>
      </c>
      <c r="B74" t="s">
        <v>1</v>
      </c>
      <c r="C74" t="str">
        <f t="shared" si="1"/>
        <v>.L</v>
      </c>
      <c r="D74" t="s">
        <v>946</v>
      </c>
      <c r="E74" t="s">
        <v>113</v>
      </c>
      <c r="F74" t="s">
        <v>947</v>
      </c>
      <c r="G74" t="s">
        <v>462</v>
      </c>
      <c r="H74" t="s">
        <v>463</v>
      </c>
      <c r="I74" t="s">
        <v>948</v>
      </c>
      <c r="J74" t="s">
        <v>949</v>
      </c>
      <c r="K74" t="s">
        <v>950</v>
      </c>
      <c r="L74" t="s">
        <v>951</v>
      </c>
    </row>
    <row r="75" spans="1:12" x14ac:dyDescent="0.2">
      <c r="A75" t="s">
        <v>114</v>
      </c>
      <c r="B75" t="s">
        <v>1</v>
      </c>
      <c r="C75" t="str">
        <f t="shared" si="1"/>
        <v>.L</v>
      </c>
      <c r="D75" t="s">
        <v>952</v>
      </c>
      <c r="E75" t="s">
        <v>115</v>
      </c>
      <c r="F75" t="s">
        <v>953</v>
      </c>
      <c r="G75" t="s">
        <v>464</v>
      </c>
      <c r="H75" t="s">
        <v>465</v>
      </c>
      <c r="I75" t="s">
        <v>954</v>
      </c>
      <c r="J75" t="s">
        <v>955</v>
      </c>
      <c r="K75" t="s">
        <v>956</v>
      </c>
      <c r="L75" t="s">
        <v>957</v>
      </c>
    </row>
    <row r="76" spans="1:12" x14ac:dyDescent="0.2">
      <c r="A76" t="s">
        <v>116</v>
      </c>
      <c r="B76" t="s">
        <v>1</v>
      </c>
      <c r="C76" t="str">
        <f t="shared" si="1"/>
        <v>.L</v>
      </c>
      <c r="D76" t="s">
        <v>958</v>
      </c>
      <c r="E76" t="s">
        <v>117</v>
      </c>
      <c r="F76" t="s">
        <v>959</v>
      </c>
      <c r="G76" t="s">
        <v>466</v>
      </c>
      <c r="H76" t="s">
        <v>467</v>
      </c>
      <c r="I76" t="s">
        <v>960</v>
      </c>
      <c r="J76" t="s">
        <v>961</v>
      </c>
      <c r="K76" t="s">
        <v>962</v>
      </c>
      <c r="L76" t="s">
        <v>963</v>
      </c>
    </row>
    <row r="77" spans="1:12" x14ac:dyDescent="0.2">
      <c r="A77" t="s">
        <v>104</v>
      </c>
      <c r="B77" t="s">
        <v>21</v>
      </c>
      <c r="C77" t="str">
        <f t="shared" si="1"/>
        <v>.X</v>
      </c>
      <c r="D77" t="s">
        <v>914</v>
      </c>
      <c r="E77" t="s">
        <v>118</v>
      </c>
      <c r="F77" t="s">
        <v>915</v>
      </c>
      <c r="G77" t="s">
        <v>964</v>
      </c>
      <c r="H77" t="s">
        <v>965</v>
      </c>
      <c r="I77" t="s">
        <v>966</v>
      </c>
      <c r="J77" t="s">
        <v>967</v>
      </c>
      <c r="K77" t="s">
        <v>968</v>
      </c>
      <c r="L77" t="s">
        <v>969</v>
      </c>
    </row>
    <row r="78" spans="1:12" x14ac:dyDescent="0.2">
      <c r="A78" t="s">
        <v>106</v>
      </c>
      <c r="B78" t="s">
        <v>21</v>
      </c>
      <c r="C78" t="str">
        <f t="shared" si="1"/>
        <v>.X</v>
      </c>
      <c r="D78" t="s">
        <v>922</v>
      </c>
      <c r="E78" t="s">
        <v>119</v>
      </c>
      <c r="F78" t="s">
        <v>923</v>
      </c>
      <c r="G78" t="s">
        <v>970</v>
      </c>
      <c r="H78" t="s">
        <v>971</v>
      </c>
      <c r="I78" t="s">
        <v>972</v>
      </c>
      <c r="J78" t="s">
        <v>973</v>
      </c>
      <c r="K78" t="s">
        <v>974</v>
      </c>
      <c r="L78" t="s">
        <v>975</v>
      </c>
    </row>
    <row r="79" spans="1:12" x14ac:dyDescent="0.2">
      <c r="A79" t="s">
        <v>108</v>
      </c>
      <c r="B79" t="s">
        <v>21</v>
      </c>
      <c r="C79" t="str">
        <f t="shared" si="1"/>
        <v>.X</v>
      </c>
      <c r="D79" t="s">
        <v>930</v>
      </c>
      <c r="E79" t="s">
        <v>120</v>
      </c>
      <c r="F79" t="s">
        <v>931</v>
      </c>
      <c r="G79" t="s">
        <v>976</v>
      </c>
      <c r="H79" t="s">
        <v>977</v>
      </c>
      <c r="I79" t="s">
        <v>978</v>
      </c>
      <c r="J79" t="s">
        <v>979</v>
      </c>
      <c r="K79" t="s">
        <v>980</v>
      </c>
      <c r="L79" t="s">
        <v>981</v>
      </c>
    </row>
    <row r="80" spans="1:12" x14ac:dyDescent="0.2">
      <c r="A80" t="s">
        <v>110</v>
      </c>
      <c r="B80" t="s">
        <v>21</v>
      </c>
      <c r="C80" t="str">
        <f t="shared" si="1"/>
        <v>.X</v>
      </c>
      <c r="D80" t="s">
        <v>938</v>
      </c>
      <c r="E80" t="s">
        <v>121</v>
      </c>
      <c r="F80" t="s">
        <v>939</v>
      </c>
      <c r="G80" t="s">
        <v>982</v>
      </c>
      <c r="H80" t="s">
        <v>983</v>
      </c>
      <c r="I80" t="s">
        <v>984</v>
      </c>
      <c r="J80" t="s">
        <v>985</v>
      </c>
      <c r="K80" t="s">
        <v>986</v>
      </c>
      <c r="L80" t="s">
        <v>987</v>
      </c>
    </row>
    <row r="81" spans="1:12" x14ac:dyDescent="0.2">
      <c r="A81" t="s">
        <v>112</v>
      </c>
      <c r="B81" t="s">
        <v>21</v>
      </c>
      <c r="C81" t="str">
        <f t="shared" si="1"/>
        <v>.X</v>
      </c>
      <c r="D81" t="s">
        <v>946</v>
      </c>
      <c r="E81" t="s">
        <v>122</v>
      </c>
      <c r="F81" t="s">
        <v>947</v>
      </c>
      <c r="G81" t="s">
        <v>468</v>
      </c>
      <c r="H81" t="s">
        <v>469</v>
      </c>
      <c r="I81" t="s">
        <v>988</v>
      </c>
      <c r="J81" t="s">
        <v>989</v>
      </c>
      <c r="K81" t="s">
        <v>990</v>
      </c>
      <c r="L81" t="s">
        <v>991</v>
      </c>
    </row>
    <row r="82" spans="1:12" x14ac:dyDescent="0.2">
      <c r="A82" t="s">
        <v>114</v>
      </c>
      <c r="B82" t="s">
        <v>21</v>
      </c>
      <c r="C82" t="str">
        <f t="shared" si="1"/>
        <v>.X</v>
      </c>
      <c r="D82" t="s">
        <v>952</v>
      </c>
      <c r="E82" t="s">
        <v>123</v>
      </c>
      <c r="F82" t="s">
        <v>953</v>
      </c>
      <c r="G82" t="s">
        <v>470</v>
      </c>
      <c r="H82" t="s">
        <v>471</v>
      </c>
      <c r="I82" t="s">
        <v>992</v>
      </c>
      <c r="J82" t="s">
        <v>993</v>
      </c>
      <c r="K82" t="s">
        <v>994</v>
      </c>
      <c r="L82" t="s">
        <v>995</v>
      </c>
    </row>
    <row r="83" spans="1:12" x14ac:dyDescent="0.2">
      <c r="A83" t="s">
        <v>116</v>
      </c>
      <c r="B83" t="s">
        <v>21</v>
      </c>
      <c r="C83" t="str">
        <f t="shared" si="1"/>
        <v>.X</v>
      </c>
      <c r="D83" t="s">
        <v>958</v>
      </c>
      <c r="E83" t="s">
        <v>124</v>
      </c>
      <c r="F83" t="s">
        <v>959</v>
      </c>
      <c r="G83" t="s">
        <v>472</v>
      </c>
      <c r="H83" t="s">
        <v>473</v>
      </c>
      <c r="I83" t="s">
        <v>996</v>
      </c>
      <c r="J83" t="s">
        <v>997</v>
      </c>
      <c r="K83" t="s">
        <v>998</v>
      </c>
      <c r="L83" t="s">
        <v>999</v>
      </c>
    </row>
    <row r="84" spans="1:12" x14ac:dyDescent="0.2">
      <c r="A84" t="s">
        <v>125</v>
      </c>
      <c r="B84" t="s">
        <v>1</v>
      </c>
      <c r="C84" t="str">
        <f t="shared" si="1"/>
        <v>.L</v>
      </c>
      <c r="D84" t="s">
        <v>1000</v>
      </c>
      <c r="E84" t="s">
        <v>126</v>
      </c>
      <c r="F84" t="s">
        <v>1001</v>
      </c>
      <c r="G84" t="s">
        <v>442</v>
      </c>
      <c r="H84" t="s">
        <v>443</v>
      </c>
      <c r="I84" t="s">
        <v>1002</v>
      </c>
      <c r="J84" t="s">
        <v>1003</v>
      </c>
      <c r="K84" t="s">
        <v>1004</v>
      </c>
      <c r="L84" t="s">
        <v>1005</v>
      </c>
    </row>
    <row r="85" spans="1:12" x14ac:dyDescent="0.2">
      <c r="A85" t="s">
        <v>127</v>
      </c>
      <c r="B85" t="s">
        <v>1</v>
      </c>
      <c r="C85" t="str">
        <f t="shared" si="1"/>
        <v>.L</v>
      </c>
      <c r="D85" t="s">
        <v>1006</v>
      </c>
      <c r="E85" t="s">
        <v>128</v>
      </c>
      <c r="F85" t="s">
        <v>1007</v>
      </c>
      <c r="G85" t="s">
        <v>444</v>
      </c>
      <c r="H85" t="s">
        <v>445</v>
      </c>
      <c r="I85" t="s">
        <v>1008</v>
      </c>
      <c r="J85" t="s">
        <v>1009</v>
      </c>
      <c r="K85" t="s">
        <v>1010</v>
      </c>
      <c r="L85" t="s">
        <v>1011</v>
      </c>
    </row>
    <row r="86" spans="1:12" x14ac:dyDescent="0.2">
      <c r="A86" t="s">
        <v>129</v>
      </c>
      <c r="B86" t="s">
        <v>1</v>
      </c>
      <c r="C86" t="str">
        <f t="shared" si="1"/>
        <v>.L</v>
      </c>
      <c r="D86" t="s">
        <v>1012</v>
      </c>
      <c r="E86" t="s">
        <v>130</v>
      </c>
      <c r="F86" t="s">
        <v>1013</v>
      </c>
      <c r="G86" t="s">
        <v>446</v>
      </c>
      <c r="H86" t="s">
        <v>447</v>
      </c>
      <c r="I86" t="s">
        <v>1014</v>
      </c>
      <c r="J86" t="s">
        <v>1015</v>
      </c>
      <c r="K86" t="s">
        <v>1016</v>
      </c>
      <c r="L86" t="s">
        <v>1017</v>
      </c>
    </row>
    <row r="87" spans="1:12" x14ac:dyDescent="0.2">
      <c r="A87" t="s">
        <v>131</v>
      </c>
      <c r="B87" t="s">
        <v>1</v>
      </c>
      <c r="C87" t="str">
        <f t="shared" si="1"/>
        <v>.L</v>
      </c>
      <c r="D87" t="s">
        <v>1018</v>
      </c>
      <c r="E87" t="s">
        <v>132</v>
      </c>
      <c r="F87" t="s">
        <v>1019</v>
      </c>
      <c r="G87" t="s">
        <v>448</v>
      </c>
      <c r="H87" t="s">
        <v>449</v>
      </c>
      <c r="I87" t="s">
        <v>1020</v>
      </c>
      <c r="J87" t="s">
        <v>1021</v>
      </c>
      <c r="K87" t="s">
        <v>1022</v>
      </c>
      <c r="L87" t="s">
        <v>1023</v>
      </c>
    </row>
    <row r="88" spans="1:12" x14ac:dyDescent="0.2">
      <c r="A88" t="s">
        <v>133</v>
      </c>
      <c r="B88" t="s">
        <v>1</v>
      </c>
      <c r="C88" t="str">
        <f t="shared" si="1"/>
        <v>.L</v>
      </c>
      <c r="D88" t="s">
        <v>1024</v>
      </c>
      <c r="E88" t="s">
        <v>134</v>
      </c>
      <c r="F88" t="s">
        <v>1025</v>
      </c>
      <c r="G88" t="s">
        <v>294</v>
      </c>
      <c r="H88" t="s">
        <v>295</v>
      </c>
      <c r="I88" t="s">
        <v>1026</v>
      </c>
      <c r="J88" t="s">
        <v>1027</v>
      </c>
      <c r="K88" t="s">
        <v>1028</v>
      </c>
      <c r="L88" t="s">
        <v>1029</v>
      </c>
    </row>
    <row r="89" spans="1:12" x14ac:dyDescent="0.2">
      <c r="A89" t="s">
        <v>135</v>
      </c>
      <c r="B89" t="s">
        <v>1</v>
      </c>
      <c r="C89" t="str">
        <f t="shared" si="1"/>
        <v>.L</v>
      </c>
      <c r="D89" t="s">
        <v>1030</v>
      </c>
      <c r="E89" t="s">
        <v>136</v>
      </c>
      <c r="F89" t="s">
        <v>1031</v>
      </c>
      <c r="G89" t="s">
        <v>296</v>
      </c>
      <c r="H89" t="s">
        <v>297</v>
      </c>
      <c r="I89" t="s">
        <v>1032</v>
      </c>
      <c r="J89" t="s">
        <v>1033</v>
      </c>
      <c r="K89" t="s">
        <v>1034</v>
      </c>
      <c r="L89" t="s">
        <v>1035</v>
      </c>
    </row>
    <row r="90" spans="1:12" x14ac:dyDescent="0.2">
      <c r="A90" t="s">
        <v>137</v>
      </c>
      <c r="B90" t="s">
        <v>1</v>
      </c>
      <c r="C90" t="str">
        <f t="shared" si="1"/>
        <v>.L</v>
      </c>
      <c r="D90" t="s">
        <v>1036</v>
      </c>
      <c r="E90" t="s">
        <v>138</v>
      </c>
      <c r="F90" t="s">
        <v>1037</v>
      </c>
      <c r="G90" t="s">
        <v>300</v>
      </c>
      <c r="H90" t="s">
        <v>301</v>
      </c>
      <c r="I90" t="s">
        <v>1038</v>
      </c>
      <c r="J90" t="s">
        <v>1039</v>
      </c>
      <c r="K90" t="s">
        <v>1040</v>
      </c>
      <c r="L90" t="s">
        <v>1041</v>
      </c>
    </row>
    <row r="91" spans="1:12" x14ac:dyDescent="0.2">
      <c r="A91" t="s">
        <v>125</v>
      </c>
      <c r="B91" t="s">
        <v>21</v>
      </c>
      <c r="C91" t="str">
        <f t="shared" si="1"/>
        <v>.X</v>
      </c>
      <c r="D91" t="s">
        <v>1000</v>
      </c>
      <c r="E91" t="s">
        <v>139</v>
      </c>
      <c r="F91" t="s">
        <v>1001</v>
      </c>
      <c r="G91" t="s">
        <v>450</v>
      </c>
      <c r="H91" t="s">
        <v>451</v>
      </c>
      <c r="I91" t="s">
        <v>1042</v>
      </c>
      <c r="J91" t="s">
        <v>1043</v>
      </c>
      <c r="K91" t="s">
        <v>1044</v>
      </c>
      <c r="L91" t="s">
        <v>1045</v>
      </c>
    </row>
    <row r="92" spans="1:12" x14ac:dyDescent="0.2">
      <c r="A92" t="s">
        <v>127</v>
      </c>
      <c r="B92" t="s">
        <v>21</v>
      </c>
      <c r="C92" t="str">
        <f t="shared" si="1"/>
        <v>.X</v>
      </c>
      <c r="D92" t="s">
        <v>1006</v>
      </c>
      <c r="E92" t="s">
        <v>140</v>
      </c>
      <c r="F92" t="s">
        <v>1007</v>
      </c>
      <c r="G92" t="s">
        <v>452</v>
      </c>
      <c r="H92" t="s">
        <v>453</v>
      </c>
      <c r="I92" t="s">
        <v>1046</v>
      </c>
      <c r="J92" t="s">
        <v>1047</v>
      </c>
      <c r="K92" t="s">
        <v>1048</v>
      </c>
      <c r="L92" t="s">
        <v>1049</v>
      </c>
    </row>
    <row r="93" spans="1:12" x14ac:dyDescent="0.2">
      <c r="A93" t="s">
        <v>129</v>
      </c>
      <c r="B93" t="s">
        <v>21</v>
      </c>
      <c r="C93" t="str">
        <f t="shared" si="1"/>
        <v>.X</v>
      </c>
      <c r="D93" t="s">
        <v>1012</v>
      </c>
      <c r="E93" t="s">
        <v>141</v>
      </c>
      <c r="F93" t="s">
        <v>1013</v>
      </c>
      <c r="G93" t="s">
        <v>454</v>
      </c>
      <c r="H93" t="s">
        <v>455</v>
      </c>
      <c r="I93" t="s">
        <v>1050</v>
      </c>
      <c r="J93" t="s">
        <v>1051</v>
      </c>
      <c r="K93" t="s">
        <v>1052</v>
      </c>
      <c r="L93" t="s">
        <v>1053</v>
      </c>
    </row>
    <row r="94" spans="1:12" x14ac:dyDescent="0.2">
      <c r="A94" t="s">
        <v>131</v>
      </c>
      <c r="B94" t="s">
        <v>21</v>
      </c>
      <c r="C94" t="str">
        <f t="shared" si="1"/>
        <v>.X</v>
      </c>
      <c r="D94" t="s">
        <v>1018</v>
      </c>
      <c r="E94" t="s">
        <v>142</v>
      </c>
      <c r="F94" t="s">
        <v>1019</v>
      </c>
      <c r="G94" t="s">
        <v>456</v>
      </c>
      <c r="H94" t="s">
        <v>457</v>
      </c>
      <c r="I94" t="s">
        <v>1054</v>
      </c>
      <c r="J94" t="s">
        <v>1055</v>
      </c>
      <c r="K94" t="s">
        <v>1056</v>
      </c>
      <c r="L94" t="s">
        <v>1057</v>
      </c>
    </row>
    <row r="95" spans="1:12" x14ac:dyDescent="0.2">
      <c r="A95" t="s">
        <v>133</v>
      </c>
      <c r="B95" t="s">
        <v>21</v>
      </c>
      <c r="C95" t="str">
        <f t="shared" si="1"/>
        <v>.X</v>
      </c>
      <c r="D95" t="s">
        <v>1024</v>
      </c>
      <c r="E95" t="s">
        <v>143</v>
      </c>
      <c r="F95" t="s">
        <v>1025</v>
      </c>
      <c r="G95" t="s">
        <v>302</v>
      </c>
      <c r="H95" t="s">
        <v>303</v>
      </c>
      <c r="I95" t="s">
        <v>1058</v>
      </c>
      <c r="J95" t="s">
        <v>1059</v>
      </c>
      <c r="K95" t="s">
        <v>1060</v>
      </c>
      <c r="L95" t="s">
        <v>1061</v>
      </c>
    </row>
    <row r="96" spans="1:12" x14ac:dyDescent="0.2">
      <c r="A96" t="s">
        <v>135</v>
      </c>
      <c r="B96" t="s">
        <v>21</v>
      </c>
      <c r="C96" t="str">
        <f t="shared" si="1"/>
        <v>.X</v>
      </c>
      <c r="D96" t="s">
        <v>1030</v>
      </c>
      <c r="E96" t="s">
        <v>144</v>
      </c>
      <c r="F96" t="s">
        <v>1031</v>
      </c>
      <c r="G96" t="s">
        <v>304</v>
      </c>
      <c r="H96" t="s">
        <v>305</v>
      </c>
      <c r="I96" t="s">
        <v>1062</v>
      </c>
      <c r="J96" t="s">
        <v>1063</v>
      </c>
      <c r="K96" t="s">
        <v>1064</v>
      </c>
      <c r="L96" t="s">
        <v>1065</v>
      </c>
    </row>
    <row r="97" spans="1:12" x14ac:dyDescent="0.2">
      <c r="A97" t="s">
        <v>137</v>
      </c>
      <c r="B97" t="s">
        <v>21</v>
      </c>
      <c r="C97" t="str">
        <f t="shared" si="1"/>
        <v>.X</v>
      </c>
      <c r="D97" t="s">
        <v>1036</v>
      </c>
      <c r="E97" t="s">
        <v>145</v>
      </c>
      <c r="F97" t="s">
        <v>1037</v>
      </c>
      <c r="G97" t="s">
        <v>308</v>
      </c>
      <c r="H97" t="s">
        <v>309</v>
      </c>
      <c r="I97" t="s">
        <v>1066</v>
      </c>
      <c r="J97" t="s">
        <v>1067</v>
      </c>
      <c r="K97" t="s">
        <v>1068</v>
      </c>
      <c r="L97" t="s">
        <v>1069</v>
      </c>
    </row>
    <row r="98" spans="1:12" x14ac:dyDescent="0.2">
      <c r="A98" t="s">
        <v>146</v>
      </c>
      <c r="B98" t="s">
        <v>1</v>
      </c>
      <c r="C98" t="str">
        <f t="shared" si="1"/>
        <v>.L</v>
      </c>
      <c r="D98" t="s">
        <v>1070</v>
      </c>
      <c r="E98" t="s">
        <v>147</v>
      </c>
      <c r="F98" t="s">
        <v>1071</v>
      </c>
      <c r="G98" t="s">
        <v>370</v>
      </c>
      <c r="H98" t="s">
        <v>371</v>
      </c>
      <c r="I98" t="s">
        <v>1072</v>
      </c>
      <c r="J98" t="s">
        <v>1073</v>
      </c>
      <c r="K98" t="s">
        <v>1074</v>
      </c>
      <c r="L98" t="s">
        <v>1075</v>
      </c>
    </row>
    <row r="99" spans="1:12" x14ac:dyDescent="0.2">
      <c r="A99" t="s">
        <v>148</v>
      </c>
      <c r="B99" t="s">
        <v>1</v>
      </c>
      <c r="C99" t="str">
        <f t="shared" si="1"/>
        <v>.L</v>
      </c>
      <c r="D99" t="s">
        <v>1076</v>
      </c>
      <c r="E99" t="s">
        <v>149</v>
      </c>
      <c r="F99" t="s">
        <v>1077</v>
      </c>
      <c r="G99" t="s">
        <v>372</v>
      </c>
      <c r="H99" t="s">
        <v>373</v>
      </c>
      <c r="I99" t="s">
        <v>1078</v>
      </c>
      <c r="J99" t="s">
        <v>1079</v>
      </c>
      <c r="K99" t="s">
        <v>1080</v>
      </c>
      <c r="L99" t="s">
        <v>1081</v>
      </c>
    </row>
    <row r="100" spans="1:12" x14ac:dyDescent="0.2">
      <c r="A100" t="s">
        <v>150</v>
      </c>
      <c r="B100" t="s">
        <v>1</v>
      </c>
      <c r="C100" t="str">
        <f t="shared" si="1"/>
        <v>.L</v>
      </c>
      <c r="D100" t="s">
        <v>1082</v>
      </c>
      <c r="E100" t="s">
        <v>151</v>
      </c>
      <c r="F100" t="s">
        <v>1083</v>
      </c>
      <c r="G100" t="s">
        <v>374</v>
      </c>
      <c r="H100" t="s">
        <v>375</v>
      </c>
      <c r="I100" t="s">
        <v>1084</v>
      </c>
      <c r="J100" t="s">
        <v>1085</v>
      </c>
      <c r="K100" t="s">
        <v>1086</v>
      </c>
      <c r="L100" t="s">
        <v>1087</v>
      </c>
    </row>
    <row r="101" spans="1:12" x14ac:dyDescent="0.2">
      <c r="A101" t="s">
        <v>152</v>
      </c>
      <c r="B101" t="s">
        <v>1</v>
      </c>
      <c r="C101" t="str">
        <f t="shared" si="1"/>
        <v>.L</v>
      </c>
      <c r="D101" t="s">
        <v>1088</v>
      </c>
      <c r="E101" t="s">
        <v>153</v>
      </c>
      <c r="F101" t="s">
        <v>1089</v>
      </c>
      <c r="G101" t="s">
        <v>376</v>
      </c>
      <c r="H101" t="s">
        <v>377</v>
      </c>
      <c r="I101" t="s">
        <v>1090</v>
      </c>
      <c r="J101" t="s">
        <v>1091</v>
      </c>
      <c r="K101" t="s">
        <v>1092</v>
      </c>
      <c r="L101" t="s">
        <v>1093</v>
      </c>
    </row>
    <row r="102" spans="1:12" x14ac:dyDescent="0.2">
      <c r="A102" t="s">
        <v>154</v>
      </c>
      <c r="B102" t="s">
        <v>1</v>
      </c>
      <c r="C102" t="str">
        <f t="shared" si="1"/>
        <v>.L</v>
      </c>
      <c r="D102" t="s">
        <v>1094</v>
      </c>
      <c r="E102" t="s">
        <v>155</v>
      </c>
      <c r="F102" t="s">
        <v>1095</v>
      </c>
      <c r="G102" t="s">
        <v>386</v>
      </c>
      <c r="H102" t="s">
        <v>387</v>
      </c>
      <c r="I102" t="s">
        <v>1096</v>
      </c>
      <c r="J102" t="s">
        <v>1097</v>
      </c>
      <c r="K102" t="s">
        <v>1098</v>
      </c>
      <c r="L102" t="s">
        <v>1099</v>
      </c>
    </row>
    <row r="103" spans="1:12" x14ac:dyDescent="0.2">
      <c r="A103" t="s">
        <v>156</v>
      </c>
      <c r="B103" t="s">
        <v>1</v>
      </c>
      <c r="C103" t="str">
        <f t="shared" si="1"/>
        <v>.L</v>
      </c>
      <c r="D103" t="s">
        <v>1100</v>
      </c>
      <c r="E103" t="s">
        <v>157</v>
      </c>
      <c r="F103" t="s">
        <v>1101</v>
      </c>
      <c r="G103" t="s">
        <v>388</v>
      </c>
      <c r="H103" t="s">
        <v>389</v>
      </c>
      <c r="I103" t="s">
        <v>1102</v>
      </c>
      <c r="J103" t="s">
        <v>1103</v>
      </c>
      <c r="K103" t="s">
        <v>1104</v>
      </c>
      <c r="L103" t="s">
        <v>1105</v>
      </c>
    </row>
    <row r="104" spans="1:12" x14ac:dyDescent="0.2">
      <c r="A104" t="s">
        <v>158</v>
      </c>
      <c r="B104" t="s">
        <v>1</v>
      </c>
      <c r="C104" t="str">
        <f t="shared" si="1"/>
        <v>.L</v>
      </c>
      <c r="D104" t="s">
        <v>1106</v>
      </c>
      <c r="E104" t="s">
        <v>159</v>
      </c>
      <c r="F104" t="s">
        <v>1107</v>
      </c>
      <c r="G104" t="s">
        <v>390</v>
      </c>
      <c r="H104" t="s">
        <v>391</v>
      </c>
      <c r="I104" t="s">
        <v>1108</v>
      </c>
      <c r="J104" t="s">
        <v>1109</v>
      </c>
      <c r="K104" t="s">
        <v>1110</v>
      </c>
      <c r="L104" t="s">
        <v>1111</v>
      </c>
    </row>
    <row r="105" spans="1:12" x14ac:dyDescent="0.2">
      <c r="A105" t="s">
        <v>160</v>
      </c>
      <c r="B105" t="s">
        <v>1</v>
      </c>
      <c r="C105" t="str">
        <f t="shared" si="1"/>
        <v>.L</v>
      </c>
      <c r="D105" t="s">
        <v>1112</v>
      </c>
      <c r="E105" t="s">
        <v>161</v>
      </c>
      <c r="F105" t="s">
        <v>1113</v>
      </c>
      <c r="G105" t="s">
        <v>392</v>
      </c>
      <c r="H105" t="s">
        <v>393</v>
      </c>
      <c r="I105" t="s">
        <v>1114</v>
      </c>
      <c r="J105" t="s">
        <v>1115</v>
      </c>
      <c r="K105" t="s">
        <v>1116</v>
      </c>
      <c r="L105" t="s">
        <v>1117</v>
      </c>
    </row>
    <row r="106" spans="1:12" x14ac:dyDescent="0.2">
      <c r="A106" t="s">
        <v>146</v>
      </c>
      <c r="B106" t="s">
        <v>21</v>
      </c>
      <c r="C106" t="str">
        <f t="shared" si="1"/>
        <v>.X</v>
      </c>
      <c r="D106" t="s">
        <v>1070</v>
      </c>
      <c r="E106" t="s">
        <v>162</v>
      </c>
      <c r="F106" t="s">
        <v>1071</v>
      </c>
      <c r="G106" t="s">
        <v>378</v>
      </c>
      <c r="H106" t="s">
        <v>379</v>
      </c>
      <c r="I106" t="s">
        <v>1118</v>
      </c>
      <c r="J106" t="s">
        <v>1119</v>
      </c>
      <c r="K106" t="s">
        <v>1120</v>
      </c>
      <c r="L106" t="s">
        <v>1121</v>
      </c>
    </row>
    <row r="107" spans="1:12" x14ac:dyDescent="0.2">
      <c r="A107" t="s">
        <v>148</v>
      </c>
      <c r="B107" t="s">
        <v>21</v>
      </c>
      <c r="C107" t="str">
        <f t="shared" si="1"/>
        <v>.X</v>
      </c>
      <c r="D107" t="s">
        <v>1076</v>
      </c>
      <c r="E107" t="s">
        <v>163</v>
      </c>
      <c r="F107" t="s">
        <v>1077</v>
      </c>
      <c r="G107" t="s">
        <v>380</v>
      </c>
      <c r="H107" t="s">
        <v>381</v>
      </c>
      <c r="I107" t="s">
        <v>1122</v>
      </c>
      <c r="J107" t="s">
        <v>1123</v>
      </c>
      <c r="K107" t="s">
        <v>1124</v>
      </c>
      <c r="L107" t="s">
        <v>1125</v>
      </c>
    </row>
    <row r="108" spans="1:12" x14ac:dyDescent="0.2">
      <c r="A108" t="s">
        <v>150</v>
      </c>
      <c r="B108" t="s">
        <v>21</v>
      </c>
      <c r="C108" t="str">
        <f t="shared" si="1"/>
        <v>.X</v>
      </c>
      <c r="D108" t="s">
        <v>1082</v>
      </c>
      <c r="E108" t="s">
        <v>164</v>
      </c>
      <c r="F108" t="s">
        <v>1083</v>
      </c>
      <c r="G108" t="s">
        <v>382</v>
      </c>
      <c r="H108" t="s">
        <v>383</v>
      </c>
      <c r="I108" t="s">
        <v>1126</v>
      </c>
      <c r="J108" t="s">
        <v>1127</v>
      </c>
      <c r="K108" t="s">
        <v>1128</v>
      </c>
      <c r="L108" t="s">
        <v>1129</v>
      </c>
    </row>
    <row r="109" spans="1:12" x14ac:dyDescent="0.2">
      <c r="A109" t="s">
        <v>152</v>
      </c>
      <c r="B109" t="s">
        <v>21</v>
      </c>
      <c r="C109" t="str">
        <f t="shared" si="1"/>
        <v>.X</v>
      </c>
      <c r="D109" t="s">
        <v>1088</v>
      </c>
      <c r="E109" t="s">
        <v>165</v>
      </c>
      <c r="F109" t="s">
        <v>1089</v>
      </c>
      <c r="G109" t="s">
        <v>384</v>
      </c>
      <c r="H109" t="s">
        <v>385</v>
      </c>
      <c r="I109" t="s">
        <v>1130</v>
      </c>
      <c r="J109" t="s">
        <v>1131</v>
      </c>
      <c r="K109" t="s">
        <v>1132</v>
      </c>
      <c r="L109" t="s">
        <v>1133</v>
      </c>
    </row>
    <row r="110" spans="1:12" x14ac:dyDescent="0.2">
      <c r="A110" t="s">
        <v>154</v>
      </c>
      <c r="B110" t="s">
        <v>21</v>
      </c>
      <c r="C110" t="str">
        <f t="shared" si="1"/>
        <v>.X</v>
      </c>
      <c r="D110" t="s">
        <v>1094</v>
      </c>
      <c r="E110" t="s">
        <v>166</v>
      </c>
      <c r="F110" t="s">
        <v>1095</v>
      </c>
      <c r="G110" t="s">
        <v>394</v>
      </c>
      <c r="H110" t="s">
        <v>395</v>
      </c>
      <c r="I110" t="s">
        <v>1134</v>
      </c>
      <c r="J110" t="s">
        <v>1135</v>
      </c>
      <c r="K110" t="s">
        <v>1136</v>
      </c>
      <c r="L110" t="s">
        <v>1137</v>
      </c>
    </row>
    <row r="111" spans="1:12" x14ac:dyDescent="0.2">
      <c r="A111" t="s">
        <v>156</v>
      </c>
      <c r="B111" t="s">
        <v>21</v>
      </c>
      <c r="C111" t="str">
        <f t="shared" si="1"/>
        <v>.X</v>
      </c>
      <c r="D111" t="s">
        <v>1100</v>
      </c>
      <c r="E111" t="s">
        <v>167</v>
      </c>
      <c r="F111" t="s">
        <v>1101</v>
      </c>
      <c r="G111" t="s">
        <v>396</v>
      </c>
      <c r="H111" t="s">
        <v>397</v>
      </c>
      <c r="I111" t="s">
        <v>1138</v>
      </c>
      <c r="J111" t="s">
        <v>1139</v>
      </c>
      <c r="K111" t="s">
        <v>1140</v>
      </c>
      <c r="L111" t="s">
        <v>1141</v>
      </c>
    </row>
    <row r="112" spans="1:12" x14ac:dyDescent="0.2">
      <c r="A112" t="s">
        <v>158</v>
      </c>
      <c r="B112" t="s">
        <v>21</v>
      </c>
      <c r="C112" t="str">
        <f t="shared" si="1"/>
        <v>.X</v>
      </c>
      <c r="D112" t="s">
        <v>1106</v>
      </c>
      <c r="E112" t="s">
        <v>168</v>
      </c>
      <c r="F112" t="s">
        <v>1107</v>
      </c>
      <c r="G112" t="s">
        <v>398</v>
      </c>
      <c r="H112" t="s">
        <v>399</v>
      </c>
      <c r="I112" t="s">
        <v>1142</v>
      </c>
      <c r="J112" t="s">
        <v>1143</v>
      </c>
      <c r="K112" t="s">
        <v>1144</v>
      </c>
      <c r="L112" t="s">
        <v>1145</v>
      </c>
    </row>
    <row r="113" spans="1:12" x14ac:dyDescent="0.2">
      <c r="A113" t="s">
        <v>160</v>
      </c>
      <c r="B113" t="s">
        <v>21</v>
      </c>
      <c r="C113" t="str">
        <f t="shared" si="1"/>
        <v>.X</v>
      </c>
      <c r="D113" t="s">
        <v>1112</v>
      </c>
      <c r="E113" t="s">
        <v>169</v>
      </c>
      <c r="F113" t="s">
        <v>1113</v>
      </c>
      <c r="G113" t="s">
        <v>400</v>
      </c>
      <c r="H113" t="s">
        <v>401</v>
      </c>
      <c r="I113" t="s">
        <v>1146</v>
      </c>
      <c r="J113" t="s">
        <v>1147</v>
      </c>
      <c r="K113" t="s">
        <v>1148</v>
      </c>
      <c r="L113" t="s">
        <v>1149</v>
      </c>
    </row>
    <row r="114" spans="1:12" x14ac:dyDescent="0.2">
      <c r="A114" t="s">
        <v>170</v>
      </c>
      <c r="B114" t="s">
        <v>608</v>
      </c>
      <c r="C114" t="str">
        <f t="shared" si="1"/>
        <v>.01</v>
      </c>
      <c r="D114" t="s">
        <v>1150</v>
      </c>
      <c r="E114" t="s">
        <v>1151</v>
      </c>
      <c r="F114" t="s">
        <v>1152</v>
      </c>
      <c r="G114" t="s">
        <v>402</v>
      </c>
      <c r="H114" t="s">
        <v>403</v>
      </c>
      <c r="I114" t="s">
        <v>1153</v>
      </c>
      <c r="J114" t="s">
        <v>1154</v>
      </c>
      <c r="K114" t="s">
        <v>1155</v>
      </c>
      <c r="L114" t="s">
        <v>1156</v>
      </c>
    </row>
    <row r="115" spans="1:12" x14ac:dyDescent="0.2">
      <c r="A115" t="s">
        <v>172</v>
      </c>
      <c r="B115" t="s">
        <v>608</v>
      </c>
      <c r="C115" t="str">
        <f t="shared" si="1"/>
        <v>.01</v>
      </c>
      <c r="D115" t="s">
        <v>1157</v>
      </c>
      <c r="E115" t="s">
        <v>1158</v>
      </c>
      <c r="F115" t="s">
        <v>1159</v>
      </c>
      <c r="G115" t="s">
        <v>404</v>
      </c>
      <c r="H115" t="s">
        <v>405</v>
      </c>
      <c r="I115" t="s">
        <v>1160</v>
      </c>
      <c r="J115" t="s">
        <v>1161</v>
      </c>
      <c r="K115" t="s">
        <v>1162</v>
      </c>
      <c r="L115" t="s">
        <v>1163</v>
      </c>
    </row>
    <row r="116" spans="1:12" x14ac:dyDescent="0.2">
      <c r="A116" t="s">
        <v>174</v>
      </c>
      <c r="B116" t="s">
        <v>1</v>
      </c>
      <c r="C116" t="str">
        <f t="shared" si="1"/>
        <v>.L</v>
      </c>
      <c r="D116" t="s">
        <v>1164</v>
      </c>
      <c r="E116" t="s">
        <v>175</v>
      </c>
      <c r="F116" t="s">
        <v>1165</v>
      </c>
      <c r="G116" t="s">
        <v>406</v>
      </c>
      <c r="H116" t="s">
        <v>407</v>
      </c>
      <c r="I116" t="s">
        <v>1166</v>
      </c>
      <c r="J116" t="s">
        <v>1167</v>
      </c>
      <c r="K116" t="s">
        <v>1168</v>
      </c>
      <c r="L116" t="s">
        <v>1169</v>
      </c>
    </row>
    <row r="117" spans="1:12" x14ac:dyDescent="0.2">
      <c r="A117" t="s">
        <v>176</v>
      </c>
      <c r="B117" t="s">
        <v>1</v>
      </c>
      <c r="C117" t="str">
        <f t="shared" si="1"/>
        <v>.L</v>
      </c>
      <c r="D117" t="s">
        <v>1170</v>
      </c>
      <c r="E117" t="s">
        <v>177</v>
      </c>
      <c r="F117" t="s">
        <v>1171</v>
      </c>
      <c r="G117" t="s">
        <v>408</v>
      </c>
      <c r="H117" t="s">
        <v>409</v>
      </c>
      <c r="I117" t="s">
        <v>1172</v>
      </c>
      <c r="J117" t="s">
        <v>1173</v>
      </c>
      <c r="K117" t="s">
        <v>1174</v>
      </c>
      <c r="L117" t="s">
        <v>1175</v>
      </c>
    </row>
    <row r="118" spans="1:12" x14ac:dyDescent="0.2">
      <c r="A118" t="s">
        <v>178</v>
      </c>
      <c r="B118" t="s">
        <v>1</v>
      </c>
      <c r="C118" t="str">
        <f t="shared" si="1"/>
        <v>.L</v>
      </c>
      <c r="D118" t="s">
        <v>1176</v>
      </c>
      <c r="E118" t="s">
        <v>179</v>
      </c>
      <c r="F118" t="s">
        <v>1177</v>
      </c>
      <c r="G118" t="s">
        <v>410</v>
      </c>
      <c r="H118" t="s">
        <v>411</v>
      </c>
      <c r="I118" t="s">
        <v>1178</v>
      </c>
      <c r="J118" t="s">
        <v>1179</v>
      </c>
      <c r="K118" t="s">
        <v>1180</v>
      </c>
      <c r="L118" t="s">
        <v>1181</v>
      </c>
    </row>
    <row r="119" spans="1:12" x14ac:dyDescent="0.2">
      <c r="A119" t="s">
        <v>180</v>
      </c>
      <c r="B119" t="s">
        <v>1</v>
      </c>
      <c r="C119" t="str">
        <f t="shared" si="1"/>
        <v>.L</v>
      </c>
      <c r="D119" t="s">
        <v>1182</v>
      </c>
      <c r="E119" t="s">
        <v>181</v>
      </c>
      <c r="F119" t="s">
        <v>1183</v>
      </c>
      <c r="G119" t="s">
        <v>1184</v>
      </c>
      <c r="H119" t="s">
        <v>1185</v>
      </c>
      <c r="I119" t="s">
        <v>1186</v>
      </c>
      <c r="J119" t="s">
        <v>1187</v>
      </c>
      <c r="K119" t="s">
        <v>1188</v>
      </c>
      <c r="L119" t="s">
        <v>1189</v>
      </c>
    </row>
    <row r="120" spans="1:12" x14ac:dyDescent="0.2">
      <c r="A120" t="s">
        <v>182</v>
      </c>
      <c r="B120" t="s">
        <v>1</v>
      </c>
      <c r="C120" t="str">
        <f t="shared" si="1"/>
        <v>.L</v>
      </c>
      <c r="D120" t="s">
        <v>1190</v>
      </c>
      <c r="E120" t="s">
        <v>183</v>
      </c>
      <c r="F120" t="s">
        <v>1191</v>
      </c>
      <c r="G120" t="s">
        <v>1192</v>
      </c>
      <c r="H120" t="s">
        <v>1193</v>
      </c>
      <c r="I120" t="s">
        <v>1194</v>
      </c>
      <c r="J120" t="s">
        <v>1195</v>
      </c>
      <c r="K120" t="s">
        <v>1196</v>
      </c>
      <c r="L120" t="s">
        <v>1197</v>
      </c>
    </row>
    <row r="121" spans="1:12" x14ac:dyDescent="0.2">
      <c r="A121" t="s">
        <v>184</v>
      </c>
      <c r="B121" t="s">
        <v>1</v>
      </c>
      <c r="C121" t="str">
        <f t="shared" si="1"/>
        <v>.L</v>
      </c>
      <c r="D121" t="s">
        <v>1198</v>
      </c>
      <c r="E121" t="s">
        <v>185</v>
      </c>
      <c r="F121" t="s">
        <v>1199</v>
      </c>
      <c r="G121" t="s">
        <v>1200</v>
      </c>
      <c r="H121" t="s">
        <v>1201</v>
      </c>
      <c r="I121" t="s">
        <v>1202</v>
      </c>
      <c r="J121" t="s">
        <v>1203</v>
      </c>
      <c r="K121" t="s">
        <v>1204</v>
      </c>
      <c r="L121" t="s">
        <v>1205</v>
      </c>
    </row>
    <row r="122" spans="1:12" x14ac:dyDescent="0.2">
      <c r="A122" t="s">
        <v>186</v>
      </c>
      <c r="B122" t="s">
        <v>1</v>
      </c>
      <c r="C122" t="str">
        <f t="shared" si="1"/>
        <v>.L</v>
      </c>
      <c r="D122" t="s">
        <v>1206</v>
      </c>
      <c r="E122" t="s">
        <v>187</v>
      </c>
      <c r="F122" t="s">
        <v>1207</v>
      </c>
      <c r="G122" t="s">
        <v>1208</v>
      </c>
      <c r="H122" t="s">
        <v>1209</v>
      </c>
      <c r="I122" t="s">
        <v>1210</v>
      </c>
      <c r="J122" t="s">
        <v>1211</v>
      </c>
      <c r="K122" t="s">
        <v>1212</v>
      </c>
      <c r="L122" t="s">
        <v>1213</v>
      </c>
    </row>
    <row r="123" spans="1:12" x14ac:dyDescent="0.2">
      <c r="A123" t="s">
        <v>170</v>
      </c>
      <c r="B123" t="s">
        <v>667</v>
      </c>
      <c r="C123" t="str">
        <f t="shared" si="1"/>
        <v>.02</v>
      </c>
      <c r="D123" t="s">
        <v>1150</v>
      </c>
      <c r="E123" t="s">
        <v>1214</v>
      </c>
      <c r="F123" t="s">
        <v>1152</v>
      </c>
      <c r="G123" t="s">
        <v>412</v>
      </c>
      <c r="H123" t="s">
        <v>413</v>
      </c>
      <c r="I123" t="s">
        <v>1215</v>
      </c>
      <c r="J123" t="s">
        <v>1216</v>
      </c>
      <c r="K123" t="s">
        <v>1217</v>
      </c>
      <c r="L123" t="s">
        <v>1218</v>
      </c>
    </row>
    <row r="124" spans="1:12" x14ac:dyDescent="0.2">
      <c r="A124" t="s">
        <v>172</v>
      </c>
      <c r="B124" t="s">
        <v>667</v>
      </c>
      <c r="C124" t="str">
        <f t="shared" si="1"/>
        <v>.02</v>
      </c>
      <c r="D124" t="s">
        <v>1157</v>
      </c>
      <c r="E124" t="s">
        <v>1219</v>
      </c>
      <c r="F124" t="s">
        <v>1159</v>
      </c>
      <c r="G124" t="s">
        <v>414</v>
      </c>
      <c r="H124" t="s">
        <v>415</v>
      </c>
      <c r="I124" t="s">
        <v>1220</v>
      </c>
      <c r="J124" t="s">
        <v>1221</v>
      </c>
      <c r="K124" t="s">
        <v>1222</v>
      </c>
      <c r="L124" t="s">
        <v>1223</v>
      </c>
    </row>
    <row r="125" spans="1:12" x14ac:dyDescent="0.2">
      <c r="A125" t="s">
        <v>174</v>
      </c>
      <c r="B125" t="s">
        <v>21</v>
      </c>
      <c r="C125" t="str">
        <f t="shared" si="1"/>
        <v>.X</v>
      </c>
      <c r="D125" t="s">
        <v>1164</v>
      </c>
      <c r="E125" t="s">
        <v>190</v>
      </c>
      <c r="F125" t="s">
        <v>1165</v>
      </c>
      <c r="G125" t="s">
        <v>416</v>
      </c>
      <c r="H125" t="s">
        <v>417</v>
      </c>
      <c r="I125" t="s">
        <v>1224</v>
      </c>
      <c r="J125" t="s">
        <v>1225</v>
      </c>
      <c r="K125" t="s">
        <v>1226</v>
      </c>
      <c r="L125" t="s">
        <v>1227</v>
      </c>
    </row>
    <row r="126" spans="1:12" x14ac:dyDescent="0.2">
      <c r="A126" t="s">
        <v>176</v>
      </c>
      <c r="B126" t="s">
        <v>21</v>
      </c>
      <c r="C126" t="str">
        <f t="shared" si="1"/>
        <v>.X</v>
      </c>
      <c r="D126" t="s">
        <v>1170</v>
      </c>
      <c r="E126" t="s">
        <v>191</v>
      </c>
      <c r="F126" t="s">
        <v>1171</v>
      </c>
      <c r="G126" t="s">
        <v>418</v>
      </c>
      <c r="H126" t="s">
        <v>419</v>
      </c>
      <c r="I126" t="s">
        <v>1228</v>
      </c>
      <c r="J126" t="s">
        <v>1229</v>
      </c>
      <c r="K126" t="s">
        <v>1230</v>
      </c>
      <c r="L126" t="s">
        <v>1231</v>
      </c>
    </row>
    <row r="127" spans="1:12" x14ac:dyDescent="0.2">
      <c r="A127" t="s">
        <v>178</v>
      </c>
      <c r="B127" t="s">
        <v>21</v>
      </c>
      <c r="C127" t="str">
        <f t="shared" si="1"/>
        <v>.X</v>
      </c>
      <c r="D127" t="s">
        <v>1176</v>
      </c>
      <c r="E127" t="s">
        <v>192</v>
      </c>
      <c r="F127" t="s">
        <v>1177</v>
      </c>
      <c r="G127" t="s">
        <v>420</v>
      </c>
      <c r="H127" t="s">
        <v>421</v>
      </c>
      <c r="I127" t="s">
        <v>1232</v>
      </c>
      <c r="J127" t="s">
        <v>1233</v>
      </c>
      <c r="K127" t="s">
        <v>1234</v>
      </c>
      <c r="L127" t="s">
        <v>1235</v>
      </c>
    </row>
    <row r="128" spans="1:12" x14ac:dyDescent="0.2">
      <c r="A128" t="s">
        <v>180</v>
      </c>
      <c r="B128" t="s">
        <v>21</v>
      </c>
      <c r="C128" t="str">
        <f t="shared" si="1"/>
        <v>.X</v>
      </c>
      <c r="D128" t="s">
        <v>1182</v>
      </c>
      <c r="E128" t="s">
        <v>193</v>
      </c>
      <c r="F128" t="s">
        <v>1183</v>
      </c>
      <c r="G128" t="s">
        <v>1236</v>
      </c>
      <c r="H128" t="s">
        <v>1237</v>
      </c>
      <c r="I128" t="s">
        <v>1238</v>
      </c>
      <c r="J128" t="s">
        <v>1239</v>
      </c>
      <c r="K128" t="s">
        <v>1240</v>
      </c>
      <c r="L128" t="s">
        <v>1241</v>
      </c>
    </row>
    <row r="129" spans="1:12" x14ac:dyDescent="0.2">
      <c r="A129" t="s">
        <v>182</v>
      </c>
      <c r="B129" t="s">
        <v>21</v>
      </c>
      <c r="C129" t="str">
        <f t="shared" si="1"/>
        <v>.X</v>
      </c>
      <c r="D129" t="s">
        <v>1190</v>
      </c>
      <c r="E129" t="s">
        <v>194</v>
      </c>
      <c r="F129" t="s">
        <v>1191</v>
      </c>
      <c r="G129" t="s">
        <v>1242</v>
      </c>
      <c r="H129" t="s">
        <v>1243</v>
      </c>
      <c r="I129" t="s">
        <v>1244</v>
      </c>
      <c r="J129" t="s">
        <v>1245</v>
      </c>
      <c r="K129" t="s">
        <v>1246</v>
      </c>
      <c r="L129" t="s">
        <v>1247</v>
      </c>
    </row>
    <row r="130" spans="1:12" x14ac:dyDescent="0.2">
      <c r="A130" t="s">
        <v>184</v>
      </c>
      <c r="B130" t="s">
        <v>21</v>
      </c>
      <c r="C130" t="str">
        <f t="shared" si="1"/>
        <v>.X</v>
      </c>
      <c r="D130" t="s">
        <v>1198</v>
      </c>
      <c r="E130" t="s">
        <v>195</v>
      </c>
      <c r="F130" t="s">
        <v>1199</v>
      </c>
      <c r="G130" t="s">
        <v>1248</v>
      </c>
      <c r="H130" t="s">
        <v>1249</v>
      </c>
      <c r="I130" t="s">
        <v>1250</v>
      </c>
      <c r="J130" t="s">
        <v>1251</v>
      </c>
      <c r="K130" t="s">
        <v>1252</v>
      </c>
      <c r="L130" t="s">
        <v>1253</v>
      </c>
    </row>
    <row r="131" spans="1:12" x14ac:dyDescent="0.2">
      <c r="A131" t="s">
        <v>186</v>
      </c>
      <c r="B131" t="s">
        <v>21</v>
      </c>
      <c r="C131" t="str">
        <f t="shared" ref="C131:C181" si="2">IF(B131="Triều Lên",".L",IF(B131="Triều Xuống",".X","."&amp;B131))</f>
        <v>.X</v>
      </c>
      <c r="D131" t="s">
        <v>1206</v>
      </c>
      <c r="E131" t="s">
        <v>196</v>
      </c>
      <c r="F131" t="s">
        <v>1207</v>
      </c>
      <c r="G131" t="s">
        <v>1254</v>
      </c>
      <c r="H131" t="s">
        <v>1255</v>
      </c>
      <c r="I131" t="s">
        <v>1256</v>
      </c>
      <c r="J131" t="s">
        <v>1257</v>
      </c>
      <c r="K131" t="s">
        <v>1258</v>
      </c>
      <c r="L131" t="s">
        <v>1259</v>
      </c>
    </row>
    <row r="132" spans="1:12" x14ac:dyDescent="0.2">
      <c r="A132" t="s">
        <v>197</v>
      </c>
      <c r="B132" t="s">
        <v>1</v>
      </c>
      <c r="C132" t="str">
        <f t="shared" si="2"/>
        <v>.L</v>
      </c>
      <c r="D132" t="s">
        <v>1260</v>
      </c>
      <c r="E132" t="s">
        <v>198</v>
      </c>
      <c r="F132" t="s">
        <v>1261</v>
      </c>
      <c r="G132" t="s">
        <v>422</v>
      </c>
      <c r="H132" t="s">
        <v>423</v>
      </c>
      <c r="I132" t="s">
        <v>1262</v>
      </c>
      <c r="J132" t="s">
        <v>1263</v>
      </c>
      <c r="K132" t="s">
        <v>1264</v>
      </c>
      <c r="L132" t="s">
        <v>1265</v>
      </c>
    </row>
    <row r="133" spans="1:12" x14ac:dyDescent="0.2">
      <c r="A133" t="s">
        <v>199</v>
      </c>
      <c r="B133" t="s">
        <v>1</v>
      </c>
      <c r="C133" t="str">
        <f t="shared" si="2"/>
        <v>.L</v>
      </c>
      <c r="D133" t="s">
        <v>1266</v>
      </c>
      <c r="E133" t="s">
        <v>200</v>
      </c>
      <c r="F133" t="s">
        <v>1267</v>
      </c>
      <c r="G133" t="s">
        <v>424</v>
      </c>
      <c r="H133" t="s">
        <v>425</v>
      </c>
      <c r="I133" t="s">
        <v>1268</v>
      </c>
      <c r="J133" t="s">
        <v>1269</v>
      </c>
      <c r="K133" t="s">
        <v>1270</v>
      </c>
      <c r="L133" t="s">
        <v>1271</v>
      </c>
    </row>
    <row r="134" spans="1:12" x14ac:dyDescent="0.2">
      <c r="A134" t="s">
        <v>201</v>
      </c>
      <c r="B134" t="s">
        <v>1</v>
      </c>
      <c r="C134" t="str">
        <f t="shared" si="2"/>
        <v>.L</v>
      </c>
      <c r="D134" t="s">
        <v>1272</v>
      </c>
      <c r="E134" t="s">
        <v>202</v>
      </c>
      <c r="F134" t="s">
        <v>1273</v>
      </c>
      <c r="G134" t="s">
        <v>426</v>
      </c>
      <c r="H134" t="s">
        <v>427</v>
      </c>
      <c r="I134" t="s">
        <v>1274</v>
      </c>
      <c r="J134" t="s">
        <v>1275</v>
      </c>
      <c r="K134" t="s">
        <v>1276</v>
      </c>
      <c r="L134" t="s">
        <v>1277</v>
      </c>
    </row>
    <row r="135" spans="1:12" x14ac:dyDescent="0.2">
      <c r="A135" t="s">
        <v>203</v>
      </c>
      <c r="B135" t="s">
        <v>1</v>
      </c>
      <c r="C135" t="str">
        <f t="shared" si="2"/>
        <v>.L</v>
      </c>
      <c r="D135" t="s">
        <v>1278</v>
      </c>
      <c r="E135" t="s">
        <v>204</v>
      </c>
      <c r="F135" t="s">
        <v>1279</v>
      </c>
      <c r="G135" t="s">
        <v>428</v>
      </c>
      <c r="H135" t="s">
        <v>429</v>
      </c>
      <c r="I135" t="s">
        <v>1280</v>
      </c>
      <c r="J135" t="s">
        <v>1281</v>
      </c>
      <c r="K135" t="s">
        <v>1282</v>
      </c>
      <c r="L135" t="s">
        <v>1283</v>
      </c>
    </row>
    <row r="136" spans="1:12" x14ac:dyDescent="0.2">
      <c r="A136" t="s">
        <v>205</v>
      </c>
      <c r="B136" t="s">
        <v>1</v>
      </c>
      <c r="C136" t="str">
        <f t="shared" si="2"/>
        <v>.L</v>
      </c>
      <c r="D136" t="s">
        <v>1284</v>
      </c>
      <c r="E136" t="s">
        <v>206</v>
      </c>
      <c r="F136" t="s">
        <v>1285</v>
      </c>
      <c r="G136" t="s">
        <v>430</v>
      </c>
      <c r="H136" t="s">
        <v>431</v>
      </c>
      <c r="I136" t="s">
        <v>1286</v>
      </c>
      <c r="J136" t="s">
        <v>1287</v>
      </c>
      <c r="K136" t="s">
        <v>1288</v>
      </c>
      <c r="L136" t="s">
        <v>1289</v>
      </c>
    </row>
    <row r="137" spans="1:12" x14ac:dyDescent="0.2">
      <c r="A137" t="s">
        <v>207</v>
      </c>
      <c r="B137" t="s">
        <v>608</v>
      </c>
      <c r="C137" t="str">
        <f t="shared" si="2"/>
        <v>.01</v>
      </c>
      <c r="D137" t="s">
        <v>1290</v>
      </c>
      <c r="E137" t="s">
        <v>1291</v>
      </c>
      <c r="F137" t="s">
        <v>1292</v>
      </c>
      <c r="G137" t="s">
        <v>278</v>
      </c>
      <c r="H137" t="s">
        <v>279</v>
      </c>
      <c r="I137" t="s">
        <v>1293</v>
      </c>
      <c r="J137" t="s">
        <v>1294</v>
      </c>
      <c r="K137" t="s">
        <v>1295</v>
      </c>
      <c r="L137" t="s">
        <v>1296</v>
      </c>
    </row>
    <row r="138" spans="1:12" x14ac:dyDescent="0.2">
      <c r="A138" t="s">
        <v>209</v>
      </c>
      <c r="B138" t="s">
        <v>608</v>
      </c>
      <c r="C138" t="str">
        <f t="shared" si="2"/>
        <v>.01</v>
      </c>
      <c r="D138" t="s">
        <v>1297</v>
      </c>
      <c r="E138" t="s">
        <v>1298</v>
      </c>
      <c r="F138" t="s">
        <v>1299</v>
      </c>
      <c r="G138" t="s">
        <v>280</v>
      </c>
      <c r="H138" t="s">
        <v>281</v>
      </c>
      <c r="I138" t="s">
        <v>1300</v>
      </c>
      <c r="J138" t="s">
        <v>1301</v>
      </c>
      <c r="K138" t="s">
        <v>1302</v>
      </c>
      <c r="L138" t="s">
        <v>1303</v>
      </c>
    </row>
    <row r="139" spans="1:12" x14ac:dyDescent="0.2">
      <c r="A139" t="s">
        <v>211</v>
      </c>
      <c r="B139" t="s">
        <v>608</v>
      </c>
      <c r="C139" t="str">
        <f t="shared" si="2"/>
        <v>.01</v>
      </c>
      <c r="D139" t="s">
        <v>1304</v>
      </c>
      <c r="E139" t="s">
        <v>1305</v>
      </c>
      <c r="F139" t="s">
        <v>1306</v>
      </c>
      <c r="G139" t="s">
        <v>282</v>
      </c>
      <c r="H139" t="s">
        <v>283</v>
      </c>
      <c r="I139" t="s">
        <v>1307</v>
      </c>
      <c r="J139" t="s">
        <v>1308</v>
      </c>
      <c r="K139" t="s">
        <v>1309</v>
      </c>
      <c r="L139" t="s">
        <v>1310</v>
      </c>
    </row>
    <row r="140" spans="1:12" x14ac:dyDescent="0.2">
      <c r="A140" t="s">
        <v>213</v>
      </c>
      <c r="B140" t="s">
        <v>608</v>
      </c>
      <c r="C140" t="str">
        <f t="shared" si="2"/>
        <v>.01</v>
      </c>
      <c r="D140" t="s">
        <v>1311</v>
      </c>
      <c r="E140" t="s">
        <v>1312</v>
      </c>
      <c r="F140" t="s">
        <v>1313</v>
      </c>
      <c r="G140" t="s">
        <v>284</v>
      </c>
      <c r="H140" t="s">
        <v>285</v>
      </c>
      <c r="I140" t="s">
        <v>1314</v>
      </c>
      <c r="J140" t="s">
        <v>1315</v>
      </c>
      <c r="K140" t="s">
        <v>1316</v>
      </c>
      <c r="L140" t="s">
        <v>1317</v>
      </c>
    </row>
    <row r="141" spans="1:12" x14ac:dyDescent="0.2">
      <c r="A141" t="s">
        <v>197</v>
      </c>
      <c r="B141" t="s">
        <v>21</v>
      </c>
      <c r="C141" t="str">
        <f t="shared" si="2"/>
        <v>.X</v>
      </c>
      <c r="D141" t="s">
        <v>1260</v>
      </c>
      <c r="E141" t="s">
        <v>215</v>
      </c>
      <c r="F141" t="s">
        <v>1261</v>
      </c>
      <c r="G141" t="s">
        <v>432</v>
      </c>
      <c r="H141" t="s">
        <v>433</v>
      </c>
      <c r="I141" t="s">
        <v>1318</v>
      </c>
      <c r="J141" t="s">
        <v>1319</v>
      </c>
      <c r="K141" t="s">
        <v>1320</v>
      </c>
      <c r="L141" t="s">
        <v>1321</v>
      </c>
    </row>
    <row r="142" spans="1:12" x14ac:dyDescent="0.2">
      <c r="A142" t="s">
        <v>199</v>
      </c>
      <c r="B142" t="s">
        <v>21</v>
      </c>
      <c r="C142" t="str">
        <f t="shared" si="2"/>
        <v>.X</v>
      </c>
      <c r="D142" t="s">
        <v>1266</v>
      </c>
      <c r="E142" t="s">
        <v>216</v>
      </c>
      <c r="F142" t="s">
        <v>1267</v>
      </c>
      <c r="G142" t="s">
        <v>434</v>
      </c>
      <c r="H142" t="s">
        <v>435</v>
      </c>
      <c r="I142" t="s">
        <v>1322</v>
      </c>
      <c r="J142" t="s">
        <v>1323</v>
      </c>
      <c r="K142" t="s">
        <v>1324</v>
      </c>
      <c r="L142" t="s">
        <v>1325</v>
      </c>
    </row>
    <row r="143" spans="1:12" x14ac:dyDescent="0.2">
      <c r="A143" t="s">
        <v>201</v>
      </c>
      <c r="B143" t="s">
        <v>21</v>
      </c>
      <c r="C143" t="str">
        <f t="shared" si="2"/>
        <v>.X</v>
      </c>
      <c r="D143" t="s">
        <v>1272</v>
      </c>
      <c r="E143" t="s">
        <v>217</v>
      </c>
      <c r="F143" t="s">
        <v>1273</v>
      </c>
      <c r="G143" t="s">
        <v>436</v>
      </c>
      <c r="H143" t="s">
        <v>437</v>
      </c>
      <c r="I143" t="s">
        <v>1326</v>
      </c>
      <c r="J143" t="s">
        <v>1327</v>
      </c>
      <c r="K143" t="s">
        <v>1328</v>
      </c>
      <c r="L143" t="s">
        <v>1329</v>
      </c>
    </row>
    <row r="144" spans="1:12" x14ac:dyDescent="0.2">
      <c r="A144" t="s">
        <v>203</v>
      </c>
      <c r="B144" t="s">
        <v>21</v>
      </c>
      <c r="C144" t="str">
        <f t="shared" si="2"/>
        <v>.X</v>
      </c>
      <c r="D144" t="s">
        <v>1278</v>
      </c>
      <c r="E144" t="s">
        <v>218</v>
      </c>
      <c r="F144" t="s">
        <v>1279</v>
      </c>
      <c r="G144" t="s">
        <v>438</v>
      </c>
      <c r="H144" t="s">
        <v>439</v>
      </c>
      <c r="I144" t="s">
        <v>1330</v>
      </c>
      <c r="J144" t="s">
        <v>1331</v>
      </c>
      <c r="K144" t="s">
        <v>1332</v>
      </c>
      <c r="L144" t="s">
        <v>1333</v>
      </c>
    </row>
    <row r="145" spans="1:12" x14ac:dyDescent="0.2">
      <c r="A145" t="s">
        <v>205</v>
      </c>
      <c r="B145" t="s">
        <v>21</v>
      </c>
      <c r="C145" t="str">
        <f t="shared" si="2"/>
        <v>.X</v>
      </c>
      <c r="D145" t="s">
        <v>1284</v>
      </c>
      <c r="E145" t="s">
        <v>219</v>
      </c>
      <c r="F145" t="s">
        <v>1285</v>
      </c>
      <c r="G145" t="s">
        <v>440</v>
      </c>
      <c r="H145" t="s">
        <v>441</v>
      </c>
      <c r="I145" t="s">
        <v>1334</v>
      </c>
      <c r="J145" t="s">
        <v>1335</v>
      </c>
      <c r="K145" t="s">
        <v>1336</v>
      </c>
      <c r="L145" t="s">
        <v>1337</v>
      </c>
    </row>
    <row r="146" spans="1:12" x14ac:dyDescent="0.2">
      <c r="A146" t="s">
        <v>207</v>
      </c>
      <c r="B146" t="s">
        <v>667</v>
      </c>
      <c r="C146" t="str">
        <f t="shared" si="2"/>
        <v>.02</v>
      </c>
      <c r="D146" t="s">
        <v>1290</v>
      </c>
      <c r="E146" t="s">
        <v>1338</v>
      </c>
      <c r="F146" t="s">
        <v>1292</v>
      </c>
      <c r="G146" t="s">
        <v>286</v>
      </c>
      <c r="H146" t="s">
        <v>287</v>
      </c>
      <c r="I146" t="s">
        <v>1339</v>
      </c>
      <c r="J146" t="s">
        <v>1340</v>
      </c>
      <c r="K146" t="s">
        <v>1341</v>
      </c>
      <c r="L146" t="s">
        <v>1342</v>
      </c>
    </row>
    <row r="147" spans="1:12" x14ac:dyDescent="0.2">
      <c r="A147" t="s">
        <v>209</v>
      </c>
      <c r="B147" t="s">
        <v>667</v>
      </c>
      <c r="C147" t="str">
        <f t="shared" si="2"/>
        <v>.02</v>
      </c>
      <c r="D147" t="s">
        <v>1297</v>
      </c>
      <c r="E147" t="s">
        <v>1343</v>
      </c>
      <c r="F147" t="s">
        <v>1299</v>
      </c>
      <c r="G147" t="s">
        <v>288</v>
      </c>
      <c r="H147" t="s">
        <v>289</v>
      </c>
      <c r="I147" t="s">
        <v>1344</v>
      </c>
      <c r="J147" t="s">
        <v>1345</v>
      </c>
      <c r="K147" t="s">
        <v>1346</v>
      </c>
      <c r="L147" t="s">
        <v>1347</v>
      </c>
    </row>
    <row r="148" spans="1:12" x14ac:dyDescent="0.2">
      <c r="A148" t="s">
        <v>211</v>
      </c>
      <c r="B148" t="s">
        <v>667</v>
      </c>
      <c r="C148" t="str">
        <f t="shared" si="2"/>
        <v>.02</v>
      </c>
      <c r="D148" t="s">
        <v>1304</v>
      </c>
      <c r="E148" t="s">
        <v>1348</v>
      </c>
      <c r="F148" t="s">
        <v>1306</v>
      </c>
      <c r="G148" t="s">
        <v>290</v>
      </c>
      <c r="H148" t="s">
        <v>291</v>
      </c>
      <c r="I148" t="s">
        <v>1349</v>
      </c>
      <c r="J148" t="s">
        <v>1350</v>
      </c>
      <c r="K148" t="s">
        <v>1351</v>
      </c>
      <c r="L148" t="s">
        <v>1352</v>
      </c>
    </row>
    <row r="149" spans="1:12" x14ac:dyDescent="0.2">
      <c r="A149" t="s">
        <v>213</v>
      </c>
      <c r="B149" t="s">
        <v>667</v>
      </c>
      <c r="C149" t="str">
        <f t="shared" si="2"/>
        <v>.02</v>
      </c>
      <c r="D149" t="s">
        <v>1311</v>
      </c>
      <c r="E149" t="s">
        <v>1353</v>
      </c>
      <c r="F149" t="s">
        <v>1313</v>
      </c>
      <c r="G149" t="s">
        <v>292</v>
      </c>
      <c r="H149" t="s">
        <v>293</v>
      </c>
      <c r="I149" t="s">
        <v>1354</v>
      </c>
      <c r="J149" t="s">
        <v>1355</v>
      </c>
      <c r="K149" t="s">
        <v>1356</v>
      </c>
      <c r="L149" t="s">
        <v>1357</v>
      </c>
    </row>
    <row r="150" spans="1:12" x14ac:dyDescent="0.2">
      <c r="A150" t="s">
        <v>224</v>
      </c>
      <c r="B150" t="s">
        <v>1</v>
      </c>
      <c r="C150" t="str">
        <f t="shared" si="2"/>
        <v>.L</v>
      </c>
      <c r="D150" t="s">
        <v>1358</v>
      </c>
      <c r="E150" t="s">
        <v>225</v>
      </c>
      <c r="F150" t="s">
        <v>1359</v>
      </c>
      <c r="G150" t="s">
        <v>298</v>
      </c>
      <c r="H150" t="s">
        <v>299</v>
      </c>
      <c r="I150" t="s">
        <v>1360</v>
      </c>
      <c r="J150" t="s">
        <v>1361</v>
      </c>
      <c r="K150" t="s">
        <v>1362</v>
      </c>
      <c r="L150" t="s">
        <v>1363</v>
      </c>
    </row>
    <row r="151" spans="1:12" x14ac:dyDescent="0.2">
      <c r="A151" t="s">
        <v>224</v>
      </c>
      <c r="B151" t="s">
        <v>21</v>
      </c>
      <c r="C151" t="str">
        <f t="shared" si="2"/>
        <v>.X</v>
      </c>
      <c r="D151" t="s">
        <v>1358</v>
      </c>
      <c r="E151" t="s">
        <v>226</v>
      </c>
      <c r="F151" t="s">
        <v>1359</v>
      </c>
      <c r="G151" t="s">
        <v>306</v>
      </c>
      <c r="H151" t="s">
        <v>307</v>
      </c>
      <c r="I151" t="s">
        <v>1364</v>
      </c>
      <c r="J151" t="s">
        <v>1365</v>
      </c>
      <c r="K151" t="s">
        <v>1366</v>
      </c>
      <c r="L151" t="s">
        <v>1367</v>
      </c>
    </row>
    <row r="152" spans="1:12" x14ac:dyDescent="0.2">
      <c r="A152" t="s">
        <v>227</v>
      </c>
      <c r="B152" t="s">
        <v>1</v>
      </c>
      <c r="C152" t="str">
        <f t="shared" si="2"/>
        <v>.L</v>
      </c>
      <c r="D152" t="s">
        <v>1368</v>
      </c>
      <c r="E152" t="s">
        <v>228</v>
      </c>
      <c r="F152" t="s">
        <v>1369</v>
      </c>
      <c r="G152" t="s">
        <v>458</v>
      </c>
      <c r="H152" t="s">
        <v>459</v>
      </c>
      <c r="I152" t="s">
        <v>1370</v>
      </c>
      <c r="J152" t="s">
        <v>1371</v>
      </c>
      <c r="K152" t="s">
        <v>1372</v>
      </c>
      <c r="L152" t="s">
        <v>1373</v>
      </c>
    </row>
    <row r="153" spans="1:12" x14ac:dyDescent="0.2">
      <c r="A153" t="s">
        <v>227</v>
      </c>
      <c r="B153" t="s">
        <v>21</v>
      </c>
      <c r="C153" t="str">
        <f t="shared" si="2"/>
        <v>.X</v>
      </c>
      <c r="D153" t="s">
        <v>1368</v>
      </c>
      <c r="E153" t="s">
        <v>229</v>
      </c>
      <c r="F153" t="s">
        <v>1369</v>
      </c>
      <c r="G153" t="s">
        <v>460</v>
      </c>
      <c r="H153" t="s">
        <v>461</v>
      </c>
      <c r="I153" t="s">
        <v>1374</v>
      </c>
      <c r="J153" t="s">
        <v>1375</v>
      </c>
      <c r="K153" t="s">
        <v>1376</v>
      </c>
      <c r="L153" t="s">
        <v>1377</v>
      </c>
    </row>
    <row r="154" spans="1:12" x14ac:dyDescent="0.2">
      <c r="A154" t="s">
        <v>230</v>
      </c>
      <c r="B154" t="s">
        <v>1</v>
      </c>
      <c r="C154" t="str">
        <f t="shared" si="2"/>
        <v>.L</v>
      </c>
      <c r="D154" t="s">
        <v>1378</v>
      </c>
      <c r="E154" t="s">
        <v>231</v>
      </c>
      <c r="F154" t="s">
        <v>1379</v>
      </c>
      <c r="G154" t="s">
        <v>1380</v>
      </c>
      <c r="H154" t="s">
        <v>1381</v>
      </c>
      <c r="I154" t="s">
        <v>1382</v>
      </c>
      <c r="J154" t="s">
        <v>1383</v>
      </c>
      <c r="K154" t="s">
        <v>1384</v>
      </c>
      <c r="L154" t="s">
        <v>1385</v>
      </c>
    </row>
    <row r="155" spans="1:12" x14ac:dyDescent="0.2">
      <c r="A155" t="s">
        <v>232</v>
      </c>
      <c r="B155" t="s">
        <v>1</v>
      </c>
      <c r="C155" t="str">
        <f t="shared" si="2"/>
        <v>.L</v>
      </c>
      <c r="D155" t="s">
        <v>1386</v>
      </c>
      <c r="E155" t="s">
        <v>233</v>
      </c>
      <c r="F155" t="s">
        <v>1387</v>
      </c>
      <c r="G155" t="s">
        <v>1388</v>
      </c>
      <c r="H155" t="s">
        <v>1389</v>
      </c>
      <c r="I155" t="s">
        <v>1390</v>
      </c>
      <c r="J155" t="s">
        <v>1391</v>
      </c>
      <c r="K155" t="s">
        <v>1392</v>
      </c>
      <c r="L155" t="s">
        <v>1393</v>
      </c>
    </row>
    <row r="156" spans="1:12" x14ac:dyDescent="0.2">
      <c r="A156" t="s">
        <v>234</v>
      </c>
      <c r="B156" t="s">
        <v>1</v>
      </c>
      <c r="C156" t="str">
        <f t="shared" si="2"/>
        <v>.L</v>
      </c>
      <c r="D156" t="s">
        <v>1394</v>
      </c>
      <c r="E156" t="s">
        <v>235</v>
      </c>
      <c r="F156" t="s">
        <v>1395</v>
      </c>
      <c r="G156" t="s">
        <v>1396</v>
      </c>
      <c r="H156" t="s">
        <v>1397</v>
      </c>
      <c r="I156" t="s">
        <v>1398</v>
      </c>
      <c r="J156" t="s">
        <v>1399</v>
      </c>
      <c r="K156" t="s">
        <v>1400</v>
      </c>
      <c r="L156" t="s">
        <v>1401</v>
      </c>
    </row>
    <row r="157" spans="1:12" x14ac:dyDescent="0.2">
      <c r="A157" t="s">
        <v>236</v>
      </c>
      <c r="B157" t="s">
        <v>1</v>
      </c>
      <c r="C157" t="str">
        <f t="shared" si="2"/>
        <v>.L</v>
      </c>
      <c r="D157" t="s">
        <v>1402</v>
      </c>
      <c r="E157" t="s">
        <v>237</v>
      </c>
      <c r="F157" t="s">
        <v>1403</v>
      </c>
      <c r="G157" t="s">
        <v>1404</v>
      </c>
      <c r="H157" t="s">
        <v>1405</v>
      </c>
      <c r="I157" t="s">
        <v>1406</v>
      </c>
      <c r="J157" t="s">
        <v>1407</v>
      </c>
      <c r="K157" t="s">
        <v>1408</v>
      </c>
      <c r="L157" t="s">
        <v>1409</v>
      </c>
    </row>
    <row r="158" spans="1:12" x14ac:dyDescent="0.2">
      <c r="A158" t="s">
        <v>238</v>
      </c>
      <c r="B158" t="s">
        <v>1</v>
      </c>
      <c r="C158" t="str">
        <f t="shared" si="2"/>
        <v>.L</v>
      </c>
      <c r="D158" t="s">
        <v>1410</v>
      </c>
      <c r="E158" t="s">
        <v>239</v>
      </c>
      <c r="F158" t="s">
        <v>1411</v>
      </c>
      <c r="G158" t="s">
        <v>1412</v>
      </c>
      <c r="H158" t="s">
        <v>1413</v>
      </c>
      <c r="I158" t="s">
        <v>1414</v>
      </c>
      <c r="J158" t="s">
        <v>1415</v>
      </c>
      <c r="K158" t="s">
        <v>1416</v>
      </c>
      <c r="L158" t="s">
        <v>1417</v>
      </c>
    </row>
    <row r="159" spans="1:12" x14ac:dyDescent="0.2">
      <c r="A159" t="s">
        <v>230</v>
      </c>
      <c r="B159" t="s">
        <v>21</v>
      </c>
      <c r="C159" t="str">
        <f t="shared" si="2"/>
        <v>.X</v>
      </c>
      <c r="D159" t="s">
        <v>1378</v>
      </c>
      <c r="E159" t="s">
        <v>240</v>
      </c>
      <c r="F159" t="s">
        <v>1379</v>
      </c>
      <c r="G159" t="s">
        <v>1418</v>
      </c>
      <c r="H159" t="s">
        <v>1419</v>
      </c>
      <c r="I159" t="s">
        <v>1420</v>
      </c>
      <c r="J159" t="s">
        <v>1421</v>
      </c>
      <c r="K159" t="s">
        <v>1422</v>
      </c>
      <c r="L159" t="s">
        <v>1423</v>
      </c>
    </row>
    <row r="160" spans="1:12" x14ac:dyDescent="0.2">
      <c r="A160" t="s">
        <v>232</v>
      </c>
      <c r="B160" t="s">
        <v>21</v>
      </c>
      <c r="C160" t="str">
        <f t="shared" si="2"/>
        <v>.X</v>
      </c>
      <c r="D160" t="s">
        <v>1386</v>
      </c>
      <c r="E160" t="s">
        <v>241</v>
      </c>
      <c r="F160" t="s">
        <v>1387</v>
      </c>
      <c r="G160" t="s">
        <v>1424</v>
      </c>
      <c r="H160" t="s">
        <v>1425</v>
      </c>
      <c r="I160" t="s">
        <v>1426</v>
      </c>
      <c r="J160" t="s">
        <v>1427</v>
      </c>
      <c r="K160" t="s">
        <v>1428</v>
      </c>
      <c r="L160" t="s">
        <v>1429</v>
      </c>
    </row>
    <row r="161" spans="1:12" x14ac:dyDescent="0.2">
      <c r="A161" t="s">
        <v>234</v>
      </c>
      <c r="B161" t="s">
        <v>21</v>
      </c>
      <c r="C161" t="str">
        <f t="shared" si="2"/>
        <v>.X</v>
      </c>
      <c r="D161" t="s">
        <v>1394</v>
      </c>
      <c r="E161" t="s">
        <v>242</v>
      </c>
      <c r="F161" t="s">
        <v>1395</v>
      </c>
      <c r="G161" t="s">
        <v>1430</v>
      </c>
      <c r="H161" t="s">
        <v>1431</v>
      </c>
      <c r="I161" t="s">
        <v>1432</v>
      </c>
      <c r="J161" t="s">
        <v>1433</v>
      </c>
      <c r="K161" t="s">
        <v>1434</v>
      </c>
      <c r="L161" t="s">
        <v>1435</v>
      </c>
    </row>
    <row r="162" spans="1:12" x14ac:dyDescent="0.2">
      <c r="A162" t="s">
        <v>236</v>
      </c>
      <c r="B162" t="s">
        <v>21</v>
      </c>
      <c r="C162" t="str">
        <f t="shared" si="2"/>
        <v>.X</v>
      </c>
      <c r="D162" t="s">
        <v>1402</v>
      </c>
      <c r="E162" t="s">
        <v>243</v>
      </c>
      <c r="F162" t="s">
        <v>1403</v>
      </c>
      <c r="G162" t="s">
        <v>1436</v>
      </c>
      <c r="H162" t="s">
        <v>1437</v>
      </c>
      <c r="I162" t="s">
        <v>1438</v>
      </c>
      <c r="J162" t="s">
        <v>1439</v>
      </c>
      <c r="K162" t="s">
        <v>1440</v>
      </c>
      <c r="L162" t="s">
        <v>1441</v>
      </c>
    </row>
    <row r="163" spans="1:12" x14ac:dyDescent="0.2">
      <c r="A163" t="s">
        <v>238</v>
      </c>
      <c r="B163" t="s">
        <v>21</v>
      </c>
      <c r="C163" t="str">
        <f t="shared" si="2"/>
        <v>.X</v>
      </c>
      <c r="D163" t="s">
        <v>1410</v>
      </c>
      <c r="E163" t="s">
        <v>244</v>
      </c>
      <c r="F163" t="s">
        <v>1411</v>
      </c>
      <c r="G163" t="s">
        <v>1442</v>
      </c>
      <c r="H163" t="s">
        <v>1443</v>
      </c>
      <c r="I163" t="s">
        <v>1444</v>
      </c>
      <c r="J163" t="s">
        <v>1445</v>
      </c>
      <c r="K163" t="s">
        <v>1446</v>
      </c>
      <c r="L163" t="s">
        <v>1447</v>
      </c>
    </row>
    <row r="164" spans="1:12" x14ac:dyDescent="0.2">
      <c r="A164" t="s">
        <v>245</v>
      </c>
      <c r="B164" t="s">
        <v>1</v>
      </c>
      <c r="C164" t="str">
        <f t="shared" si="2"/>
        <v>.L</v>
      </c>
      <c r="D164" t="s">
        <v>1448</v>
      </c>
      <c r="E164" t="s">
        <v>246</v>
      </c>
      <c r="F164" t="s">
        <v>1449</v>
      </c>
      <c r="G164" t="s">
        <v>1450</v>
      </c>
      <c r="H164" t="s">
        <v>1451</v>
      </c>
      <c r="I164" t="s">
        <v>1452</v>
      </c>
      <c r="J164" t="s">
        <v>1453</v>
      </c>
      <c r="K164" t="s">
        <v>1454</v>
      </c>
      <c r="L164" t="s">
        <v>1455</v>
      </c>
    </row>
    <row r="165" spans="1:12" x14ac:dyDescent="0.2">
      <c r="A165" t="s">
        <v>247</v>
      </c>
      <c r="B165" t="s">
        <v>1</v>
      </c>
      <c r="C165" t="str">
        <f t="shared" si="2"/>
        <v>.L</v>
      </c>
      <c r="D165" t="s">
        <v>1456</v>
      </c>
      <c r="E165" t="s">
        <v>248</v>
      </c>
      <c r="F165" t="s">
        <v>1457</v>
      </c>
      <c r="G165" t="s">
        <v>1458</v>
      </c>
      <c r="H165" t="s">
        <v>1459</v>
      </c>
      <c r="I165" t="s">
        <v>1460</v>
      </c>
      <c r="J165" t="s">
        <v>1461</v>
      </c>
      <c r="K165" t="s">
        <v>1462</v>
      </c>
      <c r="L165" t="s">
        <v>1463</v>
      </c>
    </row>
    <row r="166" spans="1:12" x14ac:dyDescent="0.2">
      <c r="A166" t="s">
        <v>249</v>
      </c>
      <c r="B166" t="s">
        <v>1</v>
      </c>
      <c r="C166" t="str">
        <f t="shared" si="2"/>
        <v>.L</v>
      </c>
      <c r="D166" t="s">
        <v>1464</v>
      </c>
      <c r="E166" t="s">
        <v>250</v>
      </c>
      <c r="F166" t="s">
        <v>1465</v>
      </c>
      <c r="G166" t="s">
        <v>1466</v>
      </c>
      <c r="H166" t="s">
        <v>1467</v>
      </c>
      <c r="I166" t="s">
        <v>1468</v>
      </c>
      <c r="J166" t="s">
        <v>1469</v>
      </c>
      <c r="K166" t="s">
        <v>1470</v>
      </c>
      <c r="L166" t="s">
        <v>1471</v>
      </c>
    </row>
    <row r="167" spans="1:12" x14ac:dyDescent="0.2">
      <c r="A167" t="s">
        <v>251</v>
      </c>
      <c r="B167" t="s">
        <v>1</v>
      </c>
      <c r="C167" t="str">
        <f t="shared" si="2"/>
        <v>.L</v>
      </c>
      <c r="D167" t="s">
        <v>1472</v>
      </c>
      <c r="E167" t="s">
        <v>252</v>
      </c>
      <c r="F167" t="s">
        <v>1473</v>
      </c>
      <c r="G167" t="s">
        <v>1474</v>
      </c>
      <c r="H167" t="s">
        <v>1475</v>
      </c>
      <c r="I167" t="s">
        <v>1476</v>
      </c>
      <c r="J167" t="s">
        <v>1477</v>
      </c>
      <c r="K167" t="s">
        <v>1478</v>
      </c>
      <c r="L167" t="s">
        <v>1479</v>
      </c>
    </row>
    <row r="168" spans="1:12" x14ac:dyDescent="0.2">
      <c r="A168" t="s">
        <v>253</v>
      </c>
      <c r="B168" t="s">
        <v>1</v>
      </c>
      <c r="C168" t="str">
        <f t="shared" si="2"/>
        <v>.L</v>
      </c>
      <c r="D168" t="s">
        <v>1480</v>
      </c>
      <c r="E168" t="s">
        <v>254</v>
      </c>
      <c r="F168" t="s">
        <v>1481</v>
      </c>
      <c r="G168" t="s">
        <v>1482</v>
      </c>
      <c r="H168" t="s">
        <v>1483</v>
      </c>
      <c r="I168" t="s">
        <v>1484</v>
      </c>
      <c r="J168" t="s">
        <v>1485</v>
      </c>
      <c r="K168" t="s">
        <v>1486</v>
      </c>
      <c r="L168" t="s">
        <v>1487</v>
      </c>
    </row>
    <row r="169" spans="1:12" x14ac:dyDescent="0.2">
      <c r="A169" t="s">
        <v>245</v>
      </c>
      <c r="B169" t="s">
        <v>21</v>
      </c>
      <c r="C169" t="str">
        <f t="shared" si="2"/>
        <v>.X</v>
      </c>
      <c r="D169" t="s">
        <v>1448</v>
      </c>
      <c r="E169" t="s">
        <v>255</v>
      </c>
      <c r="F169" t="s">
        <v>1449</v>
      </c>
      <c r="G169" t="s">
        <v>1488</v>
      </c>
      <c r="H169" t="s">
        <v>1489</v>
      </c>
      <c r="I169" t="s">
        <v>1490</v>
      </c>
      <c r="J169" t="s">
        <v>1491</v>
      </c>
      <c r="K169" t="s">
        <v>1492</v>
      </c>
      <c r="L169" t="s">
        <v>1493</v>
      </c>
    </row>
    <row r="170" spans="1:12" x14ac:dyDescent="0.2">
      <c r="A170" t="s">
        <v>247</v>
      </c>
      <c r="B170" t="s">
        <v>21</v>
      </c>
      <c r="C170" t="str">
        <f t="shared" si="2"/>
        <v>.X</v>
      </c>
      <c r="D170" t="s">
        <v>1456</v>
      </c>
      <c r="E170" t="s">
        <v>256</v>
      </c>
      <c r="F170" t="s">
        <v>1457</v>
      </c>
      <c r="G170" t="s">
        <v>1494</v>
      </c>
      <c r="H170" t="s">
        <v>1495</v>
      </c>
      <c r="I170" t="s">
        <v>1496</v>
      </c>
      <c r="J170" t="s">
        <v>1497</v>
      </c>
      <c r="K170" t="s">
        <v>1498</v>
      </c>
      <c r="L170" t="s">
        <v>1499</v>
      </c>
    </row>
    <row r="171" spans="1:12" x14ac:dyDescent="0.2">
      <c r="A171" t="s">
        <v>249</v>
      </c>
      <c r="B171" t="s">
        <v>21</v>
      </c>
      <c r="C171" t="str">
        <f t="shared" si="2"/>
        <v>.X</v>
      </c>
      <c r="D171" t="s">
        <v>1464</v>
      </c>
      <c r="E171" t="s">
        <v>257</v>
      </c>
      <c r="F171" t="s">
        <v>1465</v>
      </c>
      <c r="G171" t="s">
        <v>1500</v>
      </c>
      <c r="H171" t="s">
        <v>1501</v>
      </c>
      <c r="I171" t="s">
        <v>1502</v>
      </c>
      <c r="J171" t="s">
        <v>1503</v>
      </c>
      <c r="K171" t="s">
        <v>1504</v>
      </c>
      <c r="L171" t="s">
        <v>1505</v>
      </c>
    </row>
    <row r="172" spans="1:12" x14ac:dyDescent="0.2">
      <c r="A172" t="s">
        <v>251</v>
      </c>
      <c r="B172" t="s">
        <v>21</v>
      </c>
      <c r="C172" t="str">
        <f t="shared" si="2"/>
        <v>.X</v>
      </c>
      <c r="D172" t="s">
        <v>1472</v>
      </c>
      <c r="E172" t="s">
        <v>258</v>
      </c>
      <c r="F172" t="s">
        <v>1473</v>
      </c>
      <c r="G172" t="s">
        <v>1506</v>
      </c>
      <c r="H172" t="s">
        <v>1507</v>
      </c>
      <c r="I172" t="s">
        <v>1508</v>
      </c>
      <c r="J172" t="s">
        <v>1509</v>
      </c>
      <c r="K172" t="s">
        <v>1510</v>
      </c>
      <c r="L172" t="s">
        <v>1511</v>
      </c>
    </row>
    <row r="173" spans="1:12" x14ac:dyDescent="0.2">
      <c r="A173" t="s">
        <v>253</v>
      </c>
      <c r="B173" t="s">
        <v>21</v>
      </c>
      <c r="C173" t="str">
        <f t="shared" si="2"/>
        <v>.X</v>
      </c>
      <c r="D173" t="s">
        <v>1480</v>
      </c>
      <c r="E173" t="s">
        <v>259</v>
      </c>
      <c r="F173" t="s">
        <v>1481</v>
      </c>
      <c r="G173" t="s">
        <v>1512</v>
      </c>
      <c r="H173" t="s">
        <v>1513</v>
      </c>
      <c r="I173" t="s">
        <v>1514</v>
      </c>
      <c r="J173" t="s">
        <v>1515</v>
      </c>
      <c r="K173" t="s">
        <v>1516</v>
      </c>
      <c r="L173" t="s">
        <v>1517</v>
      </c>
    </row>
    <row r="174" spans="1:12" x14ac:dyDescent="0.2">
      <c r="A174" t="s">
        <v>260</v>
      </c>
      <c r="B174" t="s">
        <v>1</v>
      </c>
      <c r="C174" t="str">
        <f t="shared" si="2"/>
        <v>.L</v>
      </c>
      <c r="D174" t="s">
        <v>1518</v>
      </c>
      <c r="E174" t="s">
        <v>261</v>
      </c>
      <c r="F174" t="s">
        <v>1519</v>
      </c>
      <c r="G174" t="s">
        <v>1520</v>
      </c>
      <c r="H174" t="s">
        <v>1521</v>
      </c>
      <c r="I174" t="s">
        <v>1522</v>
      </c>
      <c r="J174" t="s">
        <v>1523</v>
      </c>
      <c r="K174" t="s">
        <v>1524</v>
      </c>
      <c r="L174" t="s">
        <v>1525</v>
      </c>
    </row>
    <row r="175" spans="1:12" x14ac:dyDescent="0.2">
      <c r="A175" t="s">
        <v>262</v>
      </c>
      <c r="B175" t="s">
        <v>1</v>
      </c>
      <c r="C175" t="str">
        <f t="shared" si="2"/>
        <v>.L</v>
      </c>
      <c r="D175" t="s">
        <v>1526</v>
      </c>
      <c r="E175" t="s">
        <v>263</v>
      </c>
      <c r="F175" t="s">
        <v>1527</v>
      </c>
      <c r="G175" t="s">
        <v>1528</v>
      </c>
      <c r="H175" t="s">
        <v>1529</v>
      </c>
      <c r="I175" t="s">
        <v>1530</v>
      </c>
      <c r="J175" t="s">
        <v>1531</v>
      </c>
      <c r="K175" t="s">
        <v>1532</v>
      </c>
      <c r="L175" t="s">
        <v>1533</v>
      </c>
    </row>
    <row r="176" spans="1:12" x14ac:dyDescent="0.2">
      <c r="A176" t="s">
        <v>264</v>
      </c>
      <c r="B176" t="s">
        <v>1</v>
      </c>
      <c r="C176" t="str">
        <f t="shared" si="2"/>
        <v>.L</v>
      </c>
      <c r="D176" t="s">
        <v>1534</v>
      </c>
      <c r="E176" t="s">
        <v>265</v>
      </c>
      <c r="F176" t="s">
        <v>1535</v>
      </c>
      <c r="G176" t="s">
        <v>1536</v>
      </c>
      <c r="H176" t="s">
        <v>1537</v>
      </c>
      <c r="I176" t="s">
        <v>1538</v>
      </c>
      <c r="J176" t="s">
        <v>1539</v>
      </c>
      <c r="K176" t="s">
        <v>1540</v>
      </c>
      <c r="L176" t="s">
        <v>1541</v>
      </c>
    </row>
    <row r="177" spans="1:12" x14ac:dyDescent="0.2">
      <c r="A177" t="s">
        <v>266</v>
      </c>
      <c r="B177" t="s">
        <v>1</v>
      </c>
      <c r="C177" t="str">
        <f t="shared" si="2"/>
        <v>.L</v>
      </c>
      <c r="D177" t="s">
        <v>1542</v>
      </c>
      <c r="E177" t="s">
        <v>267</v>
      </c>
      <c r="F177" t="s">
        <v>1543</v>
      </c>
      <c r="G177" t="s">
        <v>1544</v>
      </c>
      <c r="H177" t="s">
        <v>1545</v>
      </c>
      <c r="I177" t="s">
        <v>1546</v>
      </c>
      <c r="J177" t="s">
        <v>1547</v>
      </c>
      <c r="K177" t="s">
        <v>1548</v>
      </c>
      <c r="L177" t="s">
        <v>1549</v>
      </c>
    </row>
    <row r="178" spans="1:12" x14ac:dyDescent="0.2">
      <c r="A178" t="s">
        <v>260</v>
      </c>
      <c r="B178" t="s">
        <v>21</v>
      </c>
      <c r="C178" t="str">
        <f t="shared" si="2"/>
        <v>.X</v>
      </c>
      <c r="D178" t="s">
        <v>1518</v>
      </c>
      <c r="E178" t="s">
        <v>268</v>
      </c>
      <c r="F178" t="s">
        <v>1519</v>
      </c>
      <c r="G178" t="s">
        <v>1550</v>
      </c>
      <c r="H178" t="s">
        <v>1551</v>
      </c>
      <c r="I178" t="s">
        <v>1552</v>
      </c>
      <c r="J178" t="s">
        <v>1553</v>
      </c>
      <c r="K178" t="s">
        <v>1554</v>
      </c>
      <c r="L178" t="s">
        <v>1555</v>
      </c>
    </row>
    <row r="179" spans="1:12" x14ac:dyDescent="0.2">
      <c r="A179" t="s">
        <v>262</v>
      </c>
      <c r="B179" t="s">
        <v>21</v>
      </c>
      <c r="C179" t="str">
        <f t="shared" si="2"/>
        <v>.X</v>
      </c>
      <c r="D179" t="s">
        <v>1526</v>
      </c>
      <c r="E179" t="s">
        <v>269</v>
      </c>
      <c r="F179" t="s">
        <v>1527</v>
      </c>
      <c r="G179" t="s">
        <v>1556</v>
      </c>
      <c r="H179" t="s">
        <v>1557</v>
      </c>
      <c r="I179" t="s">
        <v>1558</v>
      </c>
      <c r="J179" t="s">
        <v>1559</v>
      </c>
      <c r="K179" t="s">
        <v>1560</v>
      </c>
      <c r="L179" t="s">
        <v>1561</v>
      </c>
    </row>
    <row r="180" spans="1:12" x14ac:dyDescent="0.2">
      <c r="A180" t="s">
        <v>264</v>
      </c>
      <c r="B180" t="s">
        <v>21</v>
      </c>
      <c r="C180" t="str">
        <f t="shared" si="2"/>
        <v>.X</v>
      </c>
      <c r="D180" t="s">
        <v>1534</v>
      </c>
      <c r="E180" t="s">
        <v>270</v>
      </c>
      <c r="F180" t="s">
        <v>1535</v>
      </c>
      <c r="G180" t="s">
        <v>1562</v>
      </c>
      <c r="H180" t="s">
        <v>1563</v>
      </c>
      <c r="I180" t="s">
        <v>1564</v>
      </c>
      <c r="J180" t="s">
        <v>1565</v>
      </c>
      <c r="K180" t="s">
        <v>1566</v>
      </c>
      <c r="L180" t="s">
        <v>1567</v>
      </c>
    </row>
    <row r="181" spans="1:12" x14ac:dyDescent="0.2">
      <c r="A181" t="s">
        <v>266</v>
      </c>
      <c r="B181" t="s">
        <v>21</v>
      </c>
      <c r="C181" t="str">
        <f t="shared" si="2"/>
        <v>.X</v>
      </c>
      <c r="D181" t="s">
        <v>1542</v>
      </c>
      <c r="E181" t="s">
        <v>271</v>
      </c>
      <c r="F181" t="s">
        <v>1543</v>
      </c>
      <c r="G181" t="s">
        <v>1568</v>
      </c>
      <c r="H181" t="s">
        <v>1569</v>
      </c>
      <c r="I181" t="s">
        <v>1570</v>
      </c>
      <c r="J181" t="s">
        <v>1571</v>
      </c>
      <c r="K181" t="s">
        <v>1572</v>
      </c>
      <c r="L181" t="s">
        <v>1573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CS2</vt:lpstr>
      <vt:lpstr>CS3</vt:lpstr>
      <vt:lpstr>CS2 NEW</vt:lpstr>
      <vt:lpstr>CS3 NEW</vt:lpstr>
      <vt:lpstr>TONG HOP DIA DIEM</vt:lpstr>
      <vt:lpstr>TONG HOP DIA DIEM (3 MAU TRANG)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Nguyễn Cao Phương</dc:creator>
  <cp:lastModifiedBy>Huỳnh Nguyễn Cao Phương</cp:lastModifiedBy>
  <dcterms:created xsi:type="dcterms:W3CDTF">2015-06-05T18:17:20Z</dcterms:created>
  <dcterms:modified xsi:type="dcterms:W3CDTF">2026-05-10T09:30:51Z</dcterms:modified>
</cp:coreProperties>
</file>