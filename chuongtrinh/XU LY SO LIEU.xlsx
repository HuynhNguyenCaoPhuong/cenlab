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ool\cenlab\chuongtrinh\"/>
    </mc:Choice>
  </mc:AlternateContent>
  <xr:revisionPtr revIDLastSave="0" documentId="13_ncr:1_{5BBC52A9-FA72-436B-B0B0-12A52E521397}" xr6:coauthVersionLast="47" xr6:coauthVersionMax="47" xr10:uidLastSave="{00000000-0000-0000-0000-000000000000}"/>
  <bookViews>
    <workbookView xWindow="-120" yWindow="-120" windowWidth="29040" windowHeight="15720" activeTab="2" xr2:uid="{4D8D62DD-8981-4D4E-8BE6-33C7EA610275}"/>
  </bookViews>
  <sheets>
    <sheet name="Thang 05-2026" sheetId="1" r:id="rId1"/>
    <sheet name="CS2" sheetId="2" r:id="rId2"/>
    <sheet name="CS3" sheetId="3" r:id="rId3"/>
  </sheets>
  <definedNames>
    <definedName name="_xlnm._FilterDatabase" localSheetId="1" hidden="1">'CS2'!$A$1:$G$1</definedName>
    <definedName name="_xlnm._FilterDatabase" localSheetId="2" hidden="1">'CS3'!$A$1:$G$1</definedName>
    <definedName name="_xlnm._FilterDatabase" localSheetId="0" hidden="1">'Thang 05-2026'!$A$1:$S$106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" i="3" l="1" a="1"/>
  <c r="E29" i="3" s="1"/>
  <c r="D29" i="3" a="1"/>
  <c r="D29" i="3" s="1"/>
  <c r="F29" i="3" s="1"/>
  <c r="E28" i="3" a="1"/>
  <c r="E28" i="3" s="1"/>
  <c r="F28" i="3" s="1"/>
  <c r="D28" i="3"/>
  <c r="D28" i="3" a="1"/>
  <c r="E27" i="3"/>
  <c r="E27" i="3" a="1"/>
  <c r="D27" i="3" a="1"/>
  <c r="D27" i="3" s="1"/>
  <c r="F27" i="3" s="1"/>
  <c r="E26" i="3" a="1"/>
  <c r="E26" i="3" s="1"/>
  <c r="D26" i="3" a="1"/>
  <c r="D26" i="3" s="1"/>
  <c r="F26" i="3" s="1"/>
  <c r="E25" i="3" a="1"/>
  <c r="E25" i="3" s="1"/>
  <c r="D25" i="3"/>
  <c r="F25" i="3" s="1"/>
  <c r="D25" i="3" a="1"/>
  <c r="E24" i="3"/>
  <c r="E24" i="3" a="1"/>
  <c r="D24" i="3" a="1"/>
  <c r="D24" i="3" s="1"/>
  <c r="F24" i="3" s="1"/>
  <c r="E23" i="3" a="1"/>
  <c r="E23" i="3" s="1"/>
  <c r="D23" i="3" a="1"/>
  <c r="D23" i="3" s="1"/>
  <c r="F23" i="3" s="1"/>
  <c r="E22" i="3" a="1"/>
  <c r="E22" i="3" s="1"/>
  <c r="D22" i="3" a="1"/>
  <c r="D22" i="3" s="1"/>
  <c r="F22" i="3" s="1"/>
  <c r="E21" i="3"/>
  <c r="E21" i="3" a="1"/>
  <c r="D21" i="3" a="1"/>
  <c r="D21" i="3" s="1"/>
  <c r="F21" i="3" s="1"/>
  <c r="E20" i="3" a="1"/>
  <c r="E20" i="3" s="1"/>
  <c r="D20" i="3" a="1"/>
  <c r="D20" i="3" s="1"/>
  <c r="F20" i="3" s="1"/>
  <c r="E19" i="3" a="1"/>
  <c r="E19" i="3" s="1"/>
  <c r="D19" i="3"/>
  <c r="D19" i="3" a="1"/>
  <c r="E18" i="3" a="1"/>
  <c r="E18" i="3" s="1"/>
  <c r="D18" i="3" a="1"/>
  <c r="D18" i="3" s="1"/>
  <c r="F18" i="3" s="1"/>
  <c r="E17" i="3" a="1"/>
  <c r="E17" i="3" s="1"/>
  <c r="D17" i="3" a="1"/>
  <c r="D17" i="3" s="1"/>
  <c r="F17" i="3" s="1"/>
  <c r="E16" i="3" a="1"/>
  <c r="E16" i="3" s="1"/>
  <c r="D16" i="3" a="1"/>
  <c r="D16" i="3" s="1"/>
  <c r="F16" i="3" s="1"/>
  <c r="E15" i="3"/>
  <c r="E15" i="3" a="1"/>
  <c r="D15" i="3" a="1"/>
  <c r="D15" i="3" s="1"/>
  <c r="F15" i="3" s="1"/>
  <c r="E14" i="3" a="1"/>
  <c r="E14" i="3" s="1"/>
  <c r="D14" i="3" a="1"/>
  <c r="D14" i="3" s="1"/>
  <c r="E13" i="3" a="1"/>
  <c r="E13" i="3" s="1"/>
  <c r="D13" i="3"/>
  <c r="F13" i="3" s="1"/>
  <c r="D13" i="3" a="1"/>
  <c r="E12" i="3" a="1"/>
  <c r="E12" i="3" s="1"/>
  <c r="D12" i="3" a="1"/>
  <c r="D12" i="3" s="1"/>
  <c r="F12" i="3" s="1"/>
  <c r="E11" i="3" a="1"/>
  <c r="E11" i="3" s="1"/>
  <c r="D11" i="3" a="1"/>
  <c r="D11" i="3" s="1"/>
  <c r="F11" i="3" s="1"/>
  <c r="E10" i="3" a="1"/>
  <c r="E10" i="3" s="1"/>
  <c r="D10" i="3" a="1"/>
  <c r="D10" i="3" s="1"/>
  <c r="F10" i="3" s="1"/>
  <c r="E9" i="3"/>
  <c r="E9" i="3" a="1"/>
  <c r="D9" i="3" a="1"/>
  <c r="D9" i="3" s="1"/>
  <c r="F9" i="3" s="1"/>
  <c r="E8" i="3" a="1"/>
  <c r="E8" i="3" s="1"/>
  <c r="D8" i="3" a="1"/>
  <c r="D8" i="3" s="1"/>
  <c r="F8" i="3" s="1"/>
  <c r="E7" i="3" a="1"/>
  <c r="E7" i="3" s="1"/>
  <c r="D7" i="3"/>
  <c r="F7" i="3" s="1"/>
  <c r="D7" i="3" a="1"/>
  <c r="E6" i="3" a="1"/>
  <c r="E6" i="3" s="1"/>
  <c r="D6" i="3" a="1"/>
  <c r="D6" i="3" s="1"/>
  <c r="F6" i="3" s="1"/>
  <c r="E5" i="3" a="1"/>
  <c r="E5" i="3" s="1"/>
  <c r="D5" i="3" a="1"/>
  <c r="D5" i="3" s="1"/>
  <c r="F5" i="3" s="1"/>
  <c r="E4" i="3" a="1"/>
  <c r="E4" i="3" s="1"/>
  <c r="F4" i="3" s="1"/>
  <c r="D4" i="3"/>
  <c r="D4" i="3" a="1"/>
  <c r="E3" i="3"/>
  <c r="E3" i="3" a="1"/>
  <c r="D3" i="3" a="1"/>
  <c r="D3" i="3" s="1"/>
  <c r="F3" i="3" s="1"/>
  <c r="E2" i="3" a="1"/>
  <c r="E2" i="3" s="1"/>
  <c r="D2" i="3" a="1"/>
  <c r="D2" i="3" s="1"/>
  <c r="F2" i="3" s="1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4" i="3" l="1"/>
  <c r="F19" i="3"/>
  <c r="E173" i="2" a="1"/>
  <c r="E173" i="2" s="1"/>
  <c r="E172" i="2" a="1"/>
  <c r="E172" i="2" s="1"/>
  <c r="E171" i="2" a="1"/>
  <c r="E171" i="2" s="1"/>
  <c r="E170" i="2" a="1"/>
  <c r="E170" i="2" s="1"/>
  <c r="E169" i="2" a="1"/>
  <c r="E169" i="2" s="1"/>
  <c r="E168" i="2" a="1"/>
  <c r="E168" i="2" s="1"/>
  <c r="E167" i="2" a="1"/>
  <c r="E167" i="2" s="1"/>
  <c r="E166" i="2" a="1"/>
  <c r="E166" i="2" s="1"/>
  <c r="E165" i="2" a="1"/>
  <c r="E165" i="2" s="1"/>
  <c r="E164" i="2" a="1"/>
  <c r="E164" i="2" s="1"/>
  <c r="E163" i="2" a="1"/>
  <c r="E163" i="2" s="1"/>
  <c r="E162" i="2" a="1"/>
  <c r="E162" i="2" s="1"/>
  <c r="E153" i="2" a="1"/>
  <c r="E153" i="2" s="1"/>
  <c r="E152" i="2" a="1"/>
  <c r="E152" i="2" s="1"/>
  <c r="E151" i="2" a="1"/>
  <c r="E151" i="2" s="1"/>
  <c r="E150" i="2" a="1"/>
  <c r="E150" i="2" s="1"/>
  <c r="E149" i="2" a="1"/>
  <c r="E149" i="2" s="1"/>
  <c r="E148" i="2" a="1"/>
  <c r="E148" i="2" s="1"/>
  <c r="E147" i="2" a="1"/>
  <c r="E147" i="2" s="1"/>
  <c r="E146" i="2" a="1"/>
  <c r="E146" i="2" s="1"/>
  <c r="D173" i="2" a="1"/>
  <c r="D173" i="2" s="1"/>
  <c r="D172" i="2" a="1"/>
  <c r="D172" i="2" s="1"/>
  <c r="D171" i="2" a="1"/>
  <c r="D171" i="2" s="1"/>
  <c r="D170" i="2" a="1"/>
  <c r="D170" i="2" s="1"/>
  <c r="D169" i="2" a="1"/>
  <c r="D169" i="2" s="1"/>
  <c r="D168" i="2" a="1"/>
  <c r="D168" i="2" s="1"/>
  <c r="D167" i="2" a="1"/>
  <c r="D167" i="2" s="1"/>
  <c r="D166" i="2" a="1"/>
  <c r="D166" i="2" s="1"/>
  <c r="D165" i="2" a="1"/>
  <c r="D165" i="2" s="1"/>
  <c r="D164" i="2" a="1"/>
  <c r="D164" i="2" s="1"/>
  <c r="D163" i="2" a="1"/>
  <c r="D163" i="2" s="1"/>
  <c r="D162" i="2" a="1"/>
  <c r="D162" i="2" s="1"/>
  <c r="D153" i="2" a="1"/>
  <c r="D153" i="2" s="1"/>
  <c r="D152" i="2" a="1"/>
  <c r="D152" i="2" s="1"/>
  <c r="D151" i="2" a="1"/>
  <c r="D151" i="2" s="1"/>
  <c r="D150" i="2" a="1"/>
  <c r="D150" i="2" s="1"/>
  <c r="D149" i="2" a="1"/>
  <c r="D149" i="2" s="1"/>
  <c r="D148" i="2" a="1"/>
  <c r="D148" i="2" s="1"/>
  <c r="D147" i="2" a="1"/>
  <c r="D147" i="2" s="1"/>
  <c r="D146" i="2" a="1"/>
  <c r="D146" i="2" s="1"/>
  <c r="G23" i="3" l="1"/>
  <c r="G22" i="3"/>
  <c r="G21" i="3"/>
  <c r="G20" i="3"/>
  <c r="G19" i="3"/>
  <c r="G18" i="3"/>
  <c r="G17" i="3"/>
  <c r="G13" i="3"/>
  <c r="G12" i="3"/>
  <c r="G16" i="3"/>
  <c r="G15" i="3"/>
  <c r="G14" i="3"/>
  <c r="G11" i="3"/>
  <c r="G10" i="3"/>
  <c r="G9" i="3"/>
  <c r="G8" i="3"/>
  <c r="G7" i="3"/>
  <c r="G6" i="3"/>
  <c r="G5" i="3"/>
  <c r="G4" i="3"/>
  <c r="G3" i="3"/>
  <c r="G2" i="3"/>
  <c r="G29" i="3"/>
  <c r="G28" i="3"/>
  <c r="G27" i="3"/>
  <c r="G26" i="3"/>
  <c r="G25" i="3"/>
  <c r="G24" i="3"/>
  <c r="G127" i="2"/>
  <c r="G126" i="2"/>
  <c r="G125" i="2"/>
  <c r="G124" i="2"/>
  <c r="G123" i="2"/>
  <c r="G122" i="2"/>
  <c r="G121" i="2"/>
  <c r="G120" i="2"/>
  <c r="G119" i="2"/>
  <c r="G118" i="2"/>
  <c r="G155" i="2"/>
  <c r="G154" i="2"/>
  <c r="G71" i="2"/>
  <c r="G70" i="2"/>
  <c r="G69" i="2"/>
  <c r="G68" i="2"/>
  <c r="G67" i="2"/>
  <c r="G66" i="2"/>
  <c r="G65" i="2"/>
  <c r="G64" i="2"/>
  <c r="G161" i="2"/>
  <c r="G160" i="2"/>
  <c r="G159" i="2"/>
  <c r="G158" i="2"/>
  <c r="G157" i="2"/>
  <c r="G156" i="2"/>
  <c r="G47" i="2"/>
  <c r="G46" i="2"/>
  <c r="G45" i="2"/>
  <c r="G44" i="2"/>
  <c r="G43" i="2"/>
  <c r="G42" i="2"/>
  <c r="G41" i="2"/>
  <c r="G40" i="2"/>
  <c r="G55" i="2"/>
  <c r="G54" i="2"/>
  <c r="G53" i="2"/>
  <c r="G52" i="2"/>
  <c r="G51" i="2"/>
  <c r="G50" i="2"/>
  <c r="G117" i="2"/>
  <c r="G116" i="2"/>
  <c r="G115" i="2"/>
  <c r="G114" i="2"/>
  <c r="G113" i="2"/>
  <c r="G112" i="2"/>
  <c r="G111" i="2"/>
  <c r="G110" i="2"/>
  <c r="G137" i="2"/>
  <c r="G136" i="2"/>
  <c r="G135" i="2"/>
  <c r="G134" i="2"/>
  <c r="G133" i="2"/>
  <c r="G109" i="2"/>
  <c r="G108" i="2"/>
  <c r="G107" i="2"/>
  <c r="G106" i="2"/>
  <c r="G132" i="2"/>
  <c r="G131" i="2"/>
  <c r="G130" i="2"/>
  <c r="G129" i="2"/>
  <c r="G128" i="2"/>
  <c r="G105" i="2"/>
  <c r="G104" i="2"/>
  <c r="G103" i="2"/>
  <c r="G102" i="2"/>
  <c r="G63" i="2"/>
  <c r="G62" i="2"/>
  <c r="G61" i="2"/>
  <c r="G60" i="2"/>
  <c r="G91" i="2"/>
  <c r="G90" i="2"/>
  <c r="G89" i="2"/>
  <c r="G88" i="2"/>
  <c r="G87" i="2"/>
  <c r="G59" i="2"/>
  <c r="G58" i="2"/>
  <c r="G57" i="2"/>
  <c r="G56" i="2"/>
  <c r="G86" i="2"/>
  <c r="G85" i="2"/>
  <c r="G84" i="2"/>
  <c r="G83" i="2"/>
  <c r="G82" i="2"/>
  <c r="G101" i="2"/>
  <c r="G100" i="2"/>
  <c r="G99" i="2"/>
  <c r="G98" i="2"/>
  <c r="G97" i="2"/>
  <c r="G96" i="2"/>
  <c r="G95" i="2"/>
  <c r="G94" i="2"/>
  <c r="G93" i="2"/>
  <c r="G92" i="2"/>
  <c r="G31" i="2"/>
  <c r="G30" i="2"/>
  <c r="G29" i="2"/>
  <c r="G28" i="2"/>
  <c r="G27" i="2"/>
  <c r="G26" i="2"/>
  <c r="G49" i="2"/>
  <c r="G25" i="2"/>
  <c r="G24" i="2"/>
  <c r="G23" i="2"/>
  <c r="G22" i="2"/>
  <c r="G48" i="2"/>
  <c r="G21" i="2"/>
  <c r="G20" i="2"/>
  <c r="G19" i="2"/>
  <c r="G18" i="2"/>
  <c r="G145" i="2"/>
  <c r="G144" i="2"/>
  <c r="G143" i="2"/>
  <c r="G142" i="2"/>
  <c r="G39" i="2"/>
  <c r="G38" i="2"/>
  <c r="G37" i="2"/>
  <c r="G36" i="2"/>
  <c r="G141" i="2"/>
  <c r="G140" i="2"/>
  <c r="G139" i="2"/>
  <c r="G138" i="2"/>
  <c r="G35" i="2"/>
  <c r="G34" i="2"/>
  <c r="G33" i="2"/>
  <c r="G32" i="2"/>
  <c r="G17" i="2"/>
  <c r="G16" i="2"/>
  <c r="G15" i="2"/>
  <c r="G14" i="2"/>
  <c r="G13" i="2"/>
  <c r="G12" i="2"/>
  <c r="G11" i="2"/>
  <c r="G10" i="2"/>
  <c r="G81" i="2"/>
  <c r="G80" i="2"/>
  <c r="G79" i="2"/>
  <c r="G78" i="2"/>
  <c r="G77" i="2"/>
  <c r="G76" i="2"/>
  <c r="G75" i="2"/>
  <c r="G74" i="2"/>
  <c r="G73" i="2"/>
  <c r="G72" i="2"/>
  <c r="G9" i="2"/>
  <c r="G8" i="2"/>
  <c r="G7" i="2"/>
  <c r="G6" i="2"/>
  <c r="G5" i="2"/>
  <c r="G4" i="2"/>
  <c r="G3" i="2"/>
  <c r="G2" i="2"/>
  <c r="R105" i="1"/>
  <c r="R104" i="1"/>
  <c r="P103" i="1"/>
  <c r="O103" i="1"/>
  <c r="N103" i="1"/>
  <c r="M103" i="1"/>
  <c r="M104" i="1" s="1"/>
  <c r="L103" i="1"/>
  <c r="K103" i="1"/>
  <c r="J103" i="1"/>
  <c r="I103" i="1"/>
  <c r="G103" i="1"/>
  <c r="G104" i="1" s="1"/>
  <c r="F103" i="1"/>
  <c r="F104" i="1" s="1"/>
  <c r="D138" i="2" l="1" a="1"/>
  <c r="D138" i="2" s="1"/>
  <c r="E138" i="2" a="1"/>
  <c r="E138" i="2" s="1"/>
  <c r="D23" i="2" a="1"/>
  <c r="D23" i="2" s="1"/>
  <c r="E23" i="2" a="1"/>
  <c r="E23" i="2" s="1"/>
  <c r="D100" i="2" a="1"/>
  <c r="D100" i="2" s="1"/>
  <c r="E100" i="2" a="1"/>
  <c r="E100" i="2" s="1"/>
  <c r="D88" i="2" a="1"/>
  <c r="D88" i="2" s="1"/>
  <c r="E88" i="2" a="1"/>
  <c r="E88" i="2" s="1"/>
  <c r="D156" i="2" a="1"/>
  <c r="D156" i="2" s="1"/>
  <c r="E156" i="2" a="1"/>
  <c r="E156" i="2" s="1"/>
  <c r="D70" i="2" a="1"/>
  <c r="D70" i="2" s="1"/>
  <c r="E70" i="2" a="1"/>
  <c r="E70" i="2" s="1"/>
  <c r="D77" i="2" a="1"/>
  <c r="D77" i="2" s="1"/>
  <c r="E77" i="2" a="1"/>
  <c r="E77" i="2" s="1"/>
  <c r="D95" i="2" a="1"/>
  <c r="D95" i="2" s="1"/>
  <c r="E95" i="2" a="1"/>
  <c r="E95" i="2" s="1"/>
  <c r="D63" i="2" a="1"/>
  <c r="D63" i="2" s="1"/>
  <c r="E63" i="2" a="1"/>
  <c r="E63" i="2" s="1"/>
  <c r="D137" i="2" a="1"/>
  <c r="D137" i="2" s="1"/>
  <c r="E137" i="2" a="1"/>
  <c r="E137" i="2" s="1"/>
  <c r="D43" i="2" a="1"/>
  <c r="D43" i="2" s="1"/>
  <c r="E43" i="2" a="1"/>
  <c r="E43" i="2" s="1"/>
  <c r="D121" i="2" a="1"/>
  <c r="D121" i="2" s="1"/>
  <c r="E121" i="2" a="1"/>
  <c r="E121" i="2" s="1"/>
  <c r="D72" i="2" a="1"/>
  <c r="D72" i="2" s="1"/>
  <c r="E72" i="2" a="1"/>
  <c r="E72" i="2" s="1"/>
  <c r="D78" i="2" a="1"/>
  <c r="D78" i="2" s="1"/>
  <c r="E78" i="2" a="1"/>
  <c r="E78" i="2" s="1"/>
  <c r="D12" i="2" a="1"/>
  <c r="D12" i="2" s="1"/>
  <c r="E12" i="2" a="1"/>
  <c r="E12" i="2" s="1"/>
  <c r="D32" i="2" a="1"/>
  <c r="D32" i="2" s="1"/>
  <c r="E32" i="2" a="1"/>
  <c r="E32" i="2" s="1"/>
  <c r="D140" i="2" a="1"/>
  <c r="D140" i="2" s="1"/>
  <c r="E140" i="2" a="1"/>
  <c r="E140" i="2" s="1"/>
  <c r="D142" i="2" a="1"/>
  <c r="D142" i="2" s="1"/>
  <c r="E142" i="2" a="1"/>
  <c r="E142" i="2" s="1"/>
  <c r="D20" i="2" a="1"/>
  <c r="D20" i="2" s="1"/>
  <c r="E20" i="2" a="1"/>
  <c r="E20" i="2" s="1"/>
  <c r="D25" i="2" a="1"/>
  <c r="D25" i="2" s="1"/>
  <c r="E25" i="2" a="1"/>
  <c r="E25" i="2" s="1"/>
  <c r="D30" i="2" a="1"/>
  <c r="D30" i="2" s="1"/>
  <c r="E30" i="2" a="1"/>
  <c r="E30" i="2" s="1"/>
  <c r="D96" i="2" a="1"/>
  <c r="D96" i="2" s="1"/>
  <c r="E96" i="2" a="1"/>
  <c r="E96" i="2" s="1"/>
  <c r="D82" i="2" a="1"/>
  <c r="D82" i="2" s="1"/>
  <c r="E82" i="2" a="1"/>
  <c r="E82" i="2" s="1"/>
  <c r="D57" i="2" a="1"/>
  <c r="D57" i="2" s="1"/>
  <c r="E57" i="2" a="1"/>
  <c r="E57" i="2" s="1"/>
  <c r="D90" i="2" a="1"/>
  <c r="D90" i="2" s="1"/>
  <c r="E90" i="2" a="1"/>
  <c r="E90" i="2" s="1"/>
  <c r="D102" i="2" a="1"/>
  <c r="D102" i="2" s="1"/>
  <c r="E102" i="2" a="1"/>
  <c r="E102" i="2" s="1"/>
  <c r="D130" i="2" a="1"/>
  <c r="D130" i="2" s="1"/>
  <c r="E130" i="2" a="1"/>
  <c r="E130" i="2" s="1"/>
  <c r="D109" i="2" a="1"/>
  <c r="D109" i="2" s="1"/>
  <c r="E109" i="2" a="1"/>
  <c r="E109" i="2" s="1"/>
  <c r="D110" i="2" a="1"/>
  <c r="D110" i="2" s="1"/>
  <c r="E110" i="2" a="1"/>
  <c r="E110" i="2" s="1"/>
  <c r="D116" i="2" a="1"/>
  <c r="D116" i="2" s="1"/>
  <c r="E116" i="2" a="1"/>
  <c r="E116" i="2" s="1"/>
  <c r="D54" i="2" a="1"/>
  <c r="D54" i="2" s="1"/>
  <c r="E54" i="2" a="1"/>
  <c r="E54" i="2" s="1"/>
  <c r="D44" i="2" a="1"/>
  <c r="D44" i="2" s="1"/>
  <c r="E44" i="2" a="1"/>
  <c r="E44" i="2" s="1"/>
  <c r="D158" i="2" a="1"/>
  <c r="D158" i="2" s="1"/>
  <c r="E158" i="2" a="1"/>
  <c r="E158" i="2" s="1"/>
  <c r="D66" i="2" a="1"/>
  <c r="D66" i="2" s="1"/>
  <c r="E66" i="2" a="1"/>
  <c r="E66" i="2" s="1"/>
  <c r="D154" i="2" a="1"/>
  <c r="D154" i="2" s="1"/>
  <c r="E154" i="2" a="1"/>
  <c r="E154" i="2" s="1"/>
  <c r="D122" i="2" a="1"/>
  <c r="D122" i="2" s="1"/>
  <c r="E122" i="2" a="1"/>
  <c r="E122" i="2" s="1"/>
  <c r="D76" i="2" a="1"/>
  <c r="D76" i="2" s="1"/>
  <c r="E76" i="2" a="1"/>
  <c r="E76" i="2" s="1"/>
  <c r="D16" i="2" a="1"/>
  <c r="D16" i="2" s="1"/>
  <c r="E16" i="2" a="1"/>
  <c r="E16" i="2" s="1"/>
  <c r="D18" i="2" a="1"/>
  <c r="D18" i="2" s="1"/>
  <c r="E18" i="2" a="1"/>
  <c r="E18" i="2" s="1"/>
  <c r="D28" i="2" a="1"/>
  <c r="D28" i="2" s="1"/>
  <c r="E28" i="2" a="1"/>
  <c r="E28" i="2" s="1"/>
  <c r="D86" i="2" a="1"/>
  <c r="D86" i="2" s="1"/>
  <c r="E86" i="2" a="1"/>
  <c r="E86" i="2" s="1"/>
  <c r="D62" i="2" a="1"/>
  <c r="D62" i="2" s="1"/>
  <c r="E62" i="2" a="1"/>
  <c r="E62" i="2" s="1"/>
  <c r="D107" i="2" a="1"/>
  <c r="D107" i="2" s="1"/>
  <c r="E107" i="2" a="1"/>
  <c r="E107" i="2" s="1"/>
  <c r="D52" i="2" a="1"/>
  <c r="D52" i="2" s="1"/>
  <c r="E52" i="2" a="1"/>
  <c r="E52" i="2" s="1"/>
  <c r="D126" i="2" a="1"/>
  <c r="D126" i="2" s="1"/>
  <c r="E126" i="2" a="1"/>
  <c r="E126" i="2" s="1"/>
  <c r="D9" i="2" a="1"/>
  <c r="D9" i="2" s="1"/>
  <c r="E9" i="2" a="1"/>
  <c r="E9" i="2" s="1"/>
  <c r="D17" i="2" a="1"/>
  <c r="D17" i="2" s="1"/>
  <c r="E17" i="2" a="1"/>
  <c r="E17" i="2" s="1"/>
  <c r="D101" i="2" a="1"/>
  <c r="D101" i="2" s="1"/>
  <c r="E101" i="2" a="1"/>
  <c r="E101" i="2" s="1"/>
  <c r="D89" i="2" a="1"/>
  <c r="D89" i="2" s="1"/>
  <c r="E89" i="2" a="1"/>
  <c r="E89" i="2" s="1"/>
  <c r="D157" i="2" a="1"/>
  <c r="D157" i="2" s="1"/>
  <c r="E157" i="2" a="1"/>
  <c r="E157" i="2" s="1"/>
  <c r="D127" i="2" a="1"/>
  <c r="D127" i="2" s="1"/>
  <c r="E127" i="2" a="1"/>
  <c r="E127" i="2" s="1"/>
  <c r="D4" i="2" a="1"/>
  <c r="D4" i="2" s="1"/>
  <c r="E4" i="2" a="1"/>
  <c r="E4" i="2" s="1"/>
  <c r="D5" i="2" a="1"/>
  <c r="D5" i="2" s="1"/>
  <c r="E5" i="2" a="1"/>
  <c r="E5" i="2" s="1"/>
  <c r="D73" i="2" a="1"/>
  <c r="D73" i="2" s="1"/>
  <c r="E73" i="2" a="1"/>
  <c r="E73" i="2" s="1"/>
  <c r="D79" i="2" a="1"/>
  <c r="D79" i="2" s="1"/>
  <c r="E79" i="2" a="1"/>
  <c r="E79" i="2" s="1"/>
  <c r="D13" i="2" a="1"/>
  <c r="D13" i="2" s="1"/>
  <c r="E13" i="2" a="1"/>
  <c r="E13" i="2" s="1"/>
  <c r="D33" i="2" a="1"/>
  <c r="D33" i="2" s="1"/>
  <c r="E33" i="2" a="1"/>
  <c r="E33" i="2" s="1"/>
  <c r="D141" i="2" a="1"/>
  <c r="D141" i="2" s="1"/>
  <c r="E141" i="2" a="1"/>
  <c r="E141" i="2" s="1"/>
  <c r="D143" i="2" a="1"/>
  <c r="D143" i="2" s="1"/>
  <c r="E143" i="2" a="1"/>
  <c r="E143" i="2" s="1"/>
  <c r="D21" i="2" a="1"/>
  <c r="D21" i="2" s="1"/>
  <c r="E21" i="2" a="1"/>
  <c r="E21" i="2" s="1"/>
  <c r="D49" i="2" a="1"/>
  <c r="D49" i="2" s="1"/>
  <c r="E49" i="2" a="1"/>
  <c r="E49" i="2" s="1"/>
  <c r="D31" i="2" a="1"/>
  <c r="D31" i="2" s="1"/>
  <c r="E31" i="2" a="1"/>
  <c r="E31" i="2" s="1"/>
  <c r="D97" i="2" a="1"/>
  <c r="D97" i="2" s="1"/>
  <c r="E97" i="2" a="1"/>
  <c r="E97" i="2" s="1"/>
  <c r="D83" i="2" a="1"/>
  <c r="D83" i="2" s="1"/>
  <c r="E83" i="2" a="1"/>
  <c r="E83" i="2" s="1"/>
  <c r="D58" i="2" a="1"/>
  <c r="D58" i="2" s="1"/>
  <c r="E58" i="2" a="1"/>
  <c r="E58" i="2" s="1"/>
  <c r="D91" i="2" a="1"/>
  <c r="D91" i="2" s="1"/>
  <c r="E91" i="2" a="1"/>
  <c r="E91" i="2" s="1"/>
  <c r="D103" i="2" a="1"/>
  <c r="D103" i="2" s="1"/>
  <c r="E103" i="2" a="1"/>
  <c r="E103" i="2" s="1"/>
  <c r="D131" i="2" a="1"/>
  <c r="D131" i="2" s="1"/>
  <c r="E131" i="2" a="1"/>
  <c r="E131" i="2" s="1"/>
  <c r="D133" i="2" a="1"/>
  <c r="D133" i="2" s="1"/>
  <c r="E133" i="2" a="1"/>
  <c r="E133" i="2" s="1"/>
  <c r="D111" i="2" a="1"/>
  <c r="D111" i="2" s="1"/>
  <c r="E111" i="2" a="1"/>
  <c r="E111" i="2" s="1"/>
  <c r="D117" i="2" a="1"/>
  <c r="D117" i="2" s="1"/>
  <c r="E117" i="2" a="1"/>
  <c r="E117" i="2" s="1"/>
  <c r="D55" i="2" a="1"/>
  <c r="D55" i="2" s="1"/>
  <c r="E55" i="2" a="1"/>
  <c r="E55" i="2" s="1"/>
  <c r="D45" i="2" a="1"/>
  <c r="D45" i="2" s="1"/>
  <c r="E45" i="2" a="1"/>
  <c r="E45" i="2" s="1"/>
  <c r="D159" i="2" a="1"/>
  <c r="D159" i="2" s="1"/>
  <c r="E159" i="2" a="1"/>
  <c r="E159" i="2" s="1"/>
  <c r="D67" i="2" a="1"/>
  <c r="D67" i="2" s="1"/>
  <c r="E67" i="2" a="1"/>
  <c r="E67" i="2" s="1"/>
  <c r="D155" i="2" a="1"/>
  <c r="D155" i="2" s="1"/>
  <c r="E155" i="2" a="1"/>
  <c r="E155" i="2" s="1"/>
  <c r="D123" i="2" a="1"/>
  <c r="D123" i="2" s="1"/>
  <c r="E123" i="2" a="1"/>
  <c r="E123" i="2" s="1"/>
  <c r="D2" i="2" a="1"/>
  <c r="D2" i="2" s="1"/>
  <c r="E2" i="2" a="1"/>
  <c r="E2" i="2" s="1"/>
  <c r="D8" i="2" a="1"/>
  <c r="D8" i="2" s="1"/>
  <c r="E8" i="2" a="1"/>
  <c r="E8" i="2" s="1"/>
  <c r="D10" i="2" a="1"/>
  <c r="D10" i="2" s="1"/>
  <c r="E10" i="2" a="1"/>
  <c r="E10" i="2" s="1"/>
  <c r="D38" i="2" a="1"/>
  <c r="D38" i="2" s="1"/>
  <c r="E38" i="2" a="1"/>
  <c r="E38" i="2" s="1"/>
  <c r="D94" i="2" a="1"/>
  <c r="D94" i="2" s="1"/>
  <c r="E94" i="2" a="1"/>
  <c r="E94" i="2" s="1"/>
  <c r="D128" i="2" a="1"/>
  <c r="D128" i="2" s="1"/>
  <c r="E128" i="2" a="1"/>
  <c r="E128" i="2" s="1"/>
  <c r="D136" i="2" a="1"/>
  <c r="D136" i="2" s="1"/>
  <c r="E136" i="2" a="1"/>
  <c r="E136" i="2" s="1"/>
  <c r="D42" i="2" a="1"/>
  <c r="D42" i="2" s="1"/>
  <c r="E42" i="2" a="1"/>
  <c r="E42" i="2" s="1"/>
  <c r="D64" i="2" a="1"/>
  <c r="D64" i="2" s="1"/>
  <c r="E64" i="2" a="1"/>
  <c r="E64" i="2" s="1"/>
  <c r="D139" i="2" a="1"/>
  <c r="D139" i="2" s="1"/>
  <c r="E139" i="2" a="1"/>
  <c r="E139" i="2" s="1"/>
  <c r="D19" i="2" a="1"/>
  <c r="D19" i="2" s="1"/>
  <c r="E19" i="2" a="1"/>
  <c r="E19" i="2" s="1"/>
  <c r="D24" i="2" a="1"/>
  <c r="D24" i="2" s="1"/>
  <c r="E24" i="2" a="1"/>
  <c r="E24" i="2" s="1"/>
  <c r="D129" i="2" a="1"/>
  <c r="D129" i="2" s="1"/>
  <c r="E129" i="2" a="1"/>
  <c r="E129" i="2" s="1"/>
  <c r="D115" i="2" a="1"/>
  <c r="D115" i="2" s="1"/>
  <c r="E115" i="2" a="1"/>
  <c r="E115" i="2" s="1"/>
  <c r="D53" i="2" a="1"/>
  <c r="D53" i="2" s="1"/>
  <c r="E53" i="2" a="1"/>
  <c r="E53" i="2" s="1"/>
  <c r="D71" i="2" a="1"/>
  <c r="D71" i="2" s="1"/>
  <c r="E71" i="2" a="1"/>
  <c r="E71" i="2" s="1"/>
  <c r="D6" i="2" a="1"/>
  <c r="D6" i="2" s="1"/>
  <c r="E6" i="2" a="1"/>
  <c r="E6" i="2" s="1"/>
  <c r="D80" i="2" a="1"/>
  <c r="D80" i="2" s="1"/>
  <c r="E80" i="2" a="1"/>
  <c r="E80" i="2" s="1"/>
  <c r="D14" i="2" a="1"/>
  <c r="D14" i="2" s="1"/>
  <c r="E14" i="2" a="1"/>
  <c r="E14" i="2" s="1"/>
  <c r="D34" i="2" a="1"/>
  <c r="D34" i="2" s="1"/>
  <c r="E34" i="2" a="1"/>
  <c r="E34" i="2" s="1"/>
  <c r="D36" i="2" a="1"/>
  <c r="D36" i="2" s="1"/>
  <c r="E36" i="2" a="1"/>
  <c r="E36" i="2" s="1"/>
  <c r="D144" i="2" a="1"/>
  <c r="D144" i="2" s="1"/>
  <c r="E144" i="2" a="1"/>
  <c r="E144" i="2" s="1"/>
  <c r="D48" i="2" a="1"/>
  <c r="D48" i="2" s="1"/>
  <c r="E48" i="2" a="1"/>
  <c r="E48" i="2" s="1"/>
  <c r="D26" i="2" a="1"/>
  <c r="D26" i="2" s="1"/>
  <c r="E26" i="2" a="1"/>
  <c r="E26" i="2" s="1"/>
  <c r="D92" i="2" a="1"/>
  <c r="D92" i="2" s="1"/>
  <c r="E92" i="2" a="1"/>
  <c r="E92" i="2" s="1"/>
  <c r="D98" i="2" a="1"/>
  <c r="D98" i="2" s="1"/>
  <c r="E98" i="2" a="1"/>
  <c r="E98" i="2" s="1"/>
  <c r="D84" i="2" a="1"/>
  <c r="D84" i="2" s="1"/>
  <c r="E84" i="2" a="1"/>
  <c r="E84" i="2" s="1"/>
  <c r="D59" i="2" a="1"/>
  <c r="D59" i="2" s="1"/>
  <c r="E59" i="2" a="1"/>
  <c r="E59" i="2" s="1"/>
  <c r="D60" i="2" a="1"/>
  <c r="D60" i="2" s="1"/>
  <c r="E60" i="2" a="1"/>
  <c r="E60" i="2" s="1"/>
  <c r="D104" i="2" a="1"/>
  <c r="D104" i="2" s="1"/>
  <c r="E104" i="2" a="1"/>
  <c r="E104" i="2" s="1"/>
  <c r="D132" i="2" a="1"/>
  <c r="D132" i="2" s="1"/>
  <c r="E132" i="2" a="1"/>
  <c r="E132" i="2" s="1"/>
  <c r="D134" i="2" a="1"/>
  <c r="D134" i="2" s="1"/>
  <c r="E134" i="2" a="1"/>
  <c r="E134" i="2" s="1"/>
  <c r="D112" i="2" a="1"/>
  <c r="D112" i="2" s="1"/>
  <c r="E112" i="2" a="1"/>
  <c r="E112" i="2" s="1"/>
  <c r="D50" i="2" a="1"/>
  <c r="D50" i="2" s="1"/>
  <c r="E50" i="2" a="1"/>
  <c r="E50" i="2" s="1"/>
  <c r="D40" i="2" a="1"/>
  <c r="D40" i="2" s="1"/>
  <c r="E40" i="2" a="1"/>
  <c r="E40" i="2" s="1"/>
  <c r="D46" i="2" a="1"/>
  <c r="D46" i="2" s="1"/>
  <c r="E46" i="2" a="1"/>
  <c r="E46" i="2" s="1"/>
  <c r="D160" i="2" a="1"/>
  <c r="D160" i="2" s="1"/>
  <c r="E160" i="2" a="1"/>
  <c r="E160" i="2" s="1"/>
  <c r="D68" i="2" a="1"/>
  <c r="D68" i="2" s="1"/>
  <c r="E68" i="2" a="1"/>
  <c r="E68" i="2" s="1"/>
  <c r="D118" i="2" a="1"/>
  <c r="D118" i="2" s="1"/>
  <c r="E118" i="2" a="1"/>
  <c r="E118" i="2" s="1"/>
  <c r="D124" i="2" a="1"/>
  <c r="D124" i="2" s="1"/>
  <c r="E124" i="2" a="1"/>
  <c r="E124" i="2" s="1"/>
  <c r="D114" i="2" a="1"/>
  <c r="D114" i="2" s="1"/>
  <c r="E114" i="2" a="1"/>
  <c r="E114" i="2" s="1"/>
  <c r="D120" i="2" a="1"/>
  <c r="D120" i="2" s="1"/>
  <c r="E120" i="2" a="1"/>
  <c r="E120" i="2" s="1"/>
  <c r="D3" i="2" a="1"/>
  <c r="D3" i="2" s="1"/>
  <c r="E3" i="2" a="1"/>
  <c r="E3" i="2" s="1"/>
  <c r="D11" i="2" a="1"/>
  <c r="D11" i="2" s="1"/>
  <c r="E11" i="2" a="1"/>
  <c r="E11" i="2" s="1"/>
  <c r="D39" i="2" a="1"/>
  <c r="D39" i="2" s="1"/>
  <c r="E39" i="2" a="1"/>
  <c r="E39" i="2" s="1"/>
  <c r="D29" i="2" a="1"/>
  <c r="D29" i="2" s="1"/>
  <c r="E29" i="2" a="1"/>
  <c r="E29" i="2" s="1"/>
  <c r="D56" i="2" a="1"/>
  <c r="D56" i="2" s="1"/>
  <c r="E56" i="2" a="1"/>
  <c r="E56" i="2" s="1"/>
  <c r="D108" i="2" a="1"/>
  <c r="D108" i="2" s="1"/>
  <c r="E108" i="2" a="1"/>
  <c r="E108" i="2" s="1"/>
  <c r="D65" i="2" a="1"/>
  <c r="D65" i="2" s="1"/>
  <c r="E65" i="2" a="1"/>
  <c r="E65" i="2" s="1"/>
  <c r="D74" i="2" a="1"/>
  <c r="D74" i="2" s="1"/>
  <c r="E74" i="2" a="1"/>
  <c r="E74" i="2" s="1"/>
  <c r="D7" i="2" a="1"/>
  <c r="D7" i="2" s="1"/>
  <c r="E7" i="2" a="1"/>
  <c r="E7" i="2" s="1"/>
  <c r="D75" i="2" a="1"/>
  <c r="D75" i="2" s="1"/>
  <c r="E75" i="2" a="1"/>
  <c r="E75" i="2" s="1"/>
  <c r="D81" i="2" a="1"/>
  <c r="D81" i="2" s="1"/>
  <c r="E81" i="2" a="1"/>
  <c r="E81" i="2" s="1"/>
  <c r="D15" i="2" a="1"/>
  <c r="D15" i="2" s="1"/>
  <c r="E15" i="2" a="1"/>
  <c r="E15" i="2" s="1"/>
  <c r="D35" i="2" a="1"/>
  <c r="D35" i="2" s="1"/>
  <c r="E35" i="2" a="1"/>
  <c r="E35" i="2" s="1"/>
  <c r="D37" i="2" a="1"/>
  <c r="D37" i="2" s="1"/>
  <c r="E37" i="2" a="1"/>
  <c r="E37" i="2" s="1"/>
  <c r="D145" i="2" a="1"/>
  <c r="D145" i="2" s="1"/>
  <c r="E145" i="2" a="1"/>
  <c r="E145" i="2" s="1"/>
  <c r="D22" i="2" a="1"/>
  <c r="D22" i="2" s="1"/>
  <c r="E22" i="2" a="1"/>
  <c r="E22" i="2" s="1"/>
  <c r="D27" i="2" a="1"/>
  <c r="D27" i="2" s="1"/>
  <c r="E27" i="2" a="1"/>
  <c r="E27" i="2" s="1"/>
  <c r="D93" i="2" a="1"/>
  <c r="D93" i="2" s="1"/>
  <c r="E93" i="2" a="1"/>
  <c r="E93" i="2" s="1"/>
  <c r="D99" i="2" a="1"/>
  <c r="D99" i="2" s="1"/>
  <c r="E99" i="2" a="1"/>
  <c r="E99" i="2" s="1"/>
  <c r="D85" i="2" a="1"/>
  <c r="D85" i="2" s="1"/>
  <c r="E85" i="2" a="1"/>
  <c r="E85" i="2" s="1"/>
  <c r="D87" i="2" a="1"/>
  <c r="D87" i="2" s="1"/>
  <c r="E87" i="2" a="1"/>
  <c r="E87" i="2" s="1"/>
  <c r="D61" i="2" a="1"/>
  <c r="D61" i="2" s="1"/>
  <c r="E61" i="2" a="1"/>
  <c r="E61" i="2" s="1"/>
  <c r="D105" i="2" a="1"/>
  <c r="D105" i="2" s="1"/>
  <c r="E105" i="2" a="1"/>
  <c r="E105" i="2" s="1"/>
  <c r="D106" i="2" a="1"/>
  <c r="D106" i="2" s="1"/>
  <c r="E106" i="2" a="1"/>
  <c r="E106" i="2" s="1"/>
  <c r="D135" i="2" a="1"/>
  <c r="D135" i="2" s="1"/>
  <c r="E135" i="2" a="1"/>
  <c r="E135" i="2" s="1"/>
  <c r="D113" i="2" a="1"/>
  <c r="D113" i="2" s="1"/>
  <c r="E113" i="2" a="1"/>
  <c r="E113" i="2" s="1"/>
  <c r="D51" i="2" a="1"/>
  <c r="D51" i="2" s="1"/>
  <c r="E51" i="2" a="1"/>
  <c r="E51" i="2" s="1"/>
  <c r="D41" i="2" a="1"/>
  <c r="D41" i="2" s="1"/>
  <c r="E41" i="2" a="1"/>
  <c r="E41" i="2" s="1"/>
  <c r="D47" i="2" a="1"/>
  <c r="D47" i="2" s="1"/>
  <c r="E47" i="2" a="1"/>
  <c r="E47" i="2" s="1"/>
  <c r="D161" i="2" a="1"/>
  <c r="D161" i="2" s="1"/>
  <c r="E161" i="2" a="1"/>
  <c r="E161" i="2" s="1"/>
  <c r="D69" i="2" a="1"/>
  <c r="D69" i="2" s="1"/>
  <c r="E69" i="2" a="1"/>
  <c r="E69" i="2" s="1"/>
  <c r="D119" i="2" a="1"/>
  <c r="D119" i="2" s="1"/>
  <c r="E119" i="2" a="1"/>
  <c r="E119" i="2" s="1"/>
  <c r="D125" i="2" a="1"/>
  <c r="D125" i="2" s="1"/>
  <c r="E125" i="2" a="1"/>
  <c r="E125" i="2" s="1"/>
  <c r="K104" i="1"/>
  <c r="G105" i="1" s="1"/>
  <c r="R106" i="1"/>
  <c r="J104" i="1"/>
  <c r="F105" i="1" s="1"/>
  <c r="I104" i="1"/>
  <c r="I105" i="1" s="1"/>
</calcChain>
</file>

<file path=xl/sharedStrings.xml><?xml version="1.0" encoding="utf-8"?>
<sst xmlns="http://schemas.openxmlformats.org/spreadsheetml/2006/main" count="657" uniqueCount="133">
  <si>
    <t>Vị trí</t>
  </si>
  <si>
    <t>Thời gian</t>
  </si>
  <si>
    <t>Triều Lớn</t>
  </si>
  <si>
    <t>Triều Ròng</t>
  </si>
  <si>
    <t>Nhóm thông số mẫu thực</t>
  </si>
  <si>
    <t>Nhóm thông số mẫu lặp</t>
  </si>
  <si>
    <t>Nhóm thông số mẫu trắng</t>
  </si>
  <si>
    <t>Gửi mẫu</t>
  </si>
  <si>
    <t>Nhóm</t>
  </si>
  <si>
    <t>Hóa lý, vi sinh</t>
  </si>
  <si>
    <t>Kim loại</t>
  </si>
  <si>
    <r>
      <t>Hóa chất bảo vệ thực vật, Cl</t>
    </r>
    <r>
      <rPr>
        <b/>
        <vertAlign val="superscript"/>
        <sz val="11"/>
        <color theme="1"/>
        <rFont val="Times New Roman"/>
        <family val="1"/>
      </rPr>
      <t>-</t>
    </r>
  </si>
  <si>
    <t>Trầm tích</t>
  </si>
  <si>
    <t>04/05/2026</t>
  </si>
  <si>
    <t>CS2</t>
  </si>
  <si>
    <t>Cầu Tân Thái</t>
  </si>
  <si>
    <t>Thầy Cai</t>
  </si>
  <si>
    <t>Cầu Chữ Y</t>
  </si>
  <si>
    <t>05/05/2026</t>
  </si>
  <si>
    <t>Chà Và</t>
  </si>
  <si>
    <t>Chánh Hưng</t>
  </si>
  <si>
    <t>Nhị Thiên Đường</t>
  </si>
  <si>
    <t>Cầu Mống</t>
  </si>
  <si>
    <t>Tân Thuận</t>
  </si>
  <si>
    <t>Kênh Tẻ</t>
  </si>
  <si>
    <t>Kênh N46</t>
  </si>
  <si>
    <t>06/05/2026</t>
  </si>
  <si>
    <t>Tân Phú Trung</t>
  </si>
  <si>
    <t>TC18A</t>
  </si>
  <si>
    <t>An Hạ 1</t>
  </si>
  <si>
    <t>Cầu Đường A</t>
  </si>
  <si>
    <t>07/05/2026</t>
  </si>
  <si>
    <t>Trung Tâm</t>
  </si>
  <si>
    <t>Nước Lên</t>
  </si>
  <si>
    <t>Lương Bèo</t>
  </si>
  <si>
    <t>Hòa Bình</t>
  </si>
  <si>
    <t>08/05/2026</t>
  </si>
  <si>
    <t>Ông Buông</t>
  </si>
  <si>
    <t>Rạch Ngựa</t>
  </si>
  <si>
    <t>Phú Định</t>
  </si>
  <si>
    <t>11/05/2026</t>
  </si>
  <si>
    <t>Bà Lào</t>
  </si>
  <si>
    <t>Long Hậu Tân Kim</t>
  </si>
  <si>
    <t>Phú Xuân</t>
  </si>
  <si>
    <t>Hiệp Phước</t>
  </si>
  <si>
    <t>Cầu số 1</t>
  </si>
  <si>
    <t>12/05/2026</t>
  </si>
  <si>
    <t>Lê Văn Sỹ</t>
  </si>
  <si>
    <t>Hải Đức</t>
  </si>
  <si>
    <t>Điện Biên Phủ</t>
  </si>
  <si>
    <t>Bùi Hữu Nghĩa</t>
  </si>
  <si>
    <t>Cầu Đỏ</t>
  </si>
  <si>
    <t>Thị Nghè 2</t>
  </si>
  <si>
    <t>Bùi Đình Túy</t>
  </si>
  <si>
    <t>Cầu Văn Thánh</t>
  </si>
  <si>
    <t>Cầu Văn Thánh 2</t>
  </si>
  <si>
    <t>Cầu TL9</t>
  </si>
  <si>
    <t>13/05/2026</t>
  </si>
  <si>
    <t>Xuân Thới Sơn</t>
  </si>
  <si>
    <t>Cầu Lớn</t>
  </si>
  <si>
    <t>An Hạ</t>
  </si>
  <si>
    <t>Rau Răm</t>
  </si>
  <si>
    <t>Cống Vàm Thuật</t>
  </si>
  <si>
    <t>14/05/2026</t>
  </si>
  <si>
    <t>An Lộc</t>
  </si>
  <si>
    <t>Bến Cát</t>
  </si>
  <si>
    <t>Trường Đai</t>
  </si>
  <si>
    <t>Chợ Cầu</t>
  </si>
  <si>
    <t>15/05/2026</t>
  </si>
  <si>
    <t>Tham Lương</t>
  </si>
  <si>
    <t>Cầu Bưng</t>
  </si>
  <si>
    <t>CN1</t>
  </si>
  <si>
    <t>19/05/2026</t>
  </si>
  <si>
    <t>Cầu Bình Thuận</t>
  </si>
  <si>
    <t>Nước Đen</t>
  </si>
  <si>
    <t>Cầu Sông Chùa</t>
  </si>
  <si>
    <t>Cầu Bà Tri</t>
  </si>
  <si>
    <t>20/05/2026</t>
  </si>
  <si>
    <t>Tân Tạo</t>
  </si>
  <si>
    <t>Kênh C</t>
  </si>
  <si>
    <t>Kênh C6</t>
  </si>
  <si>
    <t>Kênh C8</t>
  </si>
  <si>
    <t>Cầu Rạch Ngang</t>
  </si>
  <si>
    <t>21/05/2026</t>
  </si>
  <si>
    <t>Xóm Củi</t>
  </si>
  <si>
    <t>Ông Lớn</t>
  </si>
  <si>
    <t>Cần Giuộc</t>
  </si>
  <si>
    <t>22/05/2026</t>
  </si>
  <si>
    <t>Lòng Tàu 1</t>
  </si>
  <si>
    <t>25/05/2026</t>
  </si>
  <si>
    <t>CS3</t>
  </si>
  <si>
    <t>Lòng Tàu</t>
  </si>
  <si>
    <t>Tam Thôn Hiệp</t>
  </si>
  <si>
    <t>Đồng Tranh 1</t>
  </si>
  <si>
    <t>Bình Lợi</t>
  </si>
  <si>
    <t>Sài Gòn</t>
  </si>
  <si>
    <t>Ngã Bảy</t>
  </si>
  <si>
    <t>26/05/2026</t>
  </si>
  <si>
    <t>Vàm Sát</t>
  </si>
  <si>
    <t>Đồng Tranh</t>
  </si>
  <si>
    <t>Long Phước</t>
  </si>
  <si>
    <t>Cát Lái</t>
  </si>
  <si>
    <t>Cầu Gò Công</t>
  </si>
  <si>
    <t>Hồ Ngọc Lãm</t>
  </si>
  <si>
    <t>27/05/2026</t>
  </si>
  <si>
    <t>Bình Ðiền</t>
  </si>
  <si>
    <t>Chợ Đệm</t>
  </si>
  <si>
    <t>Mũi Đèn Đỏ</t>
  </si>
  <si>
    <t>Nhà Bè</t>
  </si>
  <si>
    <t>Phú Mỹ</t>
  </si>
  <si>
    <t>28/05/2026</t>
  </si>
  <si>
    <t>Tổng mẫu</t>
  </si>
  <si>
    <t>Nơi thực hiện</t>
  </si>
  <si>
    <t>Vị trí quan trắc</t>
  </si>
  <si>
    <t>Số lượng mẫu</t>
  </si>
  <si>
    <t>Số lượng mẫu QC</t>
  </si>
  <si>
    <t>Ngày</t>
  </si>
  <si>
    <t>TBNM15</t>
  </si>
  <si>
    <t>Triều Lên</t>
  </si>
  <si>
    <t>TBNM5</t>
  </si>
  <si>
    <t>TBNM14</t>
  </si>
  <si>
    <t>Triều Xuống</t>
  </si>
  <si>
    <t>TBNM9</t>
  </si>
  <si>
    <t>TBNM11</t>
  </si>
  <si>
    <t>TBNM1</t>
  </si>
  <si>
    <t>ĐPNM1</t>
  </si>
  <si>
    <t>ĐPNM4</t>
  </si>
  <si>
    <t>ĐPNM5</t>
  </si>
  <si>
    <t>ĐPNM8</t>
  </si>
  <si>
    <t>GCNM2</t>
  </si>
  <si>
    <t>GCNM3</t>
  </si>
  <si>
    <t>Số lượng mẫu QC lặp</t>
  </si>
  <si>
    <t>Số lượng mẫu QC trắng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</si>
</sst>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[$-F400]h:mm:ss\ AM/PM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1"/>
      <name val="Times New Roman"/>
      <family val="1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1" xfId="1" applyFont="1" applyBorder="1" applyAlignment="1">
      <alignment vertical="center"/>
    </xf>
    <xf numFmtId="0" fontId="3" fillId="0" borderId="0" xfId="1" applyFont="1"/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8" xfId="1" applyFont="1" applyBorder="1" applyAlignment="1">
      <alignment vertical="center"/>
    </xf>
    <xf numFmtId="9" fontId="3" fillId="0" borderId="0" xfId="1" applyNumberFormat="1" applyFont="1"/>
    <xf numFmtId="0" fontId="3" fillId="0" borderId="5" xfId="1" quotePrefix="1" applyNumberFormat="1" applyFont="1" applyBorder="1" applyAlignment="1">
      <alignment horizontal="center" vertical="center"/>
    </xf>
    <xf numFmtId="0" fontId="3" fillId="0" borderId="6" xfId="1" quotePrefix="1" applyNumberFormat="1" applyFont="1" applyBorder="1" applyAlignment="1">
      <alignment horizontal="center" vertical="center"/>
    </xf>
    <xf numFmtId="0" fontId="3" fillId="0" borderId="7" xfId="1" quotePrefix="1" applyNumberFormat="1" applyFont="1" applyBorder="1" applyAlignment="1">
      <alignment horizontal="center" vertical="center"/>
    </xf>
    <xf numFmtId="0" fontId="4" fillId="0" borderId="6" xfId="1" quotePrefix="1" applyNumberFormat="1" applyFont="1" applyBorder="1" applyAlignment="1">
      <alignment horizontal="center" vertical="center"/>
    </xf>
    <xf numFmtId="0" fontId="4" fillId="0" borderId="7" xfId="1" quotePrefix="1" applyNumberFormat="1" applyFont="1" applyBorder="1" applyAlignment="1">
      <alignment horizontal="center" vertical="center"/>
    </xf>
    <xf numFmtId="0" fontId="3" fillId="0" borderId="1" xfId="1" quotePrefix="1" applyNumberFormat="1" applyFont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/>
    </xf>
    <xf numFmtId="165" fontId="3" fillId="0" borderId="1" xfId="1" quotePrefix="1" applyNumberFormat="1" applyFont="1" applyBorder="1" applyAlignment="1">
      <alignment horizontal="center" vertical="center"/>
    </xf>
    <xf numFmtId="165" fontId="4" fillId="0" borderId="1" xfId="1" applyNumberFormat="1" applyFont="1" applyBorder="1"/>
    <xf numFmtId="0" fontId="4" fillId="0" borderId="1" xfId="1" applyFont="1" applyBorder="1"/>
    <xf numFmtId="164" fontId="3" fillId="0" borderId="5" xfId="1" quotePrefix="1" applyNumberFormat="1" applyFont="1" applyBorder="1" applyAlignment="1">
      <alignment horizontal="center" vertical="center"/>
    </xf>
    <xf numFmtId="164" fontId="3" fillId="0" borderId="6" xfId="1" quotePrefix="1" applyNumberFormat="1" applyFont="1" applyBorder="1" applyAlignment="1">
      <alignment horizontal="center" vertical="center"/>
    </xf>
    <xf numFmtId="164" fontId="3" fillId="0" borderId="7" xfId="1" quotePrefix="1" applyNumberFormat="1" applyFont="1" applyBorder="1" applyAlignment="1">
      <alignment horizontal="center" vertical="center"/>
    </xf>
    <xf numFmtId="0" fontId="3" fillId="0" borderId="5" xfId="1" quotePrefix="1" applyFont="1" applyBorder="1" applyAlignment="1">
      <alignment horizontal="center" vertical="center"/>
    </xf>
    <xf numFmtId="0" fontId="3" fillId="0" borderId="6" xfId="1" quotePrefix="1" applyFont="1" applyBorder="1" applyAlignment="1">
      <alignment horizontal="center" vertical="center"/>
    </xf>
    <xf numFmtId="0" fontId="3" fillId="0" borderId="7" xfId="1" quotePrefix="1" applyFont="1" applyBorder="1" applyAlignment="1">
      <alignment horizontal="center" vertical="center"/>
    </xf>
    <xf numFmtId="14" fontId="4" fillId="0" borderId="5" xfId="1" quotePrefix="1" applyNumberFormat="1" applyFont="1" applyBorder="1" applyAlignment="1">
      <alignment horizontal="center" vertical="center"/>
    </xf>
    <xf numFmtId="14" fontId="4" fillId="0" borderId="6" xfId="1" quotePrefix="1" applyNumberFormat="1" applyFont="1" applyBorder="1" applyAlignment="1">
      <alignment horizontal="center" vertical="center"/>
    </xf>
    <xf numFmtId="14" fontId="4" fillId="0" borderId="7" xfId="1" quotePrefix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5" fontId="4" fillId="0" borderId="1" xfId="1" quotePrefix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5" xfId="1" quotePrefix="1" applyNumberFormat="1" applyFont="1" applyBorder="1" applyAlignment="1">
      <alignment horizontal="center" vertical="center"/>
    </xf>
    <xf numFmtId="165" fontId="3" fillId="0" borderId="6" xfId="1" quotePrefix="1" applyNumberFormat="1" applyFont="1" applyBorder="1" applyAlignment="1">
      <alignment horizontal="center" vertical="center"/>
    </xf>
    <xf numFmtId="165" fontId="3" fillId="0" borderId="7" xfId="1" quotePrefix="1" applyNumberFormat="1" applyFont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164" fontId="3" fillId="0" borderId="7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</cellXfs>
  <cellStyles count="2">
    <cellStyle name="Normal" xfId="0" builtinId="0"/>
    <cellStyle name="Normal 2" xfId="1" xr:uid="{14B9FF98-FB40-4BC3-9D69-5640638BFF61}"/>
  </cellStyles>
  <dxfs count="1"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E331-2534-408C-9987-CA17E58A89AB}">
  <dimension ref="A1:S1014"/>
  <sheetViews>
    <sheetView workbookViewId="0">
      <pane xSplit="4" ySplit="2" topLeftCell="E75" activePane="bottomRight" state="frozen"/>
      <selection pane="topRight" activeCell="D1" sqref="D1"/>
      <selection pane="bottomLeft" activeCell="A3" sqref="A3"/>
      <selection pane="bottomRight" activeCell="K89" sqref="K89"/>
    </sheetView>
  </sheetViews>
  <sheetFormatPr defaultColWidth="14.375" defaultRowHeight="15" x14ac:dyDescent="0.25"/>
  <cols>
    <col min="1" max="1" width="20.75" style="2" customWidth="1"/>
    <col min="2" max="2" width="10.125" style="2" bestFit="1" customWidth="1"/>
    <col min="3" max="3" width="10.125" style="2" customWidth="1"/>
    <col min="4" max="5" width="11.875" style="2" bestFit="1" customWidth="1"/>
    <col min="6" max="6" width="14.375" style="2" bestFit="1" customWidth="1"/>
    <col min="7" max="7" width="8.875" style="2" bestFit="1" customWidth="1"/>
    <col min="8" max="8" width="15.25" style="2" bestFit="1" customWidth="1"/>
    <col min="9" max="9" width="10" style="2" bestFit="1" customWidth="1"/>
    <col min="10" max="10" width="14.375" style="2" bestFit="1" customWidth="1"/>
    <col min="11" max="11" width="8.875" style="2" bestFit="1" customWidth="1"/>
    <col min="12" max="12" width="16.75" style="2" bestFit="1" customWidth="1"/>
    <col min="13" max="13" width="10" style="2" bestFit="1" customWidth="1"/>
    <col min="14" max="14" width="14.375" style="2" bestFit="1" customWidth="1"/>
    <col min="15" max="15" width="8.875" style="2" bestFit="1" customWidth="1"/>
    <col min="16" max="16" width="15.25" style="2" customWidth="1"/>
    <col min="17" max="17" width="10" style="2" bestFit="1" customWidth="1"/>
    <col min="18" max="18" width="8.875" style="2" bestFit="1" customWidth="1"/>
    <col min="19" max="19" width="8" style="2" bestFit="1" customWidth="1"/>
    <col min="20" max="35" width="9.875" style="2" customWidth="1"/>
    <col min="36" max="16384" width="14.375" style="2"/>
  </cols>
  <sheetData>
    <row r="1" spans="1:19" ht="14.25" customHeight="1" x14ac:dyDescent="0.25">
      <c r="A1" s="39" t="s">
        <v>0</v>
      </c>
      <c r="B1" s="39" t="s">
        <v>1</v>
      </c>
      <c r="C1" s="43" t="s">
        <v>116</v>
      </c>
      <c r="D1" s="39" t="s">
        <v>2</v>
      </c>
      <c r="E1" s="39" t="s">
        <v>3</v>
      </c>
      <c r="F1" s="1" t="s">
        <v>4</v>
      </c>
      <c r="G1" s="1"/>
      <c r="H1" s="1"/>
      <c r="I1" s="1"/>
      <c r="J1" s="40" t="s">
        <v>5</v>
      </c>
      <c r="K1" s="41"/>
      <c r="L1" s="41"/>
      <c r="M1" s="42"/>
      <c r="N1" s="40" t="s">
        <v>6</v>
      </c>
      <c r="O1" s="41"/>
      <c r="P1" s="41"/>
      <c r="Q1" s="42"/>
      <c r="R1" s="39" t="s">
        <v>7</v>
      </c>
      <c r="S1" s="39" t="s">
        <v>8</v>
      </c>
    </row>
    <row r="2" spans="1:19" ht="30.75" x14ac:dyDescent="0.25">
      <c r="A2" s="17"/>
      <c r="B2" s="17"/>
      <c r="C2" s="44"/>
      <c r="D2" s="39"/>
      <c r="E2" s="39"/>
      <c r="F2" s="3" t="s">
        <v>9</v>
      </c>
      <c r="G2" s="3" t="s">
        <v>10</v>
      </c>
      <c r="H2" s="3" t="s">
        <v>11</v>
      </c>
      <c r="I2" s="3" t="s">
        <v>12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9</v>
      </c>
      <c r="O2" s="3" t="s">
        <v>10</v>
      </c>
      <c r="P2" s="3" t="s">
        <v>11</v>
      </c>
      <c r="Q2" s="3" t="s">
        <v>12</v>
      </c>
      <c r="R2" s="17"/>
      <c r="S2" s="17"/>
    </row>
    <row r="3" spans="1:19" ht="14.25" customHeight="1" x14ac:dyDescent="0.25">
      <c r="A3" s="4" t="s">
        <v>117</v>
      </c>
      <c r="B3" s="18" t="s">
        <v>13</v>
      </c>
      <c r="C3" s="8">
        <v>4</v>
      </c>
      <c r="D3" s="15"/>
      <c r="E3" s="15"/>
      <c r="F3" s="4">
        <v>2</v>
      </c>
      <c r="G3" s="4">
        <v>2</v>
      </c>
      <c r="H3" s="4"/>
      <c r="I3" s="4"/>
      <c r="J3" s="4"/>
      <c r="K3" s="4"/>
      <c r="L3" s="4"/>
      <c r="M3" s="4"/>
      <c r="N3" s="4"/>
      <c r="O3" s="4"/>
      <c r="P3" s="4"/>
      <c r="Q3" s="4"/>
      <c r="R3" s="5" t="s">
        <v>14</v>
      </c>
      <c r="S3" s="27"/>
    </row>
    <row r="4" spans="1:19" ht="14.25" customHeight="1" x14ac:dyDescent="0.25">
      <c r="A4" s="4" t="s">
        <v>119</v>
      </c>
      <c r="B4" s="19"/>
      <c r="C4" s="8">
        <v>4</v>
      </c>
      <c r="D4" s="16"/>
      <c r="E4" s="16"/>
      <c r="F4" s="4">
        <v>2</v>
      </c>
      <c r="G4" s="4">
        <v>2</v>
      </c>
      <c r="H4" s="4"/>
      <c r="I4" s="4"/>
      <c r="J4" s="4"/>
      <c r="K4" s="4"/>
      <c r="L4" s="4"/>
      <c r="M4" s="4"/>
      <c r="N4" s="4"/>
      <c r="O4" s="4"/>
      <c r="P4" s="4"/>
      <c r="Q4" s="4"/>
      <c r="R4" s="5" t="s">
        <v>14</v>
      </c>
      <c r="S4" s="17"/>
    </row>
    <row r="5" spans="1:19" ht="14.25" customHeight="1" x14ac:dyDescent="0.25">
      <c r="A5" s="4" t="s">
        <v>15</v>
      </c>
      <c r="B5" s="19"/>
      <c r="C5" s="8">
        <v>4</v>
      </c>
      <c r="D5" s="16"/>
      <c r="E5" s="16"/>
      <c r="F5" s="4">
        <v>2</v>
      </c>
      <c r="G5" s="4">
        <v>1</v>
      </c>
      <c r="H5" s="4"/>
      <c r="I5" s="4"/>
      <c r="J5" s="4"/>
      <c r="K5" s="4"/>
      <c r="L5" s="4"/>
      <c r="M5" s="4"/>
      <c r="N5" s="4">
        <v>1</v>
      </c>
      <c r="O5" s="4">
        <v>1</v>
      </c>
      <c r="P5" s="4"/>
      <c r="Q5" s="4"/>
      <c r="R5" s="5" t="s">
        <v>14</v>
      </c>
      <c r="S5" s="17"/>
    </row>
    <row r="6" spans="1:19" ht="14.25" customHeight="1" x14ac:dyDescent="0.25">
      <c r="A6" s="4" t="s">
        <v>120</v>
      </c>
      <c r="B6" s="19"/>
      <c r="C6" s="8">
        <v>4</v>
      </c>
      <c r="D6" s="16"/>
      <c r="E6" s="16"/>
      <c r="F6" s="4">
        <v>2</v>
      </c>
      <c r="G6" s="4">
        <v>2</v>
      </c>
      <c r="H6" s="4"/>
      <c r="I6" s="4"/>
      <c r="J6" s="4"/>
      <c r="K6" s="4"/>
      <c r="L6" s="4"/>
      <c r="M6" s="4"/>
      <c r="N6" s="4"/>
      <c r="O6" s="4"/>
      <c r="P6" s="4"/>
      <c r="Q6" s="4"/>
      <c r="R6" s="5" t="s">
        <v>14</v>
      </c>
      <c r="S6" s="17"/>
    </row>
    <row r="7" spans="1:19" ht="14.25" customHeight="1" x14ac:dyDescent="0.25">
      <c r="A7" s="4" t="s">
        <v>122</v>
      </c>
      <c r="B7" s="19"/>
      <c r="C7" s="8">
        <v>4</v>
      </c>
      <c r="D7" s="15"/>
      <c r="E7" s="15"/>
      <c r="F7" s="4">
        <v>2</v>
      </c>
      <c r="G7" s="4">
        <v>2</v>
      </c>
      <c r="H7" s="4"/>
      <c r="I7" s="4"/>
      <c r="J7" s="4">
        <v>1</v>
      </c>
      <c r="K7" s="4"/>
      <c r="L7" s="4"/>
      <c r="M7" s="4"/>
      <c r="N7" s="4"/>
      <c r="O7" s="4"/>
      <c r="P7" s="4"/>
      <c r="Q7" s="4"/>
      <c r="R7" s="5" t="s">
        <v>14</v>
      </c>
      <c r="S7" s="27"/>
    </row>
    <row r="8" spans="1:19" ht="14.25" customHeight="1" x14ac:dyDescent="0.25">
      <c r="A8" s="4" t="s">
        <v>123</v>
      </c>
      <c r="B8" s="19"/>
      <c r="C8" s="8">
        <v>4</v>
      </c>
      <c r="D8" s="16"/>
      <c r="E8" s="16"/>
      <c r="F8" s="4">
        <v>2</v>
      </c>
      <c r="G8" s="4">
        <v>2</v>
      </c>
      <c r="H8" s="4"/>
      <c r="I8" s="4"/>
      <c r="J8" s="4"/>
      <c r="K8" s="4"/>
      <c r="L8" s="4"/>
      <c r="M8" s="4"/>
      <c r="N8" s="4"/>
      <c r="O8" s="4"/>
      <c r="P8" s="4"/>
      <c r="Q8" s="4"/>
      <c r="R8" s="5" t="s">
        <v>14</v>
      </c>
      <c r="S8" s="17"/>
    </row>
    <row r="9" spans="1:19" ht="14.25" customHeight="1" x14ac:dyDescent="0.25">
      <c r="A9" s="4" t="s">
        <v>124</v>
      </c>
      <c r="B9" s="19"/>
      <c r="C9" s="8">
        <v>4</v>
      </c>
      <c r="D9" s="16"/>
      <c r="E9" s="16"/>
      <c r="F9" s="4">
        <v>2</v>
      </c>
      <c r="G9" s="4">
        <v>2</v>
      </c>
      <c r="H9" s="4"/>
      <c r="I9" s="4"/>
      <c r="J9" s="4"/>
      <c r="K9" s="4"/>
      <c r="L9" s="4"/>
      <c r="M9" s="4"/>
      <c r="N9" s="4"/>
      <c r="O9" s="4"/>
      <c r="P9" s="4"/>
      <c r="Q9" s="4"/>
      <c r="R9" s="5" t="s">
        <v>14</v>
      </c>
      <c r="S9" s="17"/>
    </row>
    <row r="10" spans="1:19" ht="14.25" customHeight="1" x14ac:dyDescent="0.25">
      <c r="A10" s="4" t="s">
        <v>16</v>
      </c>
      <c r="B10" s="20"/>
      <c r="C10" s="8">
        <v>4</v>
      </c>
      <c r="D10" s="16"/>
      <c r="E10" s="16"/>
      <c r="F10" s="4">
        <v>2</v>
      </c>
      <c r="G10" s="4">
        <v>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5" t="s">
        <v>14</v>
      </c>
      <c r="S10" s="17"/>
    </row>
    <row r="11" spans="1:19" ht="14.25" customHeight="1" x14ac:dyDescent="0.25">
      <c r="A11" s="4" t="s">
        <v>17</v>
      </c>
      <c r="B11" s="18" t="s">
        <v>18</v>
      </c>
      <c r="C11" s="8">
        <v>5</v>
      </c>
      <c r="D11" s="33"/>
      <c r="E11" s="33"/>
      <c r="F11" s="4">
        <v>2</v>
      </c>
      <c r="G11" s="4">
        <v>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5" t="s">
        <v>14</v>
      </c>
      <c r="S11" s="36"/>
    </row>
    <row r="12" spans="1:19" ht="14.25" customHeight="1" x14ac:dyDescent="0.25">
      <c r="A12" s="4" t="s">
        <v>19</v>
      </c>
      <c r="B12" s="19"/>
      <c r="C12" s="9">
        <v>5</v>
      </c>
      <c r="D12" s="34"/>
      <c r="E12" s="34"/>
      <c r="F12" s="4">
        <v>2</v>
      </c>
      <c r="G12" s="4">
        <v>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5" t="s">
        <v>14</v>
      </c>
      <c r="S12" s="37"/>
    </row>
    <row r="13" spans="1:19" ht="14.25" customHeight="1" x14ac:dyDescent="0.25">
      <c r="A13" s="4" t="s">
        <v>20</v>
      </c>
      <c r="B13" s="19"/>
      <c r="C13" s="9">
        <v>5</v>
      </c>
      <c r="D13" s="34"/>
      <c r="E13" s="34"/>
      <c r="F13" s="4">
        <v>2</v>
      </c>
      <c r="G13" s="4">
        <v>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5" t="s">
        <v>14</v>
      </c>
      <c r="S13" s="37"/>
    </row>
    <row r="14" spans="1:19" ht="14.25" customHeight="1" x14ac:dyDescent="0.25">
      <c r="A14" s="4" t="s">
        <v>21</v>
      </c>
      <c r="B14" s="19"/>
      <c r="C14" s="9">
        <v>5</v>
      </c>
      <c r="D14" s="35"/>
      <c r="E14" s="35"/>
      <c r="F14" s="4">
        <v>2</v>
      </c>
      <c r="G14" s="4">
        <v>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5" t="s">
        <v>14</v>
      </c>
      <c r="S14" s="38"/>
    </row>
    <row r="15" spans="1:19" ht="14.25" customHeight="1" x14ac:dyDescent="0.25">
      <c r="A15" s="4" t="s">
        <v>22</v>
      </c>
      <c r="B15" s="19"/>
      <c r="C15" s="9">
        <v>5</v>
      </c>
      <c r="D15" s="15"/>
      <c r="E15" s="15"/>
      <c r="F15" s="4">
        <v>2</v>
      </c>
      <c r="G15" s="4">
        <v>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5" t="s">
        <v>14</v>
      </c>
      <c r="S15" s="14"/>
    </row>
    <row r="16" spans="1:19" ht="14.25" customHeight="1" x14ac:dyDescent="0.25">
      <c r="A16" s="4" t="s">
        <v>23</v>
      </c>
      <c r="B16" s="19"/>
      <c r="C16" s="9">
        <v>5</v>
      </c>
      <c r="D16" s="16"/>
      <c r="E16" s="16"/>
      <c r="F16" s="4">
        <v>2</v>
      </c>
      <c r="G16" s="4">
        <v>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5" t="s">
        <v>14</v>
      </c>
      <c r="S16" s="17"/>
    </row>
    <row r="17" spans="1:19" ht="14.25" customHeight="1" x14ac:dyDescent="0.25">
      <c r="A17" s="4" t="s">
        <v>24</v>
      </c>
      <c r="B17" s="20"/>
      <c r="C17" s="10">
        <v>5</v>
      </c>
      <c r="D17" s="16"/>
      <c r="E17" s="16"/>
      <c r="F17" s="4">
        <v>2</v>
      </c>
      <c r="G17" s="4">
        <v>1</v>
      </c>
      <c r="H17" s="4"/>
      <c r="I17" s="4"/>
      <c r="J17" s="4">
        <v>1</v>
      </c>
      <c r="K17" s="4">
        <v>1</v>
      </c>
      <c r="L17" s="4"/>
      <c r="M17" s="4"/>
      <c r="N17" s="4">
        <v>1</v>
      </c>
      <c r="O17" s="4">
        <v>1</v>
      </c>
      <c r="P17" s="4"/>
      <c r="Q17" s="4"/>
      <c r="R17" s="5" t="s">
        <v>14</v>
      </c>
      <c r="S17" s="17"/>
    </row>
    <row r="18" spans="1:19" ht="14.25" customHeight="1" x14ac:dyDescent="0.25">
      <c r="A18" s="4" t="s">
        <v>25</v>
      </c>
      <c r="B18" s="18" t="s">
        <v>26</v>
      </c>
      <c r="C18" s="8">
        <v>6</v>
      </c>
      <c r="D18" s="15"/>
      <c r="E18" s="15"/>
      <c r="F18" s="4">
        <v>2</v>
      </c>
      <c r="G18" s="4">
        <v>1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5" t="s">
        <v>14</v>
      </c>
      <c r="S18" s="27"/>
    </row>
    <row r="19" spans="1:19" ht="14.25" customHeight="1" x14ac:dyDescent="0.25">
      <c r="A19" s="4" t="s">
        <v>27</v>
      </c>
      <c r="B19" s="19"/>
      <c r="C19" s="9">
        <v>6</v>
      </c>
      <c r="D19" s="32"/>
      <c r="E19" s="32"/>
      <c r="F19" s="4">
        <v>2</v>
      </c>
      <c r="G19" s="4">
        <v>1</v>
      </c>
      <c r="H19" s="4"/>
      <c r="I19" s="4">
        <v>1</v>
      </c>
      <c r="J19" s="4">
        <v>1</v>
      </c>
      <c r="K19" s="4">
        <v>1</v>
      </c>
      <c r="L19" s="4"/>
      <c r="M19" s="4"/>
      <c r="N19" s="4"/>
      <c r="O19" s="4"/>
      <c r="P19" s="4"/>
      <c r="Q19" s="4"/>
      <c r="R19" s="5" t="s">
        <v>14</v>
      </c>
      <c r="S19" s="27"/>
    </row>
    <row r="20" spans="1:19" ht="14.25" customHeight="1" x14ac:dyDescent="0.25">
      <c r="A20" s="4" t="s">
        <v>28</v>
      </c>
      <c r="B20" s="19"/>
      <c r="C20" s="9">
        <v>6</v>
      </c>
      <c r="D20" s="32"/>
      <c r="E20" s="32"/>
      <c r="F20" s="4">
        <v>2</v>
      </c>
      <c r="G20" s="4">
        <v>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5" t="s">
        <v>14</v>
      </c>
      <c r="S20" s="27"/>
    </row>
    <row r="21" spans="1:19" ht="14.25" customHeight="1" x14ac:dyDescent="0.25">
      <c r="A21" s="4" t="s">
        <v>29</v>
      </c>
      <c r="B21" s="20"/>
      <c r="C21" s="10">
        <v>6</v>
      </c>
      <c r="D21" s="32"/>
      <c r="E21" s="32"/>
      <c r="F21" s="4">
        <v>2</v>
      </c>
      <c r="G21" s="4">
        <v>1</v>
      </c>
      <c r="H21" s="4"/>
      <c r="I21" s="4"/>
      <c r="J21" s="4"/>
      <c r="K21" s="4"/>
      <c r="L21" s="4"/>
      <c r="M21" s="4"/>
      <c r="N21" s="4">
        <v>1</v>
      </c>
      <c r="O21" s="4"/>
      <c r="P21" s="4"/>
      <c r="Q21" s="4"/>
      <c r="R21" s="5" t="s">
        <v>14</v>
      </c>
      <c r="S21" s="27"/>
    </row>
    <row r="22" spans="1:19" ht="14.25" customHeight="1" x14ac:dyDescent="0.25">
      <c r="A22" s="4" t="s">
        <v>30</v>
      </c>
      <c r="B22" s="18" t="s">
        <v>31</v>
      </c>
      <c r="C22" s="8">
        <v>7</v>
      </c>
      <c r="D22" s="15"/>
      <c r="E22" s="15"/>
      <c r="F22" s="4">
        <v>2</v>
      </c>
      <c r="G22" s="4">
        <v>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5" t="s">
        <v>14</v>
      </c>
      <c r="S22" s="28"/>
    </row>
    <row r="23" spans="1:19" ht="14.25" customHeight="1" x14ac:dyDescent="0.25">
      <c r="A23" s="4" t="s">
        <v>32</v>
      </c>
      <c r="B23" s="19"/>
      <c r="C23" s="9">
        <v>7</v>
      </c>
      <c r="D23" s="16"/>
      <c r="E23" s="16"/>
      <c r="F23" s="4">
        <v>2</v>
      </c>
      <c r="G23" s="4">
        <v>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5" t="s">
        <v>14</v>
      </c>
      <c r="S23" s="17"/>
    </row>
    <row r="24" spans="1:19" ht="14.25" customHeight="1" x14ac:dyDescent="0.25">
      <c r="A24" s="4" t="s">
        <v>33</v>
      </c>
      <c r="B24" s="19"/>
      <c r="C24" s="9">
        <v>7</v>
      </c>
      <c r="D24" s="16"/>
      <c r="E24" s="16"/>
      <c r="F24" s="4">
        <v>2</v>
      </c>
      <c r="G24" s="4">
        <v>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5" t="s">
        <v>14</v>
      </c>
      <c r="S24" s="17"/>
    </row>
    <row r="25" spans="1:19" ht="14.25" customHeight="1" x14ac:dyDescent="0.25">
      <c r="A25" s="4" t="s">
        <v>34</v>
      </c>
      <c r="B25" s="20"/>
      <c r="C25" s="10">
        <v>7</v>
      </c>
      <c r="D25" s="16"/>
      <c r="E25" s="16"/>
      <c r="F25" s="4">
        <v>2</v>
      </c>
      <c r="G25" s="4">
        <v>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5" t="s">
        <v>14</v>
      </c>
      <c r="S25" s="17"/>
    </row>
    <row r="26" spans="1:19" ht="14.25" customHeight="1" x14ac:dyDescent="0.25">
      <c r="A26" s="4" t="s">
        <v>35</v>
      </c>
      <c r="B26" s="18" t="s">
        <v>36</v>
      </c>
      <c r="C26" s="8">
        <v>8</v>
      </c>
      <c r="D26" s="33"/>
      <c r="E26" s="33"/>
      <c r="F26" s="4">
        <v>2</v>
      </c>
      <c r="G26" s="4">
        <v>1</v>
      </c>
      <c r="H26" s="4"/>
      <c r="I26" s="4"/>
      <c r="J26" s="4">
        <v>1</v>
      </c>
      <c r="K26" s="4"/>
      <c r="L26" s="4"/>
      <c r="M26" s="4"/>
      <c r="N26" s="4"/>
      <c r="O26" s="4"/>
      <c r="P26" s="4"/>
      <c r="Q26" s="4"/>
      <c r="R26" s="5" t="s">
        <v>14</v>
      </c>
      <c r="S26" s="36"/>
    </row>
    <row r="27" spans="1:19" ht="14.25" customHeight="1" x14ac:dyDescent="0.25">
      <c r="A27" s="4" t="s">
        <v>37</v>
      </c>
      <c r="B27" s="19"/>
      <c r="C27" s="9">
        <v>8</v>
      </c>
      <c r="D27" s="34"/>
      <c r="E27" s="34"/>
      <c r="F27" s="4">
        <v>2</v>
      </c>
      <c r="G27" s="4">
        <v>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5" t="s">
        <v>14</v>
      </c>
      <c r="S27" s="37"/>
    </row>
    <row r="28" spans="1:19" ht="14.25" customHeight="1" x14ac:dyDescent="0.25">
      <c r="A28" s="4" t="s">
        <v>38</v>
      </c>
      <c r="B28" s="19"/>
      <c r="C28" s="9">
        <v>8</v>
      </c>
      <c r="D28" s="34"/>
      <c r="E28" s="34"/>
      <c r="F28" s="4">
        <v>2</v>
      </c>
      <c r="G28" s="4">
        <v>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5" t="s">
        <v>14</v>
      </c>
      <c r="S28" s="37"/>
    </row>
    <row r="29" spans="1:19" ht="14.25" customHeight="1" x14ac:dyDescent="0.25">
      <c r="A29" s="4" t="s">
        <v>39</v>
      </c>
      <c r="B29" s="20"/>
      <c r="C29" s="10">
        <v>8</v>
      </c>
      <c r="D29" s="35"/>
      <c r="E29" s="35"/>
      <c r="F29" s="4">
        <v>2</v>
      </c>
      <c r="G29" s="4">
        <v>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5" t="s">
        <v>14</v>
      </c>
      <c r="S29" s="38"/>
    </row>
    <row r="30" spans="1:19" ht="14.25" customHeight="1" x14ac:dyDescent="0.25">
      <c r="A30" s="4" t="s">
        <v>125</v>
      </c>
      <c r="B30" s="21" t="s">
        <v>40</v>
      </c>
      <c r="C30" s="8">
        <v>11</v>
      </c>
      <c r="D30" s="15"/>
      <c r="E30" s="15"/>
      <c r="F30" s="4">
        <v>2</v>
      </c>
      <c r="G30" s="4">
        <v>2</v>
      </c>
      <c r="H30" s="4"/>
      <c r="I30" s="4"/>
      <c r="J30" s="4"/>
      <c r="K30" s="4"/>
      <c r="L30" s="4"/>
      <c r="M30" s="4"/>
      <c r="N30" s="4">
        <v>1</v>
      </c>
      <c r="O30" s="4"/>
      <c r="P30" s="4"/>
      <c r="Q30" s="4"/>
      <c r="R30" s="5" t="s">
        <v>14</v>
      </c>
      <c r="S30" s="28"/>
    </row>
    <row r="31" spans="1:19" ht="14.25" customHeight="1" x14ac:dyDescent="0.25">
      <c r="A31" s="4" t="s">
        <v>126</v>
      </c>
      <c r="B31" s="22"/>
      <c r="C31" s="9">
        <v>11</v>
      </c>
      <c r="D31" s="16"/>
      <c r="E31" s="16"/>
      <c r="F31" s="4">
        <v>2</v>
      </c>
      <c r="G31" s="4">
        <v>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5" t="s">
        <v>14</v>
      </c>
      <c r="S31" s="17"/>
    </row>
    <row r="32" spans="1:19" ht="14.25" customHeight="1" x14ac:dyDescent="0.25">
      <c r="A32" s="4" t="s">
        <v>127</v>
      </c>
      <c r="B32" s="22"/>
      <c r="C32" s="9">
        <v>11</v>
      </c>
      <c r="D32" s="16"/>
      <c r="E32" s="16"/>
      <c r="F32" s="4">
        <v>2</v>
      </c>
      <c r="G32" s="4">
        <v>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5" t="s">
        <v>14</v>
      </c>
      <c r="S32" s="17"/>
    </row>
    <row r="33" spans="1:19" ht="14.25" customHeight="1" x14ac:dyDescent="0.25">
      <c r="A33" s="4" t="s">
        <v>128</v>
      </c>
      <c r="B33" s="22"/>
      <c r="C33" s="9">
        <v>11</v>
      </c>
      <c r="D33" s="16"/>
      <c r="E33" s="16"/>
      <c r="F33" s="4">
        <v>2</v>
      </c>
      <c r="G33" s="4">
        <v>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5" t="s">
        <v>14</v>
      </c>
      <c r="S33" s="17"/>
    </row>
    <row r="34" spans="1:19" ht="14.25" customHeight="1" x14ac:dyDescent="0.25">
      <c r="A34" s="4" t="s">
        <v>41</v>
      </c>
      <c r="B34" s="22"/>
      <c r="C34" s="9">
        <v>11</v>
      </c>
      <c r="D34" s="15"/>
      <c r="E34" s="15"/>
      <c r="F34" s="4">
        <v>2</v>
      </c>
      <c r="G34" s="4">
        <v>1</v>
      </c>
      <c r="H34" s="4"/>
      <c r="I34" s="4">
        <v>1</v>
      </c>
      <c r="J34" s="4">
        <v>1</v>
      </c>
      <c r="K34" s="4"/>
      <c r="L34" s="4"/>
      <c r="M34" s="4"/>
      <c r="N34" s="4"/>
      <c r="O34" s="4"/>
      <c r="P34" s="4"/>
      <c r="Q34" s="4"/>
      <c r="R34" s="5" t="s">
        <v>14</v>
      </c>
      <c r="S34" s="28"/>
    </row>
    <row r="35" spans="1:19" ht="14.25" customHeight="1" x14ac:dyDescent="0.25">
      <c r="A35" s="4" t="s">
        <v>42</v>
      </c>
      <c r="B35" s="22"/>
      <c r="C35" s="9">
        <v>11</v>
      </c>
      <c r="D35" s="16"/>
      <c r="E35" s="16"/>
      <c r="F35" s="4">
        <v>2</v>
      </c>
      <c r="G35" s="4">
        <v>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5" t="s">
        <v>14</v>
      </c>
      <c r="S35" s="28"/>
    </row>
    <row r="36" spans="1:19" ht="14.25" customHeight="1" x14ac:dyDescent="0.25">
      <c r="A36" s="4" t="s">
        <v>43</v>
      </c>
      <c r="B36" s="22"/>
      <c r="C36" s="9">
        <v>11</v>
      </c>
      <c r="D36" s="16"/>
      <c r="E36" s="16"/>
      <c r="F36" s="4">
        <v>2</v>
      </c>
      <c r="G36" s="4">
        <v>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5" t="s">
        <v>14</v>
      </c>
      <c r="S36" s="28"/>
    </row>
    <row r="37" spans="1:19" ht="14.25" customHeight="1" x14ac:dyDescent="0.25">
      <c r="A37" s="4" t="s">
        <v>44</v>
      </c>
      <c r="B37" s="23"/>
      <c r="C37" s="10">
        <v>11</v>
      </c>
      <c r="D37" s="16"/>
      <c r="E37" s="16"/>
      <c r="F37" s="4">
        <v>2</v>
      </c>
      <c r="G37" s="4">
        <v>1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5" t="s">
        <v>14</v>
      </c>
      <c r="S37" s="28"/>
    </row>
    <row r="38" spans="1:19" ht="14.25" customHeight="1" x14ac:dyDescent="0.25">
      <c r="A38" s="4" t="s">
        <v>45</v>
      </c>
      <c r="B38" s="21" t="s">
        <v>46</v>
      </c>
      <c r="C38" s="8">
        <v>12</v>
      </c>
      <c r="D38" s="15"/>
      <c r="E38" s="15"/>
      <c r="F38" s="4">
        <v>2</v>
      </c>
      <c r="G38" s="4">
        <v>1</v>
      </c>
      <c r="H38" s="4"/>
      <c r="I38" s="4"/>
      <c r="J38" s="4">
        <v>1</v>
      </c>
      <c r="K38" s="4">
        <v>1</v>
      </c>
      <c r="L38" s="4"/>
      <c r="M38" s="4"/>
      <c r="N38" s="4">
        <v>1</v>
      </c>
      <c r="O38" s="4">
        <v>1</v>
      </c>
      <c r="P38" s="4"/>
      <c r="Q38" s="4"/>
      <c r="R38" s="5" t="s">
        <v>14</v>
      </c>
      <c r="S38" s="14"/>
    </row>
    <row r="39" spans="1:19" ht="14.25" customHeight="1" x14ac:dyDescent="0.25">
      <c r="A39" s="4" t="s">
        <v>47</v>
      </c>
      <c r="B39" s="22"/>
      <c r="C39" s="9">
        <v>12</v>
      </c>
      <c r="D39" s="15"/>
      <c r="E39" s="15"/>
      <c r="F39" s="4">
        <v>2</v>
      </c>
      <c r="G39" s="4">
        <v>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5" t="s">
        <v>14</v>
      </c>
      <c r="S39" s="14"/>
    </row>
    <row r="40" spans="1:19" ht="14.25" customHeight="1" x14ac:dyDescent="0.25">
      <c r="A40" s="4" t="s">
        <v>48</v>
      </c>
      <c r="B40" s="22"/>
      <c r="C40" s="9">
        <v>12</v>
      </c>
      <c r="D40" s="15"/>
      <c r="E40" s="15"/>
      <c r="F40" s="4">
        <v>2</v>
      </c>
      <c r="G40" s="4">
        <v>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5" t="s">
        <v>14</v>
      </c>
      <c r="S40" s="14"/>
    </row>
    <row r="41" spans="1:19" ht="14.25" customHeight="1" x14ac:dyDescent="0.25">
      <c r="A41" s="4" t="s">
        <v>49</v>
      </c>
      <c r="B41" s="22"/>
      <c r="C41" s="9">
        <v>12</v>
      </c>
      <c r="D41" s="15"/>
      <c r="E41" s="15"/>
      <c r="F41" s="4">
        <v>2</v>
      </c>
      <c r="G41" s="4">
        <v>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5" t="s">
        <v>14</v>
      </c>
      <c r="S41" s="14"/>
    </row>
    <row r="42" spans="1:19" ht="14.25" customHeight="1" x14ac:dyDescent="0.25">
      <c r="A42" s="4" t="s">
        <v>50</v>
      </c>
      <c r="B42" s="22"/>
      <c r="C42" s="9">
        <v>12</v>
      </c>
      <c r="D42" s="15"/>
      <c r="E42" s="15"/>
      <c r="F42" s="4">
        <v>2</v>
      </c>
      <c r="G42" s="4">
        <v>1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5" t="s">
        <v>14</v>
      </c>
      <c r="S42" s="14"/>
    </row>
    <row r="43" spans="1:19" ht="14.25" customHeight="1" x14ac:dyDescent="0.25">
      <c r="A43" s="4" t="s">
        <v>51</v>
      </c>
      <c r="B43" s="22"/>
      <c r="C43" s="9">
        <v>12</v>
      </c>
      <c r="D43" s="15"/>
      <c r="E43" s="15"/>
      <c r="F43" s="4">
        <v>2</v>
      </c>
      <c r="G43" s="4">
        <v>1</v>
      </c>
      <c r="H43" s="4"/>
      <c r="I43" s="4"/>
      <c r="J43" s="4">
        <v>1</v>
      </c>
      <c r="K43" s="4">
        <v>1</v>
      </c>
      <c r="L43" s="4"/>
      <c r="M43" s="4"/>
      <c r="N43" s="4"/>
      <c r="O43" s="4"/>
      <c r="P43" s="4"/>
      <c r="Q43" s="4"/>
      <c r="R43" s="5" t="s">
        <v>14</v>
      </c>
      <c r="S43" s="14"/>
    </row>
    <row r="44" spans="1:19" ht="14.25" customHeight="1" x14ac:dyDescent="0.25">
      <c r="A44" s="4" t="s">
        <v>52</v>
      </c>
      <c r="B44" s="22"/>
      <c r="C44" s="9">
        <v>12</v>
      </c>
      <c r="D44" s="15"/>
      <c r="E44" s="15"/>
      <c r="F44" s="4">
        <v>2</v>
      </c>
      <c r="G44" s="4">
        <v>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5" t="s">
        <v>14</v>
      </c>
      <c r="S44" s="14"/>
    </row>
    <row r="45" spans="1:19" ht="14.25" customHeight="1" x14ac:dyDescent="0.25">
      <c r="A45" s="4" t="s">
        <v>53</v>
      </c>
      <c r="B45" s="22"/>
      <c r="C45" s="9">
        <v>12</v>
      </c>
      <c r="D45" s="15"/>
      <c r="E45" s="15"/>
      <c r="F45" s="4">
        <v>2</v>
      </c>
      <c r="G45" s="4">
        <v>1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5" t="s">
        <v>14</v>
      </c>
      <c r="S45" s="14"/>
    </row>
    <row r="46" spans="1:19" ht="14.25" customHeight="1" x14ac:dyDescent="0.25">
      <c r="A46" s="4" t="s">
        <v>54</v>
      </c>
      <c r="B46" s="22"/>
      <c r="C46" s="9">
        <v>12</v>
      </c>
      <c r="D46" s="15"/>
      <c r="E46" s="15"/>
      <c r="F46" s="4">
        <v>2</v>
      </c>
      <c r="G46" s="4">
        <v>1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5" t="s">
        <v>14</v>
      </c>
      <c r="S46" s="14"/>
    </row>
    <row r="47" spans="1:19" ht="14.25" customHeight="1" x14ac:dyDescent="0.25">
      <c r="A47" s="4" t="s">
        <v>55</v>
      </c>
      <c r="B47" s="23"/>
      <c r="C47" s="10">
        <v>12</v>
      </c>
      <c r="D47" s="15"/>
      <c r="E47" s="15"/>
      <c r="F47" s="4">
        <v>2</v>
      </c>
      <c r="G47" s="4">
        <v>1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5" t="s">
        <v>14</v>
      </c>
      <c r="S47" s="14"/>
    </row>
    <row r="48" spans="1:19" ht="14.25" customHeight="1" x14ac:dyDescent="0.25">
      <c r="A48" s="4" t="s">
        <v>56</v>
      </c>
      <c r="B48" s="18" t="s">
        <v>57</v>
      </c>
      <c r="C48" s="8">
        <v>13</v>
      </c>
      <c r="D48" s="15"/>
      <c r="E48" s="15"/>
      <c r="F48" s="4">
        <v>2</v>
      </c>
      <c r="G48" s="4">
        <v>1</v>
      </c>
      <c r="H48" s="4"/>
      <c r="I48" s="4">
        <v>1</v>
      </c>
      <c r="J48" s="4"/>
      <c r="K48" s="4"/>
      <c r="L48" s="4"/>
      <c r="M48" s="4"/>
      <c r="N48" s="4"/>
      <c r="O48" s="4"/>
      <c r="P48" s="4"/>
      <c r="Q48" s="4"/>
      <c r="R48" s="5" t="s">
        <v>14</v>
      </c>
      <c r="S48" s="14"/>
    </row>
    <row r="49" spans="1:19" ht="14.25" customHeight="1" x14ac:dyDescent="0.25">
      <c r="A49" s="4" t="s">
        <v>58</v>
      </c>
      <c r="B49" s="19"/>
      <c r="C49" s="9">
        <v>13</v>
      </c>
      <c r="D49" s="16"/>
      <c r="E49" s="16"/>
      <c r="F49" s="4">
        <v>2</v>
      </c>
      <c r="G49" s="4">
        <v>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5" t="s">
        <v>14</v>
      </c>
      <c r="S49" s="17"/>
    </row>
    <row r="50" spans="1:19" ht="14.25" customHeight="1" x14ac:dyDescent="0.25">
      <c r="A50" s="4" t="s">
        <v>59</v>
      </c>
      <c r="B50" s="19"/>
      <c r="C50" s="9">
        <v>13</v>
      </c>
      <c r="D50" s="16"/>
      <c r="E50" s="16"/>
      <c r="F50" s="4">
        <v>2</v>
      </c>
      <c r="G50" s="4">
        <v>1</v>
      </c>
      <c r="H50" s="4"/>
      <c r="I50" s="4">
        <v>1</v>
      </c>
      <c r="J50" s="4"/>
      <c r="K50" s="4"/>
      <c r="L50" s="4"/>
      <c r="M50" s="4"/>
      <c r="N50" s="4"/>
      <c r="O50" s="4"/>
      <c r="P50" s="4"/>
      <c r="Q50" s="4"/>
      <c r="R50" s="5" t="s">
        <v>14</v>
      </c>
      <c r="S50" s="17"/>
    </row>
    <row r="51" spans="1:19" ht="14.25" customHeight="1" x14ac:dyDescent="0.25">
      <c r="A51" s="4" t="s">
        <v>60</v>
      </c>
      <c r="B51" s="19"/>
      <c r="C51" s="9">
        <v>13</v>
      </c>
      <c r="D51" s="16"/>
      <c r="E51" s="16"/>
      <c r="F51" s="4">
        <v>2</v>
      </c>
      <c r="G51" s="4">
        <v>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5" t="s">
        <v>14</v>
      </c>
      <c r="S51" s="17"/>
    </row>
    <row r="52" spans="1:19" ht="14.25" customHeight="1" x14ac:dyDescent="0.25">
      <c r="A52" s="4" t="s">
        <v>61</v>
      </c>
      <c r="B52" s="20"/>
      <c r="C52" s="10">
        <v>13</v>
      </c>
      <c r="D52" s="16"/>
      <c r="E52" s="16"/>
      <c r="F52" s="4">
        <v>2</v>
      </c>
      <c r="G52" s="4">
        <v>1</v>
      </c>
      <c r="H52" s="4"/>
      <c r="I52" s="4"/>
      <c r="J52" s="4">
        <v>1</v>
      </c>
      <c r="K52" s="4">
        <v>1</v>
      </c>
      <c r="L52" s="4"/>
      <c r="M52" s="4"/>
      <c r="N52" s="4"/>
      <c r="O52" s="4"/>
      <c r="P52" s="4"/>
      <c r="Q52" s="4"/>
      <c r="R52" s="5" t="s">
        <v>14</v>
      </c>
      <c r="S52" s="17"/>
    </row>
    <row r="53" spans="1:19" ht="14.25" customHeight="1" x14ac:dyDescent="0.25">
      <c r="A53" s="4" t="s">
        <v>62</v>
      </c>
      <c r="B53" s="18" t="s">
        <v>63</v>
      </c>
      <c r="C53" s="8">
        <v>14</v>
      </c>
      <c r="D53" s="15"/>
      <c r="E53" s="15"/>
      <c r="F53" s="4">
        <v>2</v>
      </c>
      <c r="G53" s="4">
        <v>1</v>
      </c>
      <c r="H53" s="4"/>
      <c r="I53" s="4"/>
      <c r="J53" s="4">
        <v>1</v>
      </c>
      <c r="K53" s="4">
        <v>1</v>
      </c>
      <c r="L53" s="4"/>
      <c r="M53" s="4"/>
      <c r="N53" s="4">
        <v>1</v>
      </c>
      <c r="O53" s="4"/>
      <c r="P53" s="4"/>
      <c r="Q53" s="4"/>
      <c r="R53" s="5" t="s">
        <v>14</v>
      </c>
      <c r="S53" s="14"/>
    </row>
    <row r="54" spans="1:19" ht="14.25" customHeight="1" x14ac:dyDescent="0.25">
      <c r="A54" s="4" t="s">
        <v>64</v>
      </c>
      <c r="B54" s="19"/>
      <c r="C54" s="9">
        <v>14</v>
      </c>
      <c r="D54" s="15"/>
      <c r="E54" s="15"/>
      <c r="F54" s="4">
        <v>2</v>
      </c>
      <c r="G54" s="4">
        <v>1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5" t="s">
        <v>14</v>
      </c>
      <c r="S54" s="14"/>
    </row>
    <row r="55" spans="1:19" ht="14.25" customHeight="1" x14ac:dyDescent="0.25">
      <c r="A55" s="4" t="s">
        <v>65</v>
      </c>
      <c r="B55" s="19"/>
      <c r="C55" s="9">
        <v>14</v>
      </c>
      <c r="D55" s="15"/>
      <c r="E55" s="15"/>
      <c r="F55" s="4">
        <v>2</v>
      </c>
      <c r="G55" s="4">
        <v>1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5" t="s">
        <v>14</v>
      </c>
      <c r="S55" s="14"/>
    </row>
    <row r="56" spans="1:19" ht="14.25" customHeight="1" x14ac:dyDescent="0.25">
      <c r="A56" s="4" t="s">
        <v>66</v>
      </c>
      <c r="B56" s="20"/>
      <c r="C56" s="10">
        <v>14</v>
      </c>
      <c r="D56" s="15"/>
      <c r="E56" s="15"/>
      <c r="F56" s="4">
        <v>2</v>
      </c>
      <c r="G56" s="4">
        <v>1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5" t="s">
        <v>14</v>
      </c>
      <c r="S56" s="14"/>
    </row>
    <row r="57" spans="1:19" ht="14.25" customHeight="1" x14ac:dyDescent="0.25">
      <c r="A57" s="4" t="s">
        <v>67</v>
      </c>
      <c r="B57" s="21" t="s">
        <v>68</v>
      </c>
      <c r="C57" s="8">
        <v>15</v>
      </c>
      <c r="D57" s="15"/>
      <c r="E57" s="15"/>
      <c r="F57" s="4">
        <v>2</v>
      </c>
      <c r="G57" s="4">
        <v>1</v>
      </c>
      <c r="H57" s="4"/>
      <c r="I57" s="4"/>
      <c r="J57" s="4"/>
      <c r="K57" s="4"/>
      <c r="L57" s="4"/>
      <c r="M57" s="4"/>
      <c r="N57" s="4">
        <v>1</v>
      </c>
      <c r="O57" s="4"/>
      <c r="P57" s="4"/>
      <c r="Q57" s="4"/>
      <c r="R57" s="5" t="s">
        <v>14</v>
      </c>
      <c r="S57" s="28"/>
    </row>
    <row r="58" spans="1:19" ht="14.25" customHeight="1" x14ac:dyDescent="0.25">
      <c r="A58" s="4" t="s">
        <v>69</v>
      </c>
      <c r="B58" s="22"/>
      <c r="C58" s="9">
        <v>15</v>
      </c>
      <c r="D58" s="16"/>
      <c r="E58" s="16"/>
      <c r="F58" s="4">
        <v>2</v>
      </c>
      <c r="G58" s="4">
        <v>1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5" t="s">
        <v>14</v>
      </c>
      <c r="S58" s="17"/>
    </row>
    <row r="59" spans="1:19" ht="14.25" customHeight="1" x14ac:dyDescent="0.25">
      <c r="A59" s="4" t="s">
        <v>70</v>
      </c>
      <c r="B59" s="22"/>
      <c r="C59" s="9">
        <v>15</v>
      </c>
      <c r="D59" s="16"/>
      <c r="E59" s="16"/>
      <c r="F59" s="4">
        <v>2</v>
      </c>
      <c r="G59" s="4">
        <v>1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5" t="s">
        <v>14</v>
      </c>
      <c r="S59" s="17"/>
    </row>
    <row r="60" spans="1:19" ht="14.25" customHeight="1" x14ac:dyDescent="0.25">
      <c r="A60" s="4" t="s">
        <v>71</v>
      </c>
      <c r="B60" s="23"/>
      <c r="C60" s="10">
        <v>15</v>
      </c>
      <c r="D60" s="16"/>
      <c r="E60" s="16"/>
      <c r="F60" s="4">
        <v>2</v>
      </c>
      <c r="G60" s="4">
        <v>1</v>
      </c>
      <c r="H60" s="4"/>
      <c r="I60" s="4"/>
      <c r="J60" s="4">
        <v>1</v>
      </c>
      <c r="K60" s="4"/>
      <c r="L60" s="4"/>
      <c r="M60" s="4"/>
      <c r="N60" s="4"/>
      <c r="O60" s="4"/>
      <c r="P60" s="4"/>
      <c r="Q60" s="4"/>
      <c r="R60" s="5" t="s">
        <v>14</v>
      </c>
      <c r="S60" s="17"/>
    </row>
    <row r="61" spans="1:19" ht="14.25" customHeight="1" x14ac:dyDescent="0.25">
      <c r="A61" s="4" t="s">
        <v>129</v>
      </c>
      <c r="B61" s="18" t="s">
        <v>72</v>
      </c>
      <c r="C61" s="8">
        <v>19</v>
      </c>
      <c r="D61" s="15"/>
      <c r="E61" s="15"/>
      <c r="F61" s="4">
        <v>2</v>
      </c>
      <c r="G61" s="4">
        <v>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5" t="s">
        <v>14</v>
      </c>
      <c r="S61" s="28"/>
    </row>
    <row r="62" spans="1:19" ht="14.25" customHeight="1" x14ac:dyDescent="0.25">
      <c r="A62" s="4" t="s">
        <v>130</v>
      </c>
      <c r="B62" s="19"/>
      <c r="C62" s="9">
        <v>19</v>
      </c>
      <c r="D62" s="16"/>
      <c r="E62" s="16"/>
      <c r="F62" s="4">
        <v>2</v>
      </c>
      <c r="G62" s="4">
        <v>2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5" t="s">
        <v>14</v>
      </c>
      <c r="S62" s="17"/>
    </row>
    <row r="63" spans="1:19" ht="14.25" customHeight="1" x14ac:dyDescent="0.25">
      <c r="A63" s="4" t="s">
        <v>73</v>
      </c>
      <c r="B63" s="19"/>
      <c r="C63" s="9">
        <v>19</v>
      </c>
      <c r="D63" s="16"/>
      <c r="E63" s="16"/>
      <c r="F63" s="4">
        <v>2</v>
      </c>
      <c r="G63" s="4">
        <v>1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5" t="s">
        <v>14</v>
      </c>
      <c r="S63" s="17"/>
    </row>
    <row r="64" spans="1:19" ht="14.25" customHeight="1" x14ac:dyDescent="0.25">
      <c r="A64" s="4" t="s">
        <v>74</v>
      </c>
      <c r="B64" s="19"/>
      <c r="C64" s="9">
        <v>19</v>
      </c>
      <c r="D64" s="16"/>
      <c r="E64" s="16"/>
      <c r="F64" s="4">
        <v>2</v>
      </c>
      <c r="G64" s="4">
        <v>1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5" t="s">
        <v>14</v>
      </c>
      <c r="S64" s="17"/>
    </row>
    <row r="65" spans="1:19" ht="14.25" customHeight="1" x14ac:dyDescent="0.25">
      <c r="A65" s="4" t="s">
        <v>75</v>
      </c>
      <c r="B65" s="20"/>
      <c r="C65" s="10">
        <v>19</v>
      </c>
      <c r="D65" s="16"/>
      <c r="E65" s="16"/>
      <c r="F65" s="4">
        <v>2</v>
      </c>
      <c r="G65" s="4">
        <v>1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5" t="s">
        <v>14</v>
      </c>
      <c r="S65" s="17"/>
    </row>
    <row r="66" spans="1:19" ht="14.25" customHeight="1" x14ac:dyDescent="0.25">
      <c r="A66" s="4" t="s">
        <v>76</v>
      </c>
      <c r="B66" s="21" t="s">
        <v>77</v>
      </c>
      <c r="C66" s="8">
        <v>20</v>
      </c>
      <c r="D66" s="15"/>
      <c r="E66" s="15"/>
      <c r="F66" s="4">
        <v>2</v>
      </c>
      <c r="G66" s="4">
        <v>1</v>
      </c>
      <c r="H66" s="4"/>
      <c r="I66" s="4">
        <v>1</v>
      </c>
      <c r="J66" s="4"/>
      <c r="K66" s="4"/>
      <c r="L66" s="4"/>
      <c r="M66" s="4"/>
      <c r="N66" s="4"/>
      <c r="O66" s="4"/>
      <c r="P66" s="4"/>
      <c r="Q66" s="4"/>
      <c r="R66" s="5" t="s">
        <v>14</v>
      </c>
      <c r="S66" s="28"/>
    </row>
    <row r="67" spans="1:19" ht="14.25" customHeight="1" x14ac:dyDescent="0.25">
      <c r="A67" s="4" t="s">
        <v>78</v>
      </c>
      <c r="B67" s="22"/>
      <c r="C67" s="9">
        <v>20</v>
      </c>
      <c r="D67" s="16"/>
      <c r="E67" s="16"/>
      <c r="F67" s="4">
        <v>2</v>
      </c>
      <c r="G67" s="4">
        <v>1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5" t="s">
        <v>14</v>
      </c>
      <c r="S67" s="17"/>
    </row>
    <row r="68" spans="1:19" ht="14.25" customHeight="1" x14ac:dyDescent="0.25">
      <c r="A68" s="4" t="s">
        <v>79</v>
      </c>
      <c r="B68" s="22"/>
      <c r="C68" s="9">
        <v>20</v>
      </c>
      <c r="D68" s="16"/>
      <c r="E68" s="16"/>
      <c r="F68" s="4">
        <v>2</v>
      </c>
      <c r="G68" s="4">
        <v>1</v>
      </c>
      <c r="H68" s="4"/>
      <c r="I68" s="4">
        <v>1</v>
      </c>
      <c r="J68" s="4"/>
      <c r="K68" s="4"/>
      <c r="L68" s="4"/>
      <c r="M68" s="4"/>
      <c r="N68" s="4"/>
      <c r="O68" s="4"/>
      <c r="P68" s="4"/>
      <c r="Q68" s="4"/>
      <c r="R68" s="5" t="s">
        <v>14</v>
      </c>
      <c r="S68" s="17"/>
    </row>
    <row r="69" spans="1:19" ht="14.25" customHeight="1" x14ac:dyDescent="0.25">
      <c r="A69" s="4" t="s">
        <v>80</v>
      </c>
      <c r="B69" s="22"/>
      <c r="C69" s="9">
        <v>20</v>
      </c>
      <c r="D69" s="16"/>
      <c r="E69" s="16"/>
      <c r="F69" s="4">
        <v>2</v>
      </c>
      <c r="G69" s="4">
        <v>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5" t="s">
        <v>14</v>
      </c>
      <c r="S69" s="17"/>
    </row>
    <row r="70" spans="1:19" ht="14.25" customHeight="1" x14ac:dyDescent="0.25">
      <c r="A70" s="4" t="s">
        <v>81</v>
      </c>
      <c r="B70" s="23"/>
      <c r="C70" s="10">
        <v>20</v>
      </c>
      <c r="D70" s="16"/>
      <c r="E70" s="16"/>
      <c r="F70" s="4">
        <v>2</v>
      </c>
      <c r="G70" s="4">
        <v>1</v>
      </c>
      <c r="H70" s="4"/>
      <c r="I70" s="4">
        <v>1</v>
      </c>
      <c r="J70" s="4">
        <v>1</v>
      </c>
      <c r="K70" s="4"/>
      <c r="L70" s="4"/>
      <c r="M70" s="4">
        <v>1</v>
      </c>
      <c r="N70" s="4"/>
      <c r="O70" s="4"/>
      <c r="P70" s="4"/>
      <c r="Q70" s="4"/>
      <c r="R70" s="5" t="s">
        <v>14</v>
      </c>
      <c r="S70" s="17"/>
    </row>
    <row r="71" spans="1:19" ht="14.25" customHeight="1" x14ac:dyDescent="0.25">
      <c r="A71" s="4" t="s">
        <v>82</v>
      </c>
      <c r="B71" s="18" t="s">
        <v>83</v>
      </c>
      <c r="C71" s="8">
        <v>21</v>
      </c>
      <c r="D71" s="15"/>
      <c r="E71" s="15"/>
      <c r="F71" s="4">
        <v>2</v>
      </c>
      <c r="G71" s="4">
        <v>1</v>
      </c>
      <c r="H71" s="4"/>
      <c r="I71" s="4"/>
      <c r="J71" s="4"/>
      <c r="K71" s="4"/>
      <c r="L71" s="4"/>
      <c r="M71" s="4"/>
      <c r="N71" s="4">
        <v>1</v>
      </c>
      <c r="O71" s="4">
        <v>1</v>
      </c>
      <c r="P71" s="4"/>
      <c r="Q71" s="4"/>
      <c r="R71" s="5" t="s">
        <v>14</v>
      </c>
      <c r="S71" s="28"/>
    </row>
    <row r="72" spans="1:19" ht="14.25" customHeight="1" x14ac:dyDescent="0.25">
      <c r="A72" s="4" t="s">
        <v>84</v>
      </c>
      <c r="B72" s="19"/>
      <c r="C72" s="9">
        <v>21</v>
      </c>
      <c r="D72" s="16"/>
      <c r="E72" s="16"/>
      <c r="F72" s="4">
        <v>2</v>
      </c>
      <c r="G72" s="4">
        <v>1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5" t="s">
        <v>14</v>
      </c>
      <c r="S72" s="17"/>
    </row>
    <row r="73" spans="1:19" ht="14.25" customHeight="1" x14ac:dyDescent="0.25">
      <c r="A73" s="4" t="s">
        <v>85</v>
      </c>
      <c r="B73" s="19"/>
      <c r="C73" s="9">
        <v>21</v>
      </c>
      <c r="D73" s="16"/>
      <c r="E73" s="16"/>
      <c r="F73" s="4">
        <v>2</v>
      </c>
      <c r="G73" s="4">
        <v>1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5" t="s">
        <v>14</v>
      </c>
      <c r="S73" s="17"/>
    </row>
    <row r="74" spans="1:19" ht="14.25" customHeight="1" x14ac:dyDescent="0.25">
      <c r="A74" s="4" t="s">
        <v>86</v>
      </c>
      <c r="B74" s="20"/>
      <c r="C74" s="10">
        <v>21</v>
      </c>
      <c r="D74" s="16"/>
      <c r="E74" s="16"/>
      <c r="F74" s="4">
        <v>2</v>
      </c>
      <c r="G74" s="4">
        <v>1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5" t="s">
        <v>14</v>
      </c>
      <c r="S74" s="17"/>
    </row>
    <row r="75" spans="1:19" ht="14.25" customHeight="1" x14ac:dyDescent="0.25">
      <c r="A75" s="4" t="s">
        <v>125</v>
      </c>
      <c r="B75" s="21" t="s">
        <v>87</v>
      </c>
      <c r="C75" s="8">
        <v>22</v>
      </c>
      <c r="D75" s="32"/>
      <c r="E75" s="32"/>
      <c r="F75" s="4">
        <v>2</v>
      </c>
      <c r="G75" s="4">
        <v>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5" t="s">
        <v>14</v>
      </c>
      <c r="S75" s="28"/>
    </row>
    <row r="76" spans="1:19" ht="14.25" customHeight="1" x14ac:dyDescent="0.25">
      <c r="A76" s="4" t="s">
        <v>126</v>
      </c>
      <c r="B76" s="22"/>
      <c r="C76" s="9">
        <v>22</v>
      </c>
      <c r="D76" s="16"/>
      <c r="E76" s="16"/>
      <c r="F76" s="4">
        <v>2</v>
      </c>
      <c r="G76" s="4">
        <v>2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5" t="s">
        <v>14</v>
      </c>
      <c r="S76" s="17"/>
    </row>
    <row r="77" spans="1:19" ht="14.25" customHeight="1" x14ac:dyDescent="0.25">
      <c r="A77" s="4" t="s">
        <v>127</v>
      </c>
      <c r="B77" s="22"/>
      <c r="C77" s="9">
        <v>22</v>
      </c>
      <c r="D77" s="16"/>
      <c r="E77" s="16"/>
      <c r="F77" s="4">
        <v>2</v>
      </c>
      <c r="G77" s="4">
        <v>2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5" t="s">
        <v>14</v>
      </c>
      <c r="S77" s="17"/>
    </row>
    <row r="78" spans="1:19" ht="14.25" customHeight="1" x14ac:dyDescent="0.25">
      <c r="A78" s="4" t="s">
        <v>128</v>
      </c>
      <c r="B78" s="23"/>
      <c r="C78" s="10">
        <v>22</v>
      </c>
      <c r="D78" s="16"/>
      <c r="E78" s="16"/>
      <c r="F78" s="4">
        <v>2</v>
      </c>
      <c r="G78" s="4">
        <v>2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5" t="s">
        <v>14</v>
      </c>
      <c r="S78" s="17"/>
    </row>
    <row r="79" spans="1:19" ht="14.25" customHeight="1" x14ac:dyDescent="0.25">
      <c r="A79" s="4" t="s">
        <v>88</v>
      </c>
      <c r="B79" s="21" t="s">
        <v>89</v>
      </c>
      <c r="C79" s="8">
        <v>25</v>
      </c>
      <c r="D79" s="15"/>
      <c r="E79" s="15"/>
      <c r="F79" s="4">
        <v>2</v>
      </c>
      <c r="G79" s="4">
        <v>1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5" t="s">
        <v>90</v>
      </c>
      <c r="S79" s="28"/>
    </row>
    <row r="80" spans="1:19" ht="14.25" customHeight="1" x14ac:dyDescent="0.25">
      <c r="A80" s="4" t="s">
        <v>91</v>
      </c>
      <c r="B80" s="22"/>
      <c r="C80" s="9">
        <v>25</v>
      </c>
      <c r="D80" s="32"/>
      <c r="E80" s="32"/>
      <c r="F80" s="4">
        <v>2</v>
      </c>
      <c r="G80" s="4">
        <v>1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5" t="s">
        <v>90</v>
      </c>
      <c r="S80" s="28"/>
    </row>
    <row r="81" spans="1:19" ht="14.25" customHeight="1" x14ac:dyDescent="0.25">
      <c r="A81" s="4" t="s">
        <v>92</v>
      </c>
      <c r="B81" s="22"/>
      <c r="C81" s="9">
        <v>25</v>
      </c>
      <c r="D81" s="32"/>
      <c r="E81" s="32"/>
      <c r="F81" s="4">
        <v>2</v>
      </c>
      <c r="G81" s="4">
        <v>1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5" t="s">
        <v>90</v>
      </c>
      <c r="S81" s="28"/>
    </row>
    <row r="82" spans="1:19" ht="14.25" customHeight="1" x14ac:dyDescent="0.25">
      <c r="A82" s="4" t="s">
        <v>93</v>
      </c>
      <c r="B82" s="22"/>
      <c r="C82" s="9">
        <v>25</v>
      </c>
      <c r="D82" s="32"/>
      <c r="E82" s="32"/>
      <c r="F82" s="4">
        <v>2</v>
      </c>
      <c r="G82" s="4">
        <v>1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5" t="s">
        <v>90</v>
      </c>
      <c r="S82" s="28"/>
    </row>
    <row r="83" spans="1:19" ht="14.25" customHeight="1" x14ac:dyDescent="0.25">
      <c r="A83" s="4" t="s">
        <v>94</v>
      </c>
      <c r="B83" s="22"/>
      <c r="C83" s="9">
        <v>25</v>
      </c>
      <c r="D83" s="15"/>
      <c r="E83" s="15"/>
      <c r="F83" s="4">
        <v>2</v>
      </c>
      <c r="G83" s="4">
        <v>1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5" t="s">
        <v>90</v>
      </c>
      <c r="S83" s="14"/>
    </row>
    <row r="84" spans="1:19" ht="14.25" customHeight="1" x14ac:dyDescent="0.25">
      <c r="A84" s="4" t="s">
        <v>95</v>
      </c>
      <c r="B84" s="23"/>
      <c r="C84" s="10">
        <v>25</v>
      </c>
      <c r="D84" s="15"/>
      <c r="E84" s="15"/>
      <c r="F84" s="4">
        <v>2</v>
      </c>
      <c r="G84" s="4">
        <v>1</v>
      </c>
      <c r="H84" s="4"/>
      <c r="I84" s="4"/>
      <c r="J84" s="4"/>
      <c r="K84" s="4"/>
      <c r="L84" s="4"/>
      <c r="M84" s="4"/>
      <c r="N84" s="4">
        <v>1</v>
      </c>
      <c r="O84" s="4">
        <v>1</v>
      </c>
      <c r="P84" s="4"/>
      <c r="Q84" s="4"/>
      <c r="R84" s="5" t="s">
        <v>90</v>
      </c>
      <c r="S84" s="14"/>
    </row>
    <row r="85" spans="1:19" ht="14.25" customHeight="1" x14ac:dyDescent="0.25">
      <c r="A85" s="4" t="s">
        <v>96</v>
      </c>
      <c r="B85" s="24" t="s">
        <v>97</v>
      </c>
      <c r="C85" s="8">
        <v>26</v>
      </c>
      <c r="D85" s="29"/>
      <c r="E85" s="29"/>
      <c r="F85" s="4">
        <v>2</v>
      </c>
      <c r="G85" s="4">
        <v>1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5" t="s">
        <v>90</v>
      </c>
      <c r="S85" s="31"/>
    </row>
    <row r="86" spans="1:19" ht="14.25" customHeight="1" x14ac:dyDescent="0.25">
      <c r="A86" s="4" t="s">
        <v>98</v>
      </c>
      <c r="B86" s="25"/>
      <c r="C86" s="11">
        <v>26</v>
      </c>
      <c r="D86" s="30"/>
      <c r="E86" s="30"/>
      <c r="F86" s="4">
        <v>2</v>
      </c>
      <c r="G86" s="4">
        <v>1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5" t="s">
        <v>90</v>
      </c>
      <c r="S86" s="31"/>
    </row>
    <row r="87" spans="1:19" ht="14.25" customHeight="1" x14ac:dyDescent="0.25">
      <c r="A87" s="4" t="s">
        <v>99</v>
      </c>
      <c r="B87" s="25"/>
      <c r="C87" s="11">
        <v>26</v>
      </c>
      <c r="D87" s="30"/>
      <c r="E87" s="30"/>
      <c r="F87" s="4">
        <v>2</v>
      </c>
      <c r="G87" s="4">
        <v>1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5" t="s">
        <v>90</v>
      </c>
      <c r="S87" s="31"/>
    </row>
    <row r="88" spans="1:19" ht="14.25" customHeight="1" x14ac:dyDescent="0.25">
      <c r="A88" s="4" t="s">
        <v>100</v>
      </c>
      <c r="B88" s="25"/>
      <c r="C88" s="11">
        <v>26</v>
      </c>
      <c r="D88" s="15"/>
      <c r="E88" s="15"/>
      <c r="F88" s="4">
        <v>2</v>
      </c>
      <c r="G88" s="4">
        <v>1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5" t="s">
        <v>90</v>
      </c>
      <c r="S88" s="28"/>
    </row>
    <row r="89" spans="1:19" ht="14.25" customHeight="1" x14ac:dyDescent="0.25">
      <c r="A89" s="4" t="s">
        <v>101</v>
      </c>
      <c r="B89" s="25"/>
      <c r="C89" s="11">
        <v>26</v>
      </c>
      <c r="D89" s="15"/>
      <c r="E89" s="15"/>
      <c r="F89" s="4">
        <v>2</v>
      </c>
      <c r="G89" s="4">
        <v>1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5" t="s">
        <v>90</v>
      </c>
      <c r="S89" s="17"/>
    </row>
    <row r="90" spans="1:19" ht="14.25" customHeight="1" x14ac:dyDescent="0.25">
      <c r="A90" s="4" t="s">
        <v>102</v>
      </c>
      <c r="B90" s="26"/>
      <c r="C90" s="12">
        <v>26</v>
      </c>
      <c r="D90" s="15"/>
      <c r="E90" s="15"/>
      <c r="F90" s="4">
        <v>2</v>
      </c>
      <c r="G90" s="4">
        <v>1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5" t="s">
        <v>14</v>
      </c>
      <c r="S90" s="17"/>
    </row>
    <row r="91" spans="1:19" ht="14.25" customHeight="1" x14ac:dyDescent="0.25">
      <c r="A91" s="4" t="s">
        <v>103</v>
      </c>
      <c r="B91" s="21" t="s">
        <v>104</v>
      </c>
      <c r="C91" s="8">
        <v>27</v>
      </c>
      <c r="D91" s="15"/>
      <c r="E91" s="15"/>
      <c r="F91" s="4">
        <v>2</v>
      </c>
      <c r="G91" s="4">
        <v>1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5" t="s">
        <v>14</v>
      </c>
      <c r="S91" s="27"/>
    </row>
    <row r="92" spans="1:19" ht="14.25" customHeight="1" x14ac:dyDescent="0.25">
      <c r="A92" s="4" t="s">
        <v>105</v>
      </c>
      <c r="B92" s="22"/>
      <c r="C92" s="9">
        <v>27</v>
      </c>
      <c r="D92" s="16"/>
      <c r="E92" s="16"/>
      <c r="F92" s="4">
        <v>2</v>
      </c>
      <c r="G92" s="4">
        <v>1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5" t="s">
        <v>14</v>
      </c>
      <c r="S92" s="17"/>
    </row>
    <row r="93" spans="1:19" ht="14.25" customHeight="1" x14ac:dyDescent="0.25">
      <c r="A93" s="4" t="s">
        <v>106</v>
      </c>
      <c r="B93" s="22"/>
      <c r="C93" s="9">
        <v>27</v>
      </c>
      <c r="D93" s="16"/>
      <c r="E93" s="16"/>
      <c r="F93" s="4">
        <v>2</v>
      </c>
      <c r="G93" s="4">
        <v>1</v>
      </c>
      <c r="H93" s="4"/>
      <c r="I93" s="4">
        <v>1</v>
      </c>
      <c r="J93" s="4"/>
      <c r="K93" s="4"/>
      <c r="L93" s="4"/>
      <c r="M93" s="4"/>
      <c r="N93" s="4"/>
      <c r="O93" s="4"/>
      <c r="P93" s="4"/>
      <c r="Q93" s="4"/>
      <c r="R93" s="5" t="s">
        <v>14</v>
      </c>
      <c r="S93" s="17"/>
    </row>
    <row r="94" spans="1:19" ht="14.25" customHeight="1" x14ac:dyDescent="0.25">
      <c r="A94" s="4" t="s">
        <v>107</v>
      </c>
      <c r="B94" s="22"/>
      <c r="C94" s="9">
        <v>27</v>
      </c>
      <c r="D94" s="15"/>
      <c r="E94" s="15"/>
      <c r="F94" s="4">
        <v>2</v>
      </c>
      <c r="G94" s="4">
        <v>1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5" t="s">
        <v>90</v>
      </c>
      <c r="S94" s="28"/>
    </row>
    <row r="95" spans="1:19" ht="14.25" customHeight="1" x14ac:dyDescent="0.25">
      <c r="A95" s="4" t="s">
        <v>108</v>
      </c>
      <c r="B95" s="22"/>
      <c r="C95" s="9">
        <v>27</v>
      </c>
      <c r="D95" s="15"/>
      <c r="E95" s="15"/>
      <c r="F95" s="4">
        <v>2</v>
      </c>
      <c r="G95" s="4">
        <v>1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5" t="s">
        <v>90</v>
      </c>
      <c r="S95" s="28"/>
    </row>
    <row r="96" spans="1:19" ht="14.25" customHeight="1" x14ac:dyDescent="0.25">
      <c r="A96" s="4" t="s">
        <v>109</v>
      </c>
      <c r="B96" s="22"/>
      <c r="C96" s="9">
        <v>27</v>
      </c>
      <c r="D96" s="15"/>
      <c r="E96" s="15"/>
      <c r="F96" s="4">
        <v>2</v>
      </c>
      <c r="G96" s="4">
        <v>1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5" t="s">
        <v>90</v>
      </c>
      <c r="S96" s="28"/>
    </row>
    <row r="97" spans="1:19" ht="14.25" customHeight="1" x14ac:dyDescent="0.25">
      <c r="A97" s="4" t="s">
        <v>117</v>
      </c>
      <c r="B97" s="14" t="s">
        <v>110</v>
      </c>
      <c r="C97" s="8">
        <v>28</v>
      </c>
      <c r="D97" s="15"/>
      <c r="E97" s="15"/>
      <c r="F97" s="4">
        <v>2</v>
      </c>
      <c r="G97" s="4">
        <v>2</v>
      </c>
      <c r="H97" s="4"/>
      <c r="I97" s="4"/>
      <c r="J97" s="4"/>
      <c r="K97" s="4"/>
      <c r="L97" s="4"/>
      <c r="M97" s="4"/>
      <c r="N97" s="4">
        <v>1</v>
      </c>
      <c r="O97" s="4">
        <v>1</v>
      </c>
      <c r="P97" s="4"/>
      <c r="Q97" s="4"/>
      <c r="R97" s="5" t="s">
        <v>14</v>
      </c>
      <c r="S97" s="14"/>
    </row>
    <row r="98" spans="1:19" ht="14.25" customHeight="1" x14ac:dyDescent="0.25">
      <c r="A98" s="4" t="s">
        <v>119</v>
      </c>
      <c r="B98" s="14"/>
      <c r="C98" s="13">
        <v>28</v>
      </c>
      <c r="D98" s="16"/>
      <c r="E98" s="16"/>
      <c r="F98" s="4">
        <v>2</v>
      </c>
      <c r="G98" s="4">
        <v>2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5" t="s">
        <v>14</v>
      </c>
      <c r="S98" s="17"/>
    </row>
    <row r="99" spans="1:19" ht="14.25" customHeight="1" x14ac:dyDescent="0.25">
      <c r="A99" s="4" t="s">
        <v>120</v>
      </c>
      <c r="B99" s="14"/>
      <c r="C99" s="13">
        <v>28</v>
      </c>
      <c r="D99" s="16"/>
      <c r="E99" s="16"/>
      <c r="F99" s="4">
        <v>2</v>
      </c>
      <c r="G99" s="4">
        <v>2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5" t="s">
        <v>14</v>
      </c>
      <c r="S99" s="17"/>
    </row>
    <row r="100" spans="1:19" ht="14.25" customHeight="1" x14ac:dyDescent="0.25">
      <c r="A100" s="4" t="s">
        <v>122</v>
      </c>
      <c r="B100" s="14"/>
      <c r="C100" s="13">
        <v>28</v>
      </c>
      <c r="D100" s="16"/>
      <c r="E100" s="16"/>
      <c r="F100" s="4">
        <v>2</v>
      </c>
      <c r="G100" s="4">
        <v>2</v>
      </c>
      <c r="H100" s="4"/>
      <c r="I100" s="4"/>
      <c r="J100" s="4">
        <v>1</v>
      </c>
      <c r="K100" s="4"/>
      <c r="L100" s="4"/>
      <c r="M100" s="4"/>
      <c r="N100" s="4"/>
      <c r="O100" s="4"/>
      <c r="P100" s="4"/>
      <c r="Q100" s="4"/>
      <c r="R100" s="5" t="s">
        <v>14</v>
      </c>
      <c r="S100" s="17"/>
    </row>
    <row r="101" spans="1:19" ht="14.25" customHeight="1" x14ac:dyDescent="0.25">
      <c r="A101" s="4" t="s">
        <v>123</v>
      </c>
      <c r="B101" s="14"/>
      <c r="C101" s="13">
        <v>28</v>
      </c>
      <c r="D101" s="16"/>
      <c r="E101" s="16"/>
      <c r="F101" s="4">
        <v>2</v>
      </c>
      <c r="G101" s="4">
        <v>2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5" t="s">
        <v>14</v>
      </c>
      <c r="S101" s="17"/>
    </row>
    <row r="102" spans="1:19" ht="15" customHeight="1" x14ac:dyDescent="0.25">
      <c r="A102" s="4" t="s">
        <v>124</v>
      </c>
      <c r="B102" s="14"/>
      <c r="C102" s="13">
        <v>28</v>
      </c>
      <c r="D102" s="16"/>
      <c r="E102" s="16"/>
      <c r="F102" s="4">
        <v>2</v>
      </c>
      <c r="G102" s="4">
        <v>2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5" t="s">
        <v>14</v>
      </c>
      <c r="S102" s="17"/>
    </row>
    <row r="103" spans="1:19" ht="14.25" customHeight="1" x14ac:dyDescent="0.25">
      <c r="A103" s="6" t="s">
        <v>111</v>
      </c>
      <c r="B103" s="6"/>
      <c r="C103" s="6"/>
      <c r="D103" s="6"/>
      <c r="E103" s="6"/>
      <c r="F103" s="6">
        <f>SUM(F3:F102)</f>
        <v>200</v>
      </c>
      <c r="G103" s="6">
        <f>SUM(G3:G102)</f>
        <v>122</v>
      </c>
      <c r="H103" s="6"/>
      <c r="I103" s="6">
        <f t="shared" ref="I103:O103" si="0">SUM(I3:I102)</f>
        <v>8</v>
      </c>
      <c r="J103" s="6">
        <f t="shared" si="0"/>
        <v>12</v>
      </c>
      <c r="K103" s="6">
        <f t="shared" si="0"/>
        <v>6</v>
      </c>
      <c r="L103" s="6">
        <f t="shared" si="0"/>
        <v>0</v>
      </c>
      <c r="M103" s="6">
        <f t="shared" si="0"/>
        <v>1</v>
      </c>
      <c r="N103" s="6">
        <f t="shared" si="0"/>
        <v>10</v>
      </c>
      <c r="O103" s="6">
        <f t="shared" si="0"/>
        <v>6</v>
      </c>
      <c r="P103" s="6">
        <f>SUM(P18:P102)</f>
        <v>0</v>
      </c>
      <c r="Q103" s="6"/>
      <c r="R103" s="6"/>
      <c r="S103" s="6"/>
    </row>
    <row r="104" spans="1:19" ht="14.25" customHeight="1" x14ac:dyDescent="0.25">
      <c r="F104" s="2">
        <f t="shared" ref="F104:G104" si="1">F103</f>
        <v>200</v>
      </c>
      <c r="G104" s="2">
        <f t="shared" si="1"/>
        <v>122</v>
      </c>
      <c r="I104" s="2">
        <f>I103+M103</f>
        <v>9</v>
      </c>
      <c r="J104" s="2">
        <f>J103+N103</f>
        <v>22</v>
      </c>
      <c r="K104" s="2">
        <f>K103+O103</f>
        <v>12</v>
      </c>
      <c r="M104" s="2">
        <f>M103+Q103</f>
        <v>1</v>
      </c>
      <c r="O104" s="2" t="s">
        <v>14</v>
      </c>
      <c r="R104" s="2">
        <f>COUNTIF($R$18:$R$102,O104)</f>
        <v>71</v>
      </c>
    </row>
    <row r="105" spans="1:19" ht="14.25" customHeight="1" x14ac:dyDescent="0.25">
      <c r="F105" s="7">
        <f>J104/F104</f>
        <v>0.11</v>
      </c>
      <c r="G105" s="7">
        <f>K104/G104</f>
        <v>9.8360655737704916E-2</v>
      </c>
      <c r="H105" s="7"/>
      <c r="I105" s="7">
        <f>M104/I104</f>
        <v>0.1111111111111111</v>
      </c>
      <c r="O105" s="2" t="s">
        <v>90</v>
      </c>
      <c r="R105" s="2">
        <f>COUNTIF($R$18:$R$102,O105)</f>
        <v>14</v>
      </c>
    </row>
    <row r="106" spans="1:19" ht="14.25" customHeight="1" x14ac:dyDescent="0.25">
      <c r="R106" s="2">
        <f>R104+R105</f>
        <v>85</v>
      </c>
    </row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</sheetData>
  <autoFilter ref="A1:S106" xr:uid="{6CE657AA-FB2C-42FD-B6BA-8B5235ABDB9E}">
    <filterColumn colId="9" showButton="0"/>
    <filterColumn colId="10" showButton="0"/>
    <filterColumn colId="11" showButton="0"/>
    <filterColumn colId="13" showButton="0"/>
    <filterColumn colId="14" showButton="0"/>
    <filterColumn colId="15" showButton="0"/>
  </autoFilter>
  <mergeCells count="102">
    <mergeCell ref="R1:R2"/>
    <mergeCell ref="S1:S2"/>
    <mergeCell ref="D3:D6"/>
    <mergeCell ref="E3:E6"/>
    <mergeCell ref="S3:S6"/>
    <mergeCell ref="D7:D10"/>
    <mergeCell ref="E7:E10"/>
    <mergeCell ref="S7:S10"/>
    <mergeCell ref="A1:A2"/>
    <mergeCell ref="B1:B2"/>
    <mergeCell ref="D1:D2"/>
    <mergeCell ref="E1:E2"/>
    <mergeCell ref="J1:M1"/>
    <mergeCell ref="N1:Q1"/>
    <mergeCell ref="C1:C2"/>
    <mergeCell ref="B18:B21"/>
    <mergeCell ref="D18:D21"/>
    <mergeCell ref="E18:E21"/>
    <mergeCell ref="S18:S21"/>
    <mergeCell ref="B22:B25"/>
    <mergeCell ref="D22:D25"/>
    <mergeCell ref="E22:E25"/>
    <mergeCell ref="S22:S25"/>
    <mergeCell ref="D11:D14"/>
    <mergeCell ref="E11:E14"/>
    <mergeCell ref="S11:S14"/>
    <mergeCell ref="D15:D17"/>
    <mergeCell ref="E15:E17"/>
    <mergeCell ref="S15:S17"/>
    <mergeCell ref="S34:S37"/>
    <mergeCell ref="D38:D42"/>
    <mergeCell ref="E38:E42"/>
    <mergeCell ref="S38:S42"/>
    <mergeCell ref="D43:D47"/>
    <mergeCell ref="E43:E47"/>
    <mergeCell ref="S43:S47"/>
    <mergeCell ref="B26:B29"/>
    <mergeCell ref="D26:D29"/>
    <mergeCell ref="E26:E29"/>
    <mergeCell ref="S26:S29"/>
    <mergeCell ref="B30:B37"/>
    <mergeCell ref="D30:D33"/>
    <mergeCell ref="E30:E33"/>
    <mergeCell ref="S30:S33"/>
    <mergeCell ref="D34:D37"/>
    <mergeCell ref="E34:E37"/>
    <mergeCell ref="B57:B60"/>
    <mergeCell ref="D57:D60"/>
    <mergeCell ref="E57:E60"/>
    <mergeCell ref="S57:S60"/>
    <mergeCell ref="B61:B65"/>
    <mergeCell ref="D61:D65"/>
    <mergeCell ref="E61:E65"/>
    <mergeCell ref="S61:S65"/>
    <mergeCell ref="B48:B52"/>
    <mergeCell ref="D48:D52"/>
    <mergeCell ref="E48:E52"/>
    <mergeCell ref="S48:S52"/>
    <mergeCell ref="B53:B56"/>
    <mergeCell ref="D53:D56"/>
    <mergeCell ref="E53:E56"/>
    <mergeCell ref="S53:S56"/>
    <mergeCell ref="E75:E78"/>
    <mergeCell ref="S75:S78"/>
    <mergeCell ref="B79:B84"/>
    <mergeCell ref="D79:D82"/>
    <mergeCell ref="E79:E82"/>
    <mergeCell ref="S79:S82"/>
    <mergeCell ref="D83:D84"/>
    <mergeCell ref="E83:E84"/>
    <mergeCell ref="B66:B70"/>
    <mergeCell ref="D66:D70"/>
    <mergeCell ref="E66:E70"/>
    <mergeCell ref="S66:S70"/>
    <mergeCell ref="B71:B74"/>
    <mergeCell ref="D71:D74"/>
    <mergeCell ref="E71:E74"/>
    <mergeCell ref="S71:S74"/>
    <mergeCell ref="B97:B102"/>
    <mergeCell ref="D97:D102"/>
    <mergeCell ref="E97:E102"/>
    <mergeCell ref="S97:S102"/>
    <mergeCell ref="B3:B10"/>
    <mergeCell ref="B38:B47"/>
    <mergeCell ref="B85:B90"/>
    <mergeCell ref="B11:B17"/>
    <mergeCell ref="B91:B96"/>
    <mergeCell ref="D91:D93"/>
    <mergeCell ref="E91:E93"/>
    <mergeCell ref="S91:S93"/>
    <mergeCell ref="D94:D96"/>
    <mergeCell ref="E94:E96"/>
    <mergeCell ref="S94:S96"/>
    <mergeCell ref="S83:S84"/>
    <mergeCell ref="D85:D87"/>
    <mergeCell ref="E85:E87"/>
    <mergeCell ref="S85:S87"/>
    <mergeCell ref="D88:D90"/>
    <mergeCell ref="E88:E90"/>
    <mergeCell ref="S88:S90"/>
    <mergeCell ref="B75:B78"/>
    <mergeCell ref="D75:D78"/>
  </mergeCells>
  <phoneticPr fontId="7" type="noConversion"/>
  <conditionalFormatting sqref="R3:R115">
    <cfRule type="containsText" dxfId="0" priority="1" operator="containsText" text="CS3">
      <formula>NOT(ISERROR(SEARCH(("CS3"),(R3))))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B87F-781C-4E45-B9D8-6C0362F7D8BF}">
  <dimension ref="A1:G173"/>
  <sheetViews>
    <sheetView workbookViewId="0">
      <selection activeCell="G173" sqref="F1:G173"/>
    </sheetView>
  </sheetViews>
  <sheetFormatPr defaultRowHeight="14.25" x14ac:dyDescent="0.2"/>
  <cols>
    <col min="1" max="1" width="12.625" customWidth="1"/>
  </cols>
  <sheetData>
    <row r="1" spans="1:7" x14ac:dyDescent="0.2">
      <c r="A1" t="s">
        <v>112</v>
      </c>
      <c r="B1" t="s">
        <v>113</v>
      </c>
      <c r="C1" t="s">
        <v>114</v>
      </c>
      <c r="D1" t="s">
        <v>131</v>
      </c>
      <c r="E1" t="s">
        <v>132</v>
      </c>
      <c r="F1" t="s">
        <v>115</v>
      </c>
      <c r="G1" t="s">
        <v>116</v>
      </c>
    </row>
    <row r="2" spans="1:7" x14ac:dyDescent="0.2">
      <c r="A2" t="s">
        <v>117</v>
      </c>
      <c r="B2" t="s">
        <v>118</v>
      </c>
      <c r="C2">
        <v>1</v>
      </c>
      <c r="D2">
        <f t="array" ref="D2">IF(AND(INDEX('Thang 05-2026'!$A$3:$Q$102,MATCH(1,($A2='Thang 05-2026'!$A$3:$A$102)*($G2='Thang 05-2026'!$C$3:$C$102),0),11)=1,$B2="Triều Xuống"),1,IF(AND(INDEX('Thang 05-2026'!$A$3:$Q$102,MATCH(1,($A2='Thang 05-2026'!$A$3:$A$102)*($G2='Thang 05-2026'!$C$3:$C$102),0),10)=1,$B2="Triều Lên",INDEX('Thang 05-2026'!$A$3:$Q$102,MATCH(1,($A2='Thang 05-2026'!$A$3:$A$102)*($G2='Thang 05-2026'!$C$3:$C$102),0),11)=0),1,0))</f>
        <v>0</v>
      </c>
      <c r="E2">
        <f t="array" ref="E2">IF(AND(INDEX('Thang 05-2026'!$A$3:$Q$102,MATCH(1,($A2='Thang 05-2026'!$A$3:$A$102)*($G2='Thang 05-2026'!$C$3:$C$102),0),15)=1,$B2="Triều Xuống"),1,IF(AND(INDEX('Thang 05-2026'!$A$3:$Q$102,MATCH(1,($A2='Thang 05-2026'!$A$3:$A$102)*($G2='Thang 05-2026'!$C$3:$C$102),0),14)=1,$B2="Triều Lên",INDEX('Thang 05-2026'!$A$3:$Q$102,MATCH(1,($A2='Thang 05-2026'!$A$3:$A$102)*($G2='Thang 05-2026'!$C$3:$C$102),0),15)=0),1,0))</f>
        <v>0</v>
      </c>
      <c r="F2">
        <f>D2+E2</f>
        <v>0</v>
      </c>
      <c r="G2">
        <f>INDEX('Thang 05-2026'!$A$3:$C$102,MATCH(A2,'Thang 05-2026'!$A$3:$A$102,0),3)</f>
        <v>4</v>
      </c>
    </row>
    <row r="3" spans="1:7" x14ac:dyDescent="0.2">
      <c r="A3" t="s">
        <v>119</v>
      </c>
      <c r="B3" t="s">
        <v>118</v>
      </c>
      <c r="C3">
        <v>1</v>
      </c>
      <c r="D3">
        <f t="array" ref="D3">IF(AND(INDEX('Thang 05-2026'!$A$3:$Q$102,MATCH(1,($A3='Thang 05-2026'!$A$3:$A$102)*($G3='Thang 05-2026'!$C$3:$C$102),0),11)=1,$B3="Triều Xuống"),1,IF(AND(INDEX('Thang 05-2026'!$A$3:$Q$102,MATCH(1,($A3='Thang 05-2026'!$A$3:$A$102)*($G3='Thang 05-2026'!$C$3:$C$102),0),10)=1,$B3="Triều Lên",INDEX('Thang 05-2026'!$A$3:$Q$102,MATCH(1,($A3='Thang 05-2026'!$A$3:$A$102)*($G3='Thang 05-2026'!$C$3:$C$102),0),11)=0),1,0))</f>
        <v>0</v>
      </c>
      <c r="E3">
        <f t="array" ref="E3">IF(AND(INDEX('Thang 05-2026'!$A$3:$Q$102,MATCH(1,($A3='Thang 05-2026'!$A$3:$A$102)*($G3='Thang 05-2026'!$C$3:$C$102),0),15)=1,$B3="Triều Xuống"),1,IF(AND(INDEX('Thang 05-2026'!$A$3:$Q$102,MATCH(1,($A3='Thang 05-2026'!$A$3:$A$102)*($G3='Thang 05-2026'!$C$3:$C$102),0),14)=1,$B3="Triều Lên",INDEX('Thang 05-2026'!$A$3:$Q$102,MATCH(1,($A3='Thang 05-2026'!$A$3:$A$102)*($G3='Thang 05-2026'!$C$3:$C$102),0),15)=0),1,0))</f>
        <v>0</v>
      </c>
      <c r="F3">
        <f t="shared" ref="F3:F66" si="0">D3+E3</f>
        <v>0</v>
      </c>
      <c r="G3">
        <f>INDEX('Thang 05-2026'!$A$3:$C$102,MATCH(A3,'Thang 05-2026'!$A$3:$A$102,0),3)</f>
        <v>4</v>
      </c>
    </row>
    <row r="4" spans="1:7" x14ac:dyDescent="0.2">
      <c r="A4" t="s">
        <v>15</v>
      </c>
      <c r="B4" t="s">
        <v>118</v>
      </c>
      <c r="C4">
        <v>1</v>
      </c>
      <c r="D4">
        <f t="array" ref="D4">IF(AND(INDEX('Thang 05-2026'!$A$3:$Q$102,MATCH(1,($A4='Thang 05-2026'!$A$3:$A$102)*($G4='Thang 05-2026'!$C$3:$C$102),0),11)=1,$B4="Triều Xuống"),1,IF(AND(INDEX('Thang 05-2026'!$A$3:$Q$102,MATCH(1,($A4='Thang 05-2026'!$A$3:$A$102)*($G4='Thang 05-2026'!$C$3:$C$102),0),10)=1,$B4="Triều Lên",INDEX('Thang 05-2026'!$A$3:$Q$102,MATCH(1,($A4='Thang 05-2026'!$A$3:$A$102)*($G4='Thang 05-2026'!$C$3:$C$102),0),11)=0),1,0))</f>
        <v>0</v>
      </c>
      <c r="E4">
        <f t="array" ref="E4">IF(AND(INDEX('Thang 05-2026'!$A$3:$Q$102,MATCH(1,($A4='Thang 05-2026'!$A$3:$A$102)*($G4='Thang 05-2026'!$C$3:$C$102),0),15)=1,$B4="Triều Xuống"),1,IF(AND(INDEX('Thang 05-2026'!$A$3:$Q$102,MATCH(1,($A4='Thang 05-2026'!$A$3:$A$102)*($G4='Thang 05-2026'!$C$3:$C$102),0),14)=1,$B4="Triều Lên",INDEX('Thang 05-2026'!$A$3:$Q$102,MATCH(1,($A4='Thang 05-2026'!$A$3:$A$102)*($G4='Thang 05-2026'!$C$3:$C$102),0),15)=0),1,0))</f>
        <v>0</v>
      </c>
      <c r="F4">
        <f t="shared" si="0"/>
        <v>0</v>
      </c>
      <c r="G4">
        <f>INDEX('Thang 05-2026'!$A$3:$C$102,MATCH(A4,'Thang 05-2026'!$A$3:$A$102,0),3)</f>
        <v>4</v>
      </c>
    </row>
    <row r="5" spans="1:7" x14ac:dyDescent="0.2">
      <c r="A5" t="s">
        <v>120</v>
      </c>
      <c r="B5" t="s">
        <v>118</v>
      </c>
      <c r="C5">
        <v>1</v>
      </c>
      <c r="D5">
        <f t="array" ref="D5">IF(AND(INDEX('Thang 05-2026'!$A$3:$Q$102,MATCH(1,($A5='Thang 05-2026'!$A$3:$A$102)*($G5='Thang 05-2026'!$C$3:$C$102),0),11)=1,$B5="Triều Xuống"),1,IF(AND(INDEX('Thang 05-2026'!$A$3:$Q$102,MATCH(1,($A5='Thang 05-2026'!$A$3:$A$102)*($G5='Thang 05-2026'!$C$3:$C$102),0),10)=1,$B5="Triều Lên",INDEX('Thang 05-2026'!$A$3:$Q$102,MATCH(1,($A5='Thang 05-2026'!$A$3:$A$102)*($G5='Thang 05-2026'!$C$3:$C$102),0),11)=0),1,0))</f>
        <v>0</v>
      </c>
      <c r="E5">
        <f t="array" ref="E5">IF(AND(INDEX('Thang 05-2026'!$A$3:$Q$102,MATCH(1,($A5='Thang 05-2026'!$A$3:$A$102)*($G5='Thang 05-2026'!$C$3:$C$102),0),15)=1,$B5="Triều Xuống"),1,IF(AND(INDEX('Thang 05-2026'!$A$3:$Q$102,MATCH(1,($A5='Thang 05-2026'!$A$3:$A$102)*($G5='Thang 05-2026'!$C$3:$C$102),0),14)=1,$B5="Triều Lên",INDEX('Thang 05-2026'!$A$3:$Q$102,MATCH(1,($A5='Thang 05-2026'!$A$3:$A$102)*($G5='Thang 05-2026'!$C$3:$C$102),0),15)=0),1,0))</f>
        <v>0</v>
      </c>
      <c r="F5">
        <f t="shared" si="0"/>
        <v>0</v>
      </c>
      <c r="G5">
        <f>INDEX('Thang 05-2026'!$A$3:$C$102,MATCH(A5,'Thang 05-2026'!$A$3:$A$102,0),3)</f>
        <v>4</v>
      </c>
    </row>
    <row r="6" spans="1:7" x14ac:dyDescent="0.2">
      <c r="A6" t="s">
        <v>117</v>
      </c>
      <c r="B6" t="s">
        <v>121</v>
      </c>
      <c r="C6">
        <v>1</v>
      </c>
      <c r="D6">
        <f t="array" ref="D6">IF(AND(INDEX('Thang 05-2026'!$A$3:$Q$102,MATCH(1,($A6='Thang 05-2026'!$A$3:$A$102)*($G6='Thang 05-2026'!$C$3:$C$102),0),11)=1,$B6="Triều Xuống"),1,IF(AND(INDEX('Thang 05-2026'!$A$3:$Q$102,MATCH(1,($A6='Thang 05-2026'!$A$3:$A$102)*($G6='Thang 05-2026'!$C$3:$C$102),0),10)=1,$B6="Triều Lên",INDEX('Thang 05-2026'!$A$3:$Q$102,MATCH(1,($A6='Thang 05-2026'!$A$3:$A$102)*($G6='Thang 05-2026'!$C$3:$C$102),0),11)=0),1,0))</f>
        <v>0</v>
      </c>
      <c r="E6">
        <f t="array" ref="E6">IF(AND(INDEX('Thang 05-2026'!$A$3:$Q$102,MATCH(1,($A6='Thang 05-2026'!$A$3:$A$102)*($G6='Thang 05-2026'!$C$3:$C$102),0),15)=1,$B6="Triều Xuống"),1,IF(AND(INDEX('Thang 05-2026'!$A$3:$Q$102,MATCH(1,($A6='Thang 05-2026'!$A$3:$A$102)*($G6='Thang 05-2026'!$C$3:$C$102),0),14)=1,$B6="Triều Lên",INDEX('Thang 05-2026'!$A$3:$Q$102,MATCH(1,($A6='Thang 05-2026'!$A$3:$A$102)*($G6='Thang 05-2026'!$C$3:$C$102),0),15)=0),1,0))</f>
        <v>0</v>
      </c>
      <c r="F6">
        <f t="shared" si="0"/>
        <v>0</v>
      </c>
      <c r="G6">
        <f>INDEX('Thang 05-2026'!$A$3:$C$102,MATCH(A6,'Thang 05-2026'!$A$3:$A$102,0),3)</f>
        <v>4</v>
      </c>
    </row>
    <row r="7" spans="1:7" x14ac:dyDescent="0.2">
      <c r="A7" t="s">
        <v>119</v>
      </c>
      <c r="B7" t="s">
        <v>121</v>
      </c>
      <c r="C7">
        <v>1</v>
      </c>
      <c r="D7">
        <f t="array" ref="D7">IF(AND(INDEX('Thang 05-2026'!$A$3:$Q$102,MATCH(1,($A7='Thang 05-2026'!$A$3:$A$102)*($G7='Thang 05-2026'!$C$3:$C$102),0),11)=1,$B7="Triều Xuống"),1,IF(AND(INDEX('Thang 05-2026'!$A$3:$Q$102,MATCH(1,($A7='Thang 05-2026'!$A$3:$A$102)*($G7='Thang 05-2026'!$C$3:$C$102),0),10)=1,$B7="Triều Lên",INDEX('Thang 05-2026'!$A$3:$Q$102,MATCH(1,($A7='Thang 05-2026'!$A$3:$A$102)*($G7='Thang 05-2026'!$C$3:$C$102),0),11)=0),1,0))</f>
        <v>0</v>
      </c>
      <c r="E7">
        <f t="array" ref="E7">IF(AND(INDEX('Thang 05-2026'!$A$3:$Q$102,MATCH(1,($A7='Thang 05-2026'!$A$3:$A$102)*($G7='Thang 05-2026'!$C$3:$C$102),0),15)=1,$B7="Triều Xuống"),1,IF(AND(INDEX('Thang 05-2026'!$A$3:$Q$102,MATCH(1,($A7='Thang 05-2026'!$A$3:$A$102)*($G7='Thang 05-2026'!$C$3:$C$102),0),14)=1,$B7="Triều Lên",INDEX('Thang 05-2026'!$A$3:$Q$102,MATCH(1,($A7='Thang 05-2026'!$A$3:$A$102)*($G7='Thang 05-2026'!$C$3:$C$102),0),15)=0),1,0))</f>
        <v>0</v>
      </c>
      <c r="F7">
        <f t="shared" si="0"/>
        <v>0</v>
      </c>
      <c r="G7">
        <f>INDEX('Thang 05-2026'!$A$3:$C$102,MATCH(A7,'Thang 05-2026'!$A$3:$A$102,0),3)</f>
        <v>4</v>
      </c>
    </row>
    <row r="8" spans="1:7" x14ac:dyDescent="0.2">
      <c r="A8" t="s">
        <v>15</v>
      </c>
      <c r="B8" t="s">
        <v>121</v>
      </c>
      <c r="C8">
        <v>1</v>
      </c>
      <c r="D8">
        <f t="array" ref="D8">IF(AND(INDEX('Thang 05-2026'!$A$3:$Q$102,MATCH(1,($A8='Thang 05-2026'!$A$3:$A$102)*($G8='Thang 05-2026'!$C$3:$C$102),0),11)=1,$B8="Triều Xuống"),1,IF(AND(INDEX('Thang 05-2026'!$A$3:$Q$102,MATCH(1,($A8='Thang 05-2026'!$A$3:$A$102)*($G8='Thang 05-2026'!$C$3:$C$102),0),10)=1,$B8="Triều Lên",INDEX('Thang 05-2026'!$A$3:$Q$102,MATCH(1,($A8='Thang 05-2026'!$A$3:$A$102)*($G8='Thang 05-2026'!$C$3:$C$102),0),11)=0),1,0))</f>
        <v>0</v>
      </c>
      <c r="E8">
        <f t="array" ref="E8">IF(AND(INDEX('Thang 05-2026'!$A$3:$Q$102,MATCH(1,($A8='Thang 05-2026'!$A$3:$A$102)*($G8='Thang 05-2026'!$C$3:$C$102),0),15)=1,$B8="Triều Xuống"),1,IF(AND(INDEX('Thang 05-2026'!$A$3:$Q$102,MATCH(1,($A8='Thang 05-2026'!$A$3:$A$102)*($G8='Thang 05-2026'!$C$3:$C$102),0),14)=1,$B8="Triều Lên",INDEX('Thang 05-2026'!$A$3:$Q$102,MATCH(1,($A8='Thang 05-2026'!$A$3:$A$102)*($G8='Thang 05-2026'!$C$3:$C$102),0),15)=0),1,0))</f>
        <v>1</v>
      </c>
      <c r="F8">
        <f t="shared" si="0"/>
        <v>1</v>
      </c>
      <c r="G8">
        <f>INDEX('Thang 05-2026'!$A$3:$C$102,MATCH(A8,'Thang 05-2026'!$A$3:$A$102,0),3)</f>
        <v>4</v>
      </c>
    </row>
    <row r="9" spans="1:7" x14ac:dyDescent="0.2">
      <c r="A9" t="s">
        <v>120</v>
      </c>
      <c r="B9" t="s">
        <v>121</v>
      </c>
      <c r="C9">
        <v>1</v>
      </c>
      <c r="D9">
        <f t="array" ref="D9">IF(AND(INDEX('Thang 05-2026'!$A$3:$Q$102,MATCH(1,($A9='Thang 05-2026'!$A$3:$A$102)*($G9='Thang 05-2026'!$C$3:$C$102),0),11)=1,$B9="Triều Xuống"),1,IF(AND(INDEX('Thang 05-2026'!$A$3:$Q$102,MATCH(1,($A9='Thang 05-2026'!$A$3:$A$102)*($G9='Thang 05-2026'!$C$3:$C$102),0),10)=1,$B9="Triều Lên",INDEX('Thang 05-2026'!$A$3:$Q$102,MATCH(1,($A9='Thang 05-2026'!$A$3:$A$102)*($G9='Thang 05-2026'!$C$3:$C$102),0),11)=0),1,0))</f>
        <v>0</v>
      </c>
      <c r="E9">
        <f t="array" ref="E9">IF(AND(INDEX('Thang 05-2026'!$A$3:$Q$102,MATCH(1,($A9='Thang 05-2026'!$A$3:$A$102)*($G9='Thang 05-2026'!$C$3:$C$102),0),15)=1,$B9="Triều Xuống"),1,IF(AND(INDEX('Thang 05-2026'!$A$3:$Q$102,MATCH(1,($A9='Thang 05-2026'!$A$3:$A$102)*($G9='Thang 05-2026'!$C$3:$C$102),0),14)=1,$B9="Triều Lên",INDEX('Thang 05-2026'!$A$3:$Q$102,MATCH(1,($A9='Thang 05-2026'!$A$3:$A$102)*($G9='Thang 05-2026'!$C$3:$C$102),0),15)=0),1,0))</f>
        <v>0</v>
      </c>
      <c r="F9">
        <f t="shared" si="0"/>
        <v>0</v>
      </c>
      <c r="G9">
        <f>INDEX('Thang 05-2026'!$A$3:$C$102,MATCH(A9,'Thang 05-2026'!$A$3:$A$102,0),3)</f>
        <v>4</v>
      </c>
    </row>
    <row r="10" spans="1:7" x14ac:dyDescent="0.2">
      <c r="A10" t="s">
        <v>122</v>
      </c>
      <c r="B10" t="s">
        <v>118</v>
      </c>
      <c r="C10">
        <v>1</v>
      </c>
      <c r="D10">
        <f t="array" ref="D10">IF(AND(INDEX('Thang 05-2026'!$A$3:$Q$102,MATCH(1,($A10='Thang 05-2026'!$A$3:$A$102)*($G10='Thang 05-2026'!$C$3:$C$102),0),11)=1,$B10="Triều Xuống"),1,IF(AND(INDEX('Thang 05-2026'!$A$3:$Q$102,MATCH(1,($A10='Thang 05-2026'!$A$3:$A$102)*($G10='Thang 05-2026'!$C$3:$C$102),0),10)=1,$B10="Triều Lên",INDEX('Thang 05-2026'!$A$3:$Q$102,MATCH(1,($A10='Thang 05-2026'!$A$3:$A$102)*($G10='Thang 05-2026'!$C$3:$C$102),0),11)=0),1,0))</f>
        <v>1</v>
      </c>
      <c r="E10">
        <f t="array" ref="E10">IF(AND(INDEX('Thang 05-2026'!$A$3:$Q$102,MATCH(1,($A10='Thang 05-2026'!$A$3:$A$102)*($G10='Thang 05-2026'!$C$3:$C$102),0),15)=1,$B10="Triều Xuống"),1,IF(AND(INDEX('Thang 05-2026'!$A$3:$Q$102,MATCH(1,($A10='Thang 05-2026'!$A$3:$A$102)*($G10='Thang 05-2026'!$C$3:$C$102),0),14)=1,$B10="Triều Lên",INDEX('Thang 05-2026'!$A$3:$Q$102,MATCH(1,($A10='Thang 05-2026'!$A$3:$A$102)*($G10='Thang 05-2026'!$C$3:$C$102),0),15)=0),1,0))</f>
        <v>0</v>
      </c>
      <c r="F10">
        <f t="shared" si="0"/>
        <v>1</v>
      </c>
      <c r="G10">
        <f>INDEX('Thang 05-2026'!$A$3:$C$102,MATCH(A10,'Thang 05-2026'!$A$3:$A$102,0),3)</f>
        <v>4</v>
      </c>
    </row>
    <row r="11" spans="1:7" x14ac:dyDescent="0.2">
      <c r="A11" t="s">
        <v>123</v>
      </c>
      <c r="B11" t="s">
        <v>118</v>
      </c>
      <c r="C11">
        <v>1</v>
      </c>
      <c r="D11">
        <f t="array" ref="D11">IF(AND(INDEX('Thang 05-2026'!$A$3:$Q$102,MATCH(1,($A11='Thang 05-2026'!$A$3:$A$102)*($G11='Thang 05-2026'!$C$3:$C$102),0),11)=1,$B11="Triều Xuống"),1,IF(AND(INDEX('Thang 05-2026'!$A$3:$Q$102,MATCH(1,($A11='Thang 05-2026'!$A$3:$A$102)*($G11='Thang 05-2026'!$C$3:$C$102),0),10)=1,$B11="Triều Lên",INDEX('Thang 05-2026'!$A$3:$Q$102,MATCH(1,($A11='Thang 05-2026'!$A$3:$A$102)*($G11='Thang 05-2026'!$C$3:$C$102),0),11)=0),1,0))</f>
        <v>0</v>
      </c>
      <c r="E11">
        <f t="array" ref="E11">IF(AND(INDEX('Thang 05-2026'!$A$3:$Q$102,MATCH(1,($A11='Thang 05-2026'!$A$3:$A$102)*($G11='Thang 05-2026'!$C$3:$C$102),0),15)=1,$B11="Triều Xuống"),1,IF(AND(INDEX('Thang 05-2026'!$A$3:$Q$102,MATCH(1,($A11='Thang 05-2026'!$A$3:$A$102)*($G11='Thang 05-2026'!$C$3:$C$102),0),14)=1,$B11="Triều Lên",INDEX('Thang 05-2026'!$A$3:$Q$102,MATCH(1,($A11='Thang 05-2026'!$A$3:$A$102)*($G11='Thang 05-2026'!$C$3:$C$102),0),15)=0),1,0))</f>
        <v>0</v>
      </c>
      <c r="F11">
        <f t="shared" si="0"/>
        <v>0</v>
      </c>
      <c r="G11">
        <f>INDEX('Thang 05-2026'!$A$3:$C$102,MATCH(A11,'Thang 05-2026'!$A$3:$A$102,0),3)</f>
        <v>4</v>
      </c>
    </row>
    <row r="12" spans="1:7" x14ac:dyDescent="0.2">
      <c r="A12" t="s">
        <v>124</v>
      </c>
      <c r="B12" t="s">
        <v>118</v>
      </c>
      <c r="C12">
        <v>1</v>
      </c>
      <c r="D12">
        <f t="array" ref="D12">IF(AND(INDEX('Thang 05-2026'!$A$3:$Q$102,MATCH(1,($A12='Thang 05-2026'!$A$3:$A$102)*($G12='Thang 05-2026'!$C$3:$C$102),0),11)=1,$B12="Triều Xuống"),1,IF(AND(INDEX('Thang 05-2026'!$A$3:$Q$102,MATCH(1,($A12='Thang 05-2026'!$A$3:$A$102)*($G12='Thang 05-2026'!$C$3:$C$102),0),10)=1,$B12="Triều Lên",INDEX('Thang 05-2026'!$A$3:$Q$102,MATCH(1,($A12='Thang 05-2026'!$A$3:$A$102)*($G12='Thang 05-2026'!$C$3:$C$102),0),11)=0),1,0))</f>
        <v>0</v>
      </c>
      <c r="E12">
        <f t="array" ref="E12">IF(AND(INDEX('Thang 05-2026'!$A$3:$Q$102,MATCH(1,($A12='Thang 05-2026'!$A$3:$A$102)*($G12='Thang 05-2026'!$C$3:$C$102),0),15)=1,$B12="Triều Xuống"),1,IF(AND(INDEX('Thang 05-2026'!$A$3:$Q$102,MATCH(1,($A12='Thang 05-2026'!$A$3:$A$102)*($G12='Thang 05-2026'!$C$3:$C$102),0),14)=1,$B12="Triều Lên",INDEX('Thang 05-2026'!$A$3:$Q$102,MATCH(1,($A12='Thang 05-2026'!$A$3:$A$102)*($G12='Thang 05-2026'!$C$3:$C$102),0),15)=0),1,0))</f>
        <v>0</v>
      </c>
      <c r="F12">
        <f t="shared" si="0"/>
        <v>0</v>
      </c>
      <c r="G12">
        <f>INDEX('Thang 05-2026'!$A$3:$C$102,MATCH(A12,'Thang 05-2026'!$A$3:$A$102,0),3)</f>
        <v>4</v>
      </c>
    </row>
    <row r="13" spans="1:7" x14ac:dyDescent="0.2">
      <c r="A13" t="s">
        <v>16</v>
      </c>
      <c r="B13" t="s">
        <v>118</v>
      </c>
      <c r="C13">
        <v>1</v>
      </c>
      <c r="D13">
        <f t="array" ref="D13">IF(AND(INDEX('Thang 05-2026'!$A$3:$Q$102,MATCH(1,($A13='Thang 05-2026'!$A$3:$A$102)*($G13='Thang 05-2026'!$C$3:$C$102),0),11)=1,$B13="Triều Xuống"),1,IF(AND(INDEX('Thang 05-2026'!$A$3:$Q$102,MATCH(1,($A13='Thang 05-2026'!$A$3:$A$102)*($G13='Thang 05-2026'!$C$3:$C$102),0),10)=1,$B13="Triều Lên",INDEX('Thang 05-2026'!$A$3:$Q$102,MATCH(1,($A13='Thang 05-2026'!$A$3:$A$102)*($G13='Thang 05-2026'!$C$3:$C$102),0),11)=0),1,0))</f>
        <v>0</v>
      </c>
      <c r="E13">
        <f t="array" ref="E13">IF(AND(INDEX('Thang 05-2026'!$A$3:$Q$102,MATCH(1,($A13='Thang 05-2026'!$A$3:$A$102)*($G13='Thang 05-2026'!$C$3:$C$102),0),15)=1,$B13="Triều Xuống"),1,IF(AND(INDEX('Thang 05-2026'!$A$3:$Q$102,MATCH(1,($A13='Thang 05-2026'!$A$3:$A$102)*($G13='Thang 05-2026'!$C$3:$C$102),0),14)=1,$B13="Triều Lên",INDEX('Thang 05-2026'!$A$3:$Q$102,MATCH(1,($A13='Thang 05-2026'!$A$3:$A$102)*($G13='Thang 05-2026'!$C$3:$C$102),0),15)=0),1,0))</f>
        <v>0</v>
      </c>
      <c r="F13">
        <f t="shared" si="0"/>
        <v>0</v>
      </c>
      <c r="G13">
        <f>INDEX('Thang 05-2026'!$A$3:$C$102,MATCH(A13,'Thang 05-2026'!$A$3:$A$102,0),3)</f>
        <v>4</v>
      </c>
    </row>
    <row r="14" spans="1:7" x14ac:dyDescent="0.2">
      <c r="A14" t="s">
        <v>122</v>
      </c>
      <c r="B14" t="s">
        <v>121</v>
      </c>
      <c r="C14">
        <v>1</v>
      </c>
      <c r="D14">
        <f t="array" ref="D14">IF(AND(INDEX('Thang 05-2026'!$A$3:$Q$102,MATCH(1,($A14='Thang 05-2026'!$A$3:$A$102)*($G14='Thang 05-2026'!$C$3:$C$102),0),11)=1,$B14="Triều Xuống"),1,IF(AND(INDEX('Thang 05-2026'!$A$3:$Q$102,MATCH(1,($A14='Thang 05-2026'!$A$3:$A$102)*($G14='Thang 05-2026'!$C$3:$C$102),0),10)=1,$B14="Triều Lên",INDEX('Thang 05-2026'!$A$3:$Q$102,MATCH(1,($A14='Thang 05-2026'!$A$3:$A$102)*($G14='Thang 05-2026'!$C$3:$C$102),0),11)=0),1,0))</f>
        <v>0</v>
      </c>
      <c r="E14">
        <f t="array" ref="E14">IF(AND(INDEX('Thang 05-2026'!$A$3:$Q$102,MATCH(1,($A14='Thang 05-2026'!$A$3:$A$102)*($G14='Thang 05-2026'!$C$3:$C$102),0),15)=1,$B14="Triều Xuống"),1,IF(AND(INDEX('Thang 05-2026'!$A$3:$Q$102,MATCH(1,($A14='Thang 05-2026'!$A$3:$A$102)*($G14='Thang 05-2026'!$C$3:$C$102),0),14)=1,$B14="Triều Lên",INDEX('Thang 05-2026'!$A$3:$Q$102,MATCH(1,($A14='Thang 05-2026'!$A$3:$A$102)*($G14='Thang 05-2026'!$C$3:$C$102),0),15)=0),1,0))</f>
        <v>0</v>
      </c>
      <c r="F14">
        <f t="shared" si="0"/>
        <v>0</v>
      </c>
      <c r="G14">
        <f>INDEX('Thang 05-2026'!$A$3:$C$102,MATCH(A14,'Thang 05-2026'!$A$3:$A$102,0),3)</f>
        <v>4</v>
      </c>
    </row>
    <row r="15" spans="1:7" x14ac:dyDescent="0.2">
      <c r="A15" t="s">
        <v>123</v>
      </c>
      <c r="B15" t="s">
        <v>121</v>
      </c>
      <c r="C15">
        <v>1</v>
      </c>
      <c r="D15">
        <f t="array" ref="D15">IF(AND(INDEX('Thang 05-2026'!$A$3:$Q$102,MATCH(1,($A15='Thang 05-2026'!$A$3:$A$102)*($G15='Thang 05-2026'!$C$3:$C$102),0),11)=1,$B15="Triều Xuống"),1,IF(AND(INDEX('Thang 05-2026'!$A$3:$Q$102,MATCH(1,($A15='Thang 05-2026'!$A$3:$A$102)*($G15='Thang 05-2026'!$C$3:$C$102),0),10)=1,$B15="Triều Lên",INDEX('Thang 05-2026'!$A$3:$Q$102,MATCH(1,($A15='Thang 05-2026'!$A$3:$A$102)*($G15='Thang 05-2026'!$C$3:$C$102),0),11)=0),1,0))</f>
        <v>0</v>
      </c>
      <c r="E15">
        <f t="array" ref="E15">IF(AND(INDEX('Thang 05-2026'!$A$3:$Q$102,MATCH(1,($A15='Thang 05-2026'!$A$3:$A$102)*($G15='Thang 05-2026'!$C$3:$C$102),0),15)=1,$B15="Triều Xuống"),1,IF(AND(INDEX('Thang 05-2026'!$A$3:$Q$102,MATCH(1,($A15='Thang 05-2026'!$A$3:$A$102)*($G15='Thang 05-2026'!$C$3:$C$102),0),14)=1,$B15="Triều Lên",INDEX('Thang 05-2026'!$A$3:$Q$102,MATCH(1,($A15='Thang 05-2026'!$A$3:$A$102)*($G15='Thang 05-2026'!$C$3:$C$102),0),15)=0),1,0))</f>
        <v>0</v>
      </c>
      <c r="F15">
        <f t="shared" si="0"/>
        <v>0</v>
      </c>
      <c r="G15">
        <f>INDEX('Thang 05-2026'!$A$3:$C$102,MATCH(A15,'Thang 05-2026'!$A$3:$A$102,0),3)</f>
        <v>4</v>
      </c>
    </row>
    <row r="16" spans="1:7" x14ac:dyDescent="0.2">
      <c r="A16" t="s">
        <v>124</v>
      </c>
      <c r="B16" t="s">
        <v>121</v>
      </c>
      <c r="C16">
        <v>1</v>
      </c>
      <c r="D16">
        <f t="array" ref="D16">IF(AND(INDEX('Thang 05-2026'!$A$3:$Q$102,MATCH(1,($A16='Thang 05-2026'!$A$3:$A$102)*($G16='Thang 05-2026'!$C$3:$C$102),0),11)=1,$B16="Triều Xuống"),1,IF(AND(INDEX('Thang 05-2026'!$A$3:$Q$102,MATCH(1,($A16='Thang 05-2026'!$A$3:$A$102)*($G16='Thang 05-2026'!$C$3:$C$102),0),10)=1,$B16="Triều Lên",INDEX('Thang 05-2026'!$A$3:$Q$102,MATCH(1,($A16='Thang 05-2026'!$A$3:$A$102)*($G16='Thang 05-2026'!$C$3:$C$102),0),11)=0),1,0))</f>
        <v>0</v>
      </c>
      <c r="E16">
        <f t="array" ref="E16">IF(AND(INDEX('Thang 05-2026'!$A$3:$Q$102,MATCH(1,($A16='Thang 05-2026'!$A$3:$A$102)*($G16='Thang 05-2026'!$C$3:$C$102),0),15)=1,$B16="Triều Xuống"),1,IF(AND(INDEX('Thang 05-2026'!$A$3:$Q$102,MATCH(1,($A16='Thang 05-2026'!$A$3:$A$102)*($G16='Thang 05-2026'!$C$3:$C$102),0),14)=1,$B16="Triều Lên",INDEX('Thang 05-2026'!$A$3:$Q$102,MATCH(1,($A16='Thang 05-2026'!$A$3:$A$102)*($G16='Thang 05-2026'!$C$3:$C$102),0),15)=0),1,0))</f>
        <v>0</v>
      </c>
      <c r="F16">
        <f t="shared" si="0"/>
        <v>0</v>
      </c>
      <c r="G16">
        <f>INDEX('Thang 05-2026'!$A$3:$C$102,MATCH(A16,'Thang 05-2026'!$A$3:$A$102,0),3)</f>
        <v>4</v>
      </c>
    </row>
    <row r="17" spans="1:7" x14ac:dyDescent="0.2">
      <c r="A17" t="s">
        <v>16</v>
      </c>
      <c r="B17" t="s">
        <v>121</v>
      </c>
      <c r="C17">
        <v>1</v>
      </c>
      <c r="D17">
        <f t="array" ref="D17">IF(AND(INDEX('Thang 05-2026'!$A$3:$Q$102,MATCH(1,($A17='Thang 05-2026'!$A$3:$A$102)*($G17='Thang 05-2026'!$C$3:$C$102),0),11)=1,$B17="Triều Xuống"),1,IF(AND(INDEX('Thang 05-2026'!$A$3:$Q$102,MATCH(1,($A17='Thang 05-2026'!$A$3:$A$102)*($G17='Thang 05-2026'!$C$3:$C$102),0),10)=1,$B17="Triều Lên",INDEX('Thang 05-2026'!$A$3:$Q$102,MATCH(1,($A17='Thang 05-2026'!$A$3:$A$102)*($G17='Thang 05-2026'!$C$3:$C$102),0),11)=0),1,0))</f>
        <v>0</v>
      </c>
      <c r="E17">
        <f t="array" ref="E17">IF(AND(INDEX('Thang 05-2026'!$A$3:$Q$102,MATCH(1,($A17='Thang 05-2026'!$A$3:$A$102)*($G17='Thang 05-2026'!$C$3:$C$102),0),15)=1,$B17="Triều Xuống"),1,IF(AND(INDEX('Thang 05-2026'!$A$3:$Q$102,MATCH(1,($A17='Thang 05-2026'!$A$3:$A$102)*($G17='Thang 05-2026'!$C$3:$C$102),0),14)=1,$B17="Triều Lên",INDEX('Thang 05-2026'!$A$3:$Q$102,MATCH(1,($A17='Thang 05-2026'!$A$3:$A$102)*($G17='Thang 05-2026'!$C$3:$C$102),0),15)=0),1,0))</f>
        <v>0</v>
      </c>
      <c r="F17">
        <f t="shared" si="0"/>
        <v>0</v>
      </c>
      <c r="G17">
        <f>INDEX('Thang 05-2026'!$A$3:$C$102,MATCH(A17,'Thang 05-2026'!$A$3:$A$102,0),3)</f>
        <v>4</v>
      </c>
    </row>
    <row r="18" spans="1:7" x14ac:dyDescent="0.2">
      <c r="A18" t="s">
        <v>17</v>
      </c>
      <c r="B18" t="s">
        <v>118</v>
      </c>
      <c r="C18">
        <v>1</v>
      </c>
      <c r="D18">
        <f t="array" ref="D18">IF(AND(INDEX('Thang 05-2026'!$A$3:$Q$102,MATCH(1,($A18='Thang 05-2026'!$A$3:$A$102)*($G18='Thang 05-2026'!$C$3:$C$102),0),11)=1,$B18="Triều Xuống"),1,IF(AND(INDEX('Thang 05-2026'!$A$3:$Q$102,MATCH(1,($A18='Thang 05-2026'!$A$3:$A$102)*($G18='Thang 05-2026'!$C$3:$C$102),0),10)=1,$B18="Triều Lên",INDEX('Thang 05-2026'!$A$3:$Q$102,MATCH(1,($A18='Thang 05-2026'!$A$3:$A$102)*($G18='Thang 05-2026'!$C$3:$C$102),0),11)=0),1,0))</f>
        <v>0</v>
      </c>
      <c r="E18">
        <f t="array" ref="E18">IF(AND(INDEX('Thang 05-2026'!$A$3:$Q$102,MATCH(1,($A18='Thang 05-2026'!$A$3:$A$102)*($G18='Thang 05-2026'!$C$3:$C$102),0),15)=1,$B18="Triều Xuống"),1,IF(AND(INDEX('Thang 05-2026'!$A$3:$Q$102,MATCH(1,($A18='Thang 05-2026'!$A$3:$A$102)*($G18='Thang 05-2026'!$C$3:$C$102),0),14)=1,$B18="Triều Lên",INDEX('Thang 05-2026'!$A$3:$Q$102,MATCH(1,($A18='Thang 05-2026'!$A$3:$A$102)*($G18='Thang 05-2026'!$C$3:$C$102),0),15)=0),1,0))</f>
        <v>0</v>
      </c>
      <c r="F18">
        <f t="shared" si="0"/>
        <v>0</v>
      </c>
      <c r="G18">
        <f>INDEX('Thang 05-2026'!$A$3:$C$102,MATCH(A18,'Thang 05-2026'!$A$3:$A$102,0),3)</f>
        <v>5</v>
      </c>
    </row>
    <row r="19" spans="1:7" x14ac:dyDescent="0.2">
      <c r="A19" t="s">
        <v>19</v>
      </c>
      <c r="B19" t="s">
        <v>118</v>
      </c>
      <c r="C19">
        <v>1</v>
      </c>
      <c r="D19">
        <f t="array" ref="D19">IF(AND(INDEX('Thang 05-2026'!$A$3:$Q$102,MATCH(1,($A19='Thang 05-2026'!$A$3:$A$102)*($G19='Thang 05-2026'!$C$3:$C$102),0),11)=1,$B19="Triều Xuống"),1,IF(AND(INDEX('Thang 05-2026'!$A$3:$Q$102,MATCH(1,($A19='Thang 05-2026'!$A$3:$A$102)*($G19='Thang 05-2026'!$C$3:$C$102),0),10)=1,$B19="Triều Lên",INDEX('Thang 05-2026'!$A$3:$Q$102,MATCH(1,($A19='Thang 05-2026'!$A$3:$A$102)*($G19='Thang 05-2026'!$C$3:$C$102),0),11)=0),1,0))</f>
        <v>0</v>
      </c>
      <c r="E19">
        <f t="array" ref="E19">IF(AND(INDEX('Thang 05-2026'!$A$3:$Q$102,MATCH(1,($A19='Thang 05-2026'!$A$3:$A$102)*($G19='Thang 05-2026'!$C$3:$C$102),0),15)=1,$B19="Triều Xuống"),1,IF(AND(INDEX('Thang 05-2026'!$A$3:$Q$102,MATCH(1,($A19='Thang 05-2026'!$A$3:$A$102)*($G19='Thang 05-2026'!$C$3:$C$102),0),14)=1,$B19="Triều Lên",INDEX('Thang 05-2026'!$A$3:$Q$102,MATCH(1,($A19='Thang 05-2026'!$A$3:$A$102)*($G19='Thang 05-2026'!$C$3:$C$102),0),15)=0),1,0))</f>
        <v>0</v>
      </c>
      <c r="F19">
        <f t="shared" si="0"/>
        <v>0</v>
      </c>
      <c r="G19">
        <f>INDEX('Thang 05-2026'!$A$3:$C$102,MATCH(A19,'Thang 05-2026'!$A$3:$A$102,0),3)</f>
        <v>5</v>
      </c>
    </row>
    <row r="20" spans="1:7" x14ac:dyDescent="0.2">
      <c r="A20" t="s">
        <v>20</v>
      </c>
      <c r="B20" t="s">
        <v>118</v>
      </c>
      <c r="C20">
        <v>1</v>
      </c>
      <c r="D20">
        <f t="array" ref="D20">IF(AND(INDEX('Thang 05-2026'!$A$3:$Q$102,MATCH(1,($A20='Thang 05-2026'!$A$3:$A$102)*($G20='Thang 05-2026'!$C$3:$C$102),0),11)=1,$B20="Triều Xuống"),1,IF(AND(INDEX('Thang 05-2026'!$A$3:$Q$102,MATCH(1,($A20='Thang 05-2026'!$A$3:$A$102)*($G20='Thang 05-2026'!$C$3:$C$102),0),10)=1,$B20="Triều Lên",INDEX('Thang 05-2026'!$A$3:$Q$102,MATCH(1,($A20='Thang 05-2026'!$A$3:$A$102)*($G20='Thang 05-2026'!$C$3:$C$102),0),11)=0),1,0))</f>
        <v>0</v>
      </c>
      <c r="E20">
        <f t="array" ref="E20">IF(AND(INDEX('Thang 05-2026'!$A$3:$Q$102,MATCH(1,($A20='Thang 05-2026'!$A$3:$A$102)*($G20='Thang 05-2026'!$C$3:$C$102),0),15)=1,$B20="Triều Xuống"),1,IF(AND(INDEX('Thang 05-2026'!$A$3:$Q$102,MATCH(1,($A20='Thang 05-2026'!$A$3:$A$102)*($G20='Thang 05-2026'!$C$3:$C$102),0),14)=1,$B20="Triều Lên",INDEX('Thang 05-2026'!$A$3:$Q$102,MATCH(1,($A20='Thang 05-2026'!$A$3:$A$102)*($G20='Thang 05-2026'!$C$3:$C$102),0),15)=0),1,0))</f>
        <v>0</v>
      </c>
      <c r="F20">
        <f t="shared" si="0"/>
        <v>0</v>
      </c>
      <c r="G20">
        <f>INDEX('Thang 05-2026'!$A$3:$C$102,MATCH(A20,'Thang 05-2026'!$A$3:$A$102,0),3)</f>
        <v>5</v>
      </c>
    </row>
    <row r="21" spans="1:7" x14ac:dyDescent="0.2">
      <c r="A21" t="s">
        <v>21</v>
      </c>
      <c r="B21" t="s">
        <v>118</v>
      </c>
      <c r="C21">
        <v>1</v>
      </c>
      <c r="D21">
        <f t="array" ref="D21">IF(AND(INDEX('Thang 05-2026'!$A$3:$Q$102,MATCH(1,($A21='Thang 05-2026'!$A$3:$A$102)*($G21='Thang 05-2026'!$C$3:$C$102),0),11)=1,$B21="Triều Xuống"),1,IF(AND(INDEX('Thang 05-2026'!$A$3:$Q$102,MATCH(1,($A21='Thang 05-2026'!$A$3:$A$102)*($G21='Thang 05-2026'!$C$3:$C$102),0),10)=1,$B21="Triều Lên",INDEX('Thang 05-2026'!$A$3:$Q$102,MATCH(1,($A21='Thang 05-2026'!$A$3:$A$102)*($G21='Thang 05-2026'!$C$3:$C$102),0),11)=0),1,0))</f>
        <v>0</v>
      </c>
      <c r="E21">
        <f t="array" ref="E21">IF(AND(INDEX('Thang 05-2026'!$A$3:$Q$102,MATCH(1,($A21='Thang 05-2026'!$A$3:$A$102)*($G21='Thang 05-2026'!$C$3:$C$102),0),15)=1,$B21="Triều Xuống"),1,IF(AND(INDEX('Thang 05-2026'!$A$3:$Q$102,MATCH(1,($A21='Thang 05-2026'!$A$3:$A$102)*($G21='Thang 05-2026'!$C$3:$C$102),0),14)=1,$B21="Triều Lên",INDEX('Thang 05-2026'!$A$3:$Q$102,MATCH(1,($A21='Thang 05-2026'!$A$3:$A$102)*($G21='Thang 05-2026'!$C$3:$C$102),0),15)=0),1,0))</f>
        <v>0</v>
      </c>
      <c r="F21">
        <f t="shared" si="0"/>
        <v>0</v>
      </c>
      <c r="G21">
        <f>INDEX('Thang 05-2026'!$A$3:$C$102,MATCH(A21,'Thang 05-2026'!$A$3:$A$102,0),3)</f>
        <v>5</v>
      </c>
    </row>
    <row r="22" spans="1:7" x14ac:dyDescent="0.2">
      <c r="A22" t="s">
        <v>17</v>
      </c>
      <c r="B22" t="s">
        <v>121</v>
      </c>
      <c r="C22">
        <v>1</v>
      </c>
      <c r="D22">
        <f t="array" ref="D22">IF(AND(INDEX('Thang 05-2026'!$A$3:$Q$102,MATCH(1,($A22='Thang 05-2026'!$A$3:$A$102)*($G22='Thang 05-2026'!$C$3:$C$102),0),11)=1,$B22="Triều Xuống"),1,IF(AND(INDEX('Thang 05-2026'!$A$3:$Q$102,MATCH(1,($A22='Thang 05-2026'!$A$3:$A$102)*($G22='Thang 05-2026'!$C$3:$C$102),0),10)=1,$B22="Triều Lên",INDEX('Thang 05-2026'!$A$3:$Q$102,MATCH(1,($A22='Thang 05-2026'!$A$3:$A$102)*($G22='Thang 05-2026'!$C$3:$C$102),0),11)=0),1,0))</f>
        <v>0</v>
      </c>
      <c r="E22">
        <f t="array" ref="E22">IF(AND(INDEX('Thang 05-2026'!$A$3:$Q$102,MATCH(1,($A22='Thang 05-2026'!$A$3:$A$102)*($G22='Thang 05-2026'!$C$3:$C$102),0),15)=1,$B22="Triều Xuống"),1,IF(AND(INDEX('Thang 05-2026'!$A$3:$Q$102,MATCH(1,($A22='Thang 05-2026'!$A$3:$A$102)*($G22='Thang 05-2026'!$C$3:$C$102),0),14)=1,$B22="Triều Lên",INDEX('Thang 05-2026'!$A$3:$Q$102,MATCH(1,($A22='Thang 05-2026'!$A$3:$A$102)*($G22='Thang 05-2026'!$C$3:$C$102),0),15)=0),1,0))</f>
        <v>0</v>
      </c>
      <c r="F22">
        <f t="shared" si="0"/>
        <v>0</v>
      </c>
      <c r="G22">
        <f>INDEX('Thang 05-2026'!$A$3:$C$102,MATCH(A22,'Thang 05-2026'!$A$3:$A$102,0),3)</f>
        <v>5</v>
      </c>
    </row>
    <row r="23" spans="1:7" x14ac:dyDescent="0.2">
      <c r="A23" t="s">
        <v>19</v>
      </c>
      <c r="B23" t="s">
        <v>121</v>
      </c>
      <c r="C23">
        <v>1</v>
      </c>
      <c r="D23">
        <f t="array" ref="D23">IF(AND(INDEX('Thang 05-2026'!$A$3:$Q$102,MATCH(1,($A23='Thang 05-2026'!$A$3:$A$102)*($G23='Thang 05-2026'!$C$3:$C$102),0),11)=1,$B23="Triều Xuống"),1,IF(AND(INDEX('Thang 05-2026'!$A$3:$Q$102,MATCH(1,($A23='Thang 05-2026'!$A$3:$A$102)*($G23='Thang 05-2026'!$C$3:$C$102),0),10)=1,$B23="Triều Lên",INDEX('Thang 05-2026'!$A$3:$Q$102,MATCH(1,($A23='Thang 05-2026'!$A$3:$A$102)*($G23='Thang 05-2026'!$C$3:$C$102),0),11)=0),1,0))</f>
        <v>0</v>
      </c>
      <c r="E23">
        <f t="array" ref="E23">IF(AND(INDEX('Thang 05-2026'!$A$3:$Q$102,MATCH(1,($A23='Thang 05-2026'!$A$3:$A$102)*($G23='Thang 05-2026'!$C$3:$C$102),0),15)=1,$B23="Triều Xuống"),1,IF(AND(INDEX('Thang 05-2026'!$A$3:$Q$102,MATCH(1,($A23='Thang 05-2026'!$A$3:$A$102)*($G23='Thang 05-2026'!$C$3:$C$102),0),14)=1,$B23="Triều Lên",INDEX('Thang 05-2026'!$A$3:$Q$102,MATCH(1,($A23='Thang 05-2026'!$A$3:$A$102)*($G23='Thang 05-2026'!$C$3:$C$102),0),15)=0),1,0))</f>
        <v>0</v>
      </c>
      <c r="F23">
        <f t="shared" si="0"/>
        <v>0</v>
      </c>
      <c r="G23">
        <f>INDEX('Thang 05-2026'!$A$3:$C$102,MATCH(A23,'Thang 05-2026'!$A$3:$A$102,0),3)</f>
        <v>5</v>
      </c>
    </row>
    <row r="24" spans="1:7" x14ac:dyDescent="0.2">
      <c r="A24" t="s">
        <v>20</v>
      </c>
      <c r="B24" t="s">
        <v>121</v>
      </c>
      <c r="C24">
        <v>1</v>
      </c>
      <c r="D24">
        <f t="array" ref="D24">IF(AND(INDEX('Thang 05-2026'!$A$3:$Q$102,MATCH(1,($A24='Thang 05-2026'!$A$3:$A$102)*($G24='Thang 05-2026'!$C$3:$C$102),0),11)=1,$B24="Triều Xuống"),1,IF(AND(INDEX('Thang 05-2026'!$A$3:$Q$102,MATCH(1,($A24='Thang 05-2026'!$A$3:$A$102)*($G24='Thang 05-2026'!$C$3:$C$102),0),10)=1,$B24="Triều Lên",INDEX('Thang 05-2026'!$A$3:$Q$102,MATCH(1,($A24='Thang 05-2026'!$A$3:$A$102)*($G24='Thang 05-2026'!$C$3:$C$102),0),11)=0),1,0))</f>
        <v>0</v>
      </c>
      <c r="E24">
        <f t="array" ref="E24">IF(AND(INDEX('Thang 05-2026'!$A$3:$Q$102,MATCH(1,($A24='Thang 05-2026'!$A$3:$A$102)*($G24='Thang 05-2026'!$C$3:$C$102),0),15)=1,$B24="Triều Xuống"),1,IF(AND(INDEX('Thang 05-2026'!$A$3:$Q$102,MATCH(1,($A24='Thang 05-2026'!$A$3:$A$102)*($G24='Thang 05-2026'!$C$3:$C$102),0),14)=1,$B24="Triều Lên",INDEX('Thang 05-2026'!$A$3:$Q$102,MATCH(1,($A24='Thang 05-2026'!$A$3:$A$102)*($G24='Thang 05-2026'!$C$3:$C$102),0),15)=0),1,0))</f>
        <v>0</v>
      </c>
      <c r="F24">
        <f t="shared" si="0"/>
        <v>0</v>
      </c>
      <c r="G24">
        <f>INDEX('Thang 05-2026'!$A$3:$C$102,MATCH(A24,'Thang 05-2026'!$A$3:$A$102,0),3)</f>
        <v>5</v>
      </c>
    </row>
    <row r="25" spans="1:7" x14ac:dyDescent="0.2">
      <c r="A25" t="s">
        <v>21</v>
      </c>
      <c r="B25" t="s">
        <v>121</v>
      </c>
      <c r="C25">
        <v>1</v>
      </c>
      <c r="D25">
        <f t="array" ref="D25">IF(AND(INDEX('Thang 05-2026'!$A$3:$Q$102,MATCH(1,($A25='Thang 05-2026'!$A$3:$A$102)*($G25='Thang 05-2026'!$C$3:$C$102),0),11)=1,$B25="Triều Xuống"),1,IF(AND(INDEX('Thang 05-2026'!$A$3:$Q$102,MATCH(1,($A25='Thang 05-2026'!$A$3:$A$102)*($G25='Thang 05-2026'!$C$3:$C$102),0),10)=1,$B25="Triều Lên",INDEX('Thang 05-2026'!$A$3:$Q$102,MATCH(1,($A25='Thang 05-2026'!$A$3:$A$102)*($G25='Thang 05-2026'!$C$3:$C$102),0),11)=0),1,0))</f>
        <v>0</v>
      </c>
      <c r="E25">
        <f t="array" ref="E25">IF(AND(INDEX('Thang 05-2026'!$A$3:$Q$102,MATCH(1,($A25='Thang 05-2026'!$A$3:$A$102)*($G25='Thang 05-2026'!$C$3:$C$102),0),15)=1,$B25="Triều Xuống"),1,IF(AND(INDEX('Thang 05-2026'!$A$3:$Q$102,MATCH(1,($A25='Thang 05-2026'!$A$3:$A$102)*($G25='Thang 05-2026'!$C$3:$C$102),0),14)=1,$B25="Triều Lên",INDEX('Thang 05-2026'!$A$3:$Q$102,MATCH(1,($A25='Thang 05-2026'!$A$3:$A$102)*($G25='Thang 05-2026'!$C$3:$C$102),0),15)=0),1,0))</f>
        <v>0</v>
      </c>
      <c r="F25">
        <f t="shared" si="0"/>
        <v>0</v>
      </c>
      <c r="G25">
        <f>INDEX('Thang 05-2026'!$A$3:$C$102,MATCH(A25,'Thang 05-2026'!$A$3:$A$102,0),3)</f>
        <v>5</v>
      </c>
    </row>
    <row r="26" spans="1:7" x14ac:dyDescent="0.2">
      <c r="A26" t="s">
        <v>22</v>
      </c>
      <c r="B26" t="s">
        <v>118</v>
      </c>
      <c r="C26">
        <v>1</v>
      </c>
      <c r="D26">
        <f t="array" ref="D26">IF(AND(INDEX('Thang 05-2026'!$A$3:$Q$102,MATCH(1,($A26='Thang 05-2026'!$A$3:$A$102)*($G26='Thang 05-2026'!$C$3:$C$102),0),11)=1,$B26="Triều Xuống"),1,IF(AND(INDEX('Thang 05-2026'!$A$3:$Q$102,MATCH(1,($A26='Thang 05-2026'!$A$3:$A$102)*($G26='Thang 05-2026'!$C$3:$C$102),0),10)=1,$B26="Triều Lên",INDEX('Thang 05-2026'!$A$3:$Q$102,MATCH(1,($A26='Thang 05-2026'!$A$3:$A$102)*($G26='Thang 05-2026'!$C$3:$C$102),0),11)=0),1,0))</f>
        <v>0</v>
      </c>
      <c r="E26">
        <f t="array" ref="E26">IF(AND(INDEX('Thang 05-2026'!$A$3:$Q$102,MATCH(1,($A26='Thang 05-2026'!$A$3:$A$102)*($G26='Thang 05-2026'!$C$3:$C$102),0),15)=1,$B26="Triều Xuống"),1,IF(AND(INDEX('Thang 05-2026'!$A$3:$Q$102,MATCH(1,($A26='Thang 05-2026'!$A$3:$A$102)*($G26='Thang 05-2026'!$C$3:$C$102),0),14)=1,$B26="Triều Lên",INDEX('Thang 05-2026'!$A$3:$Q$102,MATCH(1,($A26='Thang 05-2026'!$A$3:$A$102)*($G26='Thang 05-2026'!$C$3:$C$102),0),15)=0),1,0))</f>
        <v>0</v>
      </c>
      <c r="F26">
        <f t="shared" si="0"/>
        <v>0</v>
      </c>
      <c r="G26">
        <f>INDEX('Thang 05-2026'!$A$3:$C$102,MATCH(A26,'Thang 05-2026'!$A$3:$A$102,0),3)</f>
        <v>5</v>
      </c>
    </row>
    <row r="27" spans="1:7" x14ac:dyDescent="0.2">
      <c r="A27" t="s">
        <v>23</v>
      </c>
      <c r="B27" t="s">
        <v>118</v>
      </c>
      <c r="C27">
        <v>1</v>
      </c>
      <c r="D27">
        <f t="array" ref="D27">IF(AND(INDEX('Thang 05-2026'!$A$3:$Q$102,MATCH(1,($A27='Thang 05-2026'!$A$3:$A$102)*($G27='Thang 05-2026'!$C$3:$C$102),0),11)=1,$B27="Triều Xuống"),1,IF(AND(INDEX('Thang 05-2026'!$A$3:$Q$102,MATCH(1,($A27='Thang 05-2026'!$A$3:$A$102)*($G27='Thang 05-2026'!$C$3:$C$102),0),10)=1,$B27="Triều Lên",INDEX('Thang 05-2026'!$A$3:$Q$102,MATCH(1,($A27='Thang 05-2026'!$A$3:$A$102)*($G27='Thang 05-2026'!$C$3:$C$102),0),11)=0),1,0))</f>
        <v>0</v>
      </c>
      <c r="E27">
        <f t="array" ref="E27">IF(AND(INDEX('Thang 05-2026'!$A$3:$Q$102,MATCH(1,($A27='Thang 05-2026'!$A$3:$A$102)*($G27='Thang 05-2026'!$C$3:$C$102),0),15)=1,$B27="Triều Xuống"),1,IF(AND(INDEX('Thang 05-2026'!$A$3:$Q$102,MATCH(1,($A27='Thang 05-2026'!$A$3:$A$102)*($G27='Thang 05-2026'!$C$3:$C$102),0),14)=1,$B27="Triều Lên",INDEX('Thang 05-2026'!$A$3:$Q$102,MATCH(1,($A27='Thang 05-2026'!$A$3:$A$102)*($G27='Thang 05-2026'!$C$3:$C$102),0),15)=0),1,0))</f>
        <v>0</v>
      </c>
      <c r="F27">
        <f t="shared" si="0"/>
        <v>0</v>
      </c>
      <c r="G27">
        <f>INDEX('Thang 05-2026'!$A$3:$C$102,MATCH(A27,'Thang 05-2026'!$A$3:$A$102,0),3)</f>
        <v>5</v>
      </c>
    </row>
    <row r="28" spans="1:7" x14ac:dyDescent="0.2">
      <c r="A28" t="s">
        <v>24</v>
      </c>
      <c r="B28" t="s">
        <v>118</v>
      </c>
      <c r="C28">
        <v>1</v>
      </c>
      <c r="D28">
        <f t="array" ref="D28">IF(AND(INDEX('Thang 05-2026'!$A$3:$Q$102,MATCH(1,($A28='Thang 05-2026'!$A$3:$A$102)*($G28='Thang 05-2026'!$C$3:$C$102),0),11)=1,$B28="Triều Xuống"),1,IF(AND(INDEX('Thang 05-2026'!$A$3:$Q$102,MATCH(1,($A28='Thang 05-2026'!$A$3:$A$102)*($G28='Thang 05-2026'!$C$3:$C$102),0),10)=1,$B28="Triều Lên",INDEX('Thang 05-2026'!$A$3:$Q$102,MATCH(1,($A28='Thang 05-2026'!$A$3:$A$102)*($G28='Thang 05-2026'!$C$3:$C$102),0),11)=0),1,0))</f>
        <v>0</v>
      </c>
      <c r="E28">
        <f t="array" ref="E28">IF(AND(INDEX('Thang 05-2026'!$A$3:$Q$102,MATCH(1,($A28='Thang 05-2026'!$A$3:$A$102)*($G28='Thang 05-2026'!$C$3:$C$102),0),15)=1,$B28="Triều Xuống"),1,IF(AND(INDEX('Thang 05-2026'!$A$3:$Q$102,MATCH(1,($A28='Thang 05-2026'!$A$3:$A$102)*($G28='Thang 05-2026'!$C$3:$C$102),0),14)=1,$B28="Triều Lên",INDEX('Thang 05-2026'!$A$3:$Q$102,MATCH(1,($A28='Thang 05-2026'!$A$3:$A$102)*($G28='Thang 05-2026'!$C$3:$C$102),0),15)=0),1,0))</f>
        <v>0</v>
      </c>
      <c r="F28">
        <f t="shared" si="0"/>
        <v>0</v>
      </c>
      <c r="G28">
        <f>INDEX('Thang 05-2026'!$A$3:$C$102,MATCH(A28,'Thang 05-2026'!$A$3:$A$102,0),3)</f>
        <v>5</v>
      </c>
    </row>
    <row r="29" spans="1:7" x14ac:dyDescent="0.2">
      <c r="A29" t="s">
        <v>22</v>
      </c>
      <c r="B29" t="s">
        <v>121</v>
      </c>
      <c r="C29">
        <v>1</v>
      </c>
      <c r="D29">
        <f t="array" ref="D29">IF(AND(INDEX('Thang 05-2026'!$A$3:$Q$102,MATCH(1,($A29='Thang 05-2026'!$A$3:$A$102)*($G29='Thang 05-2026'!$C$3:$C$102),0),11)=1,$B29="Triều Xuống"),1,IF(AND(INDEX('Thang 05-2026'!$A$3:$Q$102,MATCH(1,($A29='Thang 05-2026'!$A$3:$A$102)*($G29='Thang 05-2026'!$C$3:$C$102),0),10)=1,$B29="Triều Lên",INDEX('Thang 05-2026'!$A$3:$Q$102,MATCH(1,($A29='Thang 05-2026'!$A$3:$A$102)*($G29='Thang 05-2026'!$C$3:$C$102),0),11)=0),1,0))</f>
        <v>0</v>
      </c>
      <c r="E29">
        <f t="array" ref="E29">IF(AND(INDEX('Thang 05-2026'!$A$3:$Q$102,MATCH(1,($A29='Thang 05-2026'!$A$3:$A$102)*($G29='Thang 05-2026'!$C$3:$C$102),0),15)=1,$B29="Triều Xuống"),1,IF(AND(INDEX('Thang 05-2026'!$A$3:$Q$102,MATCH(1,($A29='Thang 05-2026'!$A$3:$A$102)*($G29='Thang 05-2026'!$C$3:$C$102),0),14)=1,$B29="Triều Lên",INDEX('Thang 05-2026'!$A$3:$Q$102,MATCH(1,($A29='Thang 05-2026'!$A$3:$A$102)*($G29='Thang 05-2026'!$C$3:$C$102),0),15)=0),1,0))</f>
        <v>0</v>
      </c>
      <c r="F29">
        <f t="shared" si="0"/>
        <v>0</v>
      </c>
      <c r="G29">
        <f>INDEX('Thang 05-2026'!$A$3:$C$102,MATCH(A29,'Thang 05-2026'!$A$3:$A$102,0),3)</f>
        <v>5</v>
      </c>
    </row>
    <row r="30" spans="1:7" x14ac:dyDescent="0.2">
      <c r="A30" t="s">
        <v>23</v>
      </c>
      <c r="B30" t="s">
        <v>121</v>
      </c>
      <c r="C30">
        <v>1</v>
      </c>
      <c r="D30">
        <f t="array" ref="D30">IF(AND(INDEX('Thang 05-2026'!$A$3:$Q$102,MATCH(1,($A30='Thang 05-2026'!$A$3:$A$102)*($G30='Thang 05-2026'!$C$3:$C$102),0),11)=1,$B30="Triều Xuống"),1,IF(AND(INDEX('Thang 05-2026'!$A$3:$Q$102,MATCH(1,($A30='Thang 05-2026'!$A$3:$A$102)*($G30='Thang 05-2026'!$C$3:$C$102),0),10)=1,$B30="Triều Lên",INDEX('Thang 05-2026'!$A$3:$Q$102,MATCH(1,($A30='Thang 05-2026'!$A$3:$A$102)*($G30='Thang 05-2026'!$C$3:$C$102),0),11)=0),1,0))</f>
        <v>0</v>
      </c>
      <c r="E30">
        <f t="array" ref="E30">IF(AND(INDEX('Thang 05-2026'!$A$3:$Q$102,MATCH(1,($A30='Thang 05-2026'!$A$3:$A$102)*($G30='Thang 05-2026'!$C$3:$C$102),0),15)=1,$B30="Triều Xuống"),1,IF(AND(INDEX('Thang 05-2026'!$A$3:$Q$102,MATCH(1,($A30='Thang 05-2026'!$A$3:$A$102)*($G30='Thang 05-2026'!$C$3:$C$102),0),14)=1,$B30="Triều Lên",INDEX('Thang 05-2026'!$A$3:$Q$102,MATCH(1,($A30='Thang 05-2026'!$A$3:$A$102)*($G30='Thang 05-2026'!$C$3:$C$102),0),15)=0),1,0))</f>
        <v>0</v>
      </c>
      <c r="F30">
        <f t="shared" si="0"/>
        <v>0</v>
      </c>
      <c r="G30">
        <f>INDEX('Thang 05-2026'!$A$3:$C$102,MATCH(A30,'Thang 05-2026'!$A$3:$A$102,0),3)</f>
        <v>5</v>
      </c>
    </row>
    <row r="31" spans="1:7" x14ac:dyDescent="0.2">
      <c r="A31" t="s">
        <v>24</v>
      </c>
      <c r="B31" t="s">
        <v>121</v>
      </c>
      <c r="C31">
        <v>1</v>
      </c>
      <c r="D31">
        <f t="array" ref="D31">IF(AND(INDEX('Thang 05-2026'!$A$3:$Q$102,MATCH(1,($A31='Thang 05-2026'!$A$3:$A$102)*($G31='Thang 05-2026'!$C$3:$C$102),0),11)=1,$B31="Triều Xuống"),1,IF(AND(INDEX('Thang 05-2026'!$A$3:$Q$102,MATCH(1,($A31='Thang 05-2026'!$A$3:$A$102)*($G31='Thang 05-2026'!$C$3:$C$102),0),10)=1,$B31="Triều Lên",INDEX('Thang 05-2026'!$A$3:$Q$102,MATCH(1,($A31='Thang 05-2026'!$A$3:$A$102)*($G31='Thang 05-2026'!$C$3:$C$102),0),11)=0),1,0))</f>
        <v>1</v>
      </c>
      <c r="E31">
        <f t="array" ref="E31">IF(AND(INDEX('Thang 05-2026'!$A$3:$Q$102,MATCH(1,($A31='Thang 05-2026'!$A$3:$A$102)*($G31='Thang 05-2026'!$C$3:$C$102),0),15)=1,$B31="Triều Xuống"),1,IF(AND(INDEX('Thang 05-2026'!$A$3:$Q$102,MATCH(1,($A31='Thang 05-2026'!$A$3:$A$102)*($G31='Thang 05-2026'!$C$3:$C$102),0),14)=1,$B31="Triều Lên",INDEX('Thang 05-2026'!$A$3:$Q$102,MATCH(1,($A31='Thang 05-2026'!$A$3:$A$102)*($G31='Thang 05-2026'!$C$3:$C$102),0),15)=0),1,0))</f>
        <v>1</v>
      </c>
      <c r="F31">
        <f t="shared" si="0"/>
        <v>2</v>
      </c>
      <c r="G31">
        <f>INDEX('Thang 05-2026'!$A$3:$C$102,MATCH(A31,'Thang 05-2026'!$A$3:$A$102,0),3)</f>
        <v>5</v>
      </c>
    </row>
    <row r="32" spans="1:7" x14ac:dyDescent="0.2">
      <c r="A32" t="s">
        <v>25</v>
      </c>
      <c r="B32" t="s">
        <v>118</v>
      </c>
      <c r="C32">
        <v>1</v>
      </c>
      <c r="D32">
        <f t="array" ref="D32">IF(AND(INDEX('Thang 05-2026'!$A$3:$Q$102,MATCH(1,($A32='Thang 05-2026'!$A$3:$A$102)*($G32='Thang 05-2026'!$C$3:$C$102),0),11)=1,$B32="Triều Xuống"),1,IF(AND(INDEX('Thang 05-2026'!$A$3:$Q$102,MATCH(1,($A32='Thang 05-2026'!$A$3:$A$102)*($G32='Thang 05-2026'!$C$3:$C$102),0),10)=1,$B32="Triều Lên",INDEX('Thang 05-2026'!$A$3:$Q$102,MATCH(1,($A32='Thang 05-2026'!$A$3:$A$102)*($G32='Thang 05-2026'!$C$3:$C$102),0),11)=0),1,0))</f>
        <v>0</v>
      </c>
      <c r="E32">
        <f t="array" ref="E32">IF(AND(INDEX('Thang 05-2026'!$A$3:$Q$102,MATCH(1,($A32='Thang 05-2026'!$A$3:$A$102)*($G32='Thang 05-2026'!$C$3:$C$102),0),15)=1,$B32="Triều Xuống"),1,IF(AND(INDEX('Thang 05-2026'!$A$3:$Q$102,MATCH(1,($A32='Thang 05-2026'!$A$3:$A$102)*($G32='Thang 05-2026'!$C$3:$C$102),0),14)=1,$B32="Triều Lên",INDEX('Thang 05-2026'!$A$3:$Q$102,MATCH(1,($A32='Thang 05-2026'!$A$3:$A$102)*($G32='Thang 05-2026'!$C$3:$C$102),0),15)=0),1,0))</f>
        <v>0</v>
      </c>
      <c r="F32">
        <f t="shared" si="0"/>
        <v>0</v>
      </c>
      <c r="G32">
        <f>INDEX('Thang 05-2026'!$A$3:$C$102,MATCH(A32,'Thang 05-2026'!$A$3:$A$102,0),3)</f>
        <v>6</v>
      </c>
    </row>
    <row r="33" spans="1:7" x14ac:dyDescent="0.2">
      <c r="A33" t="s">
        <v>27</v>
      </c>
      <c r="B33" t="s">
        <v>118</v>
      </c>
      <c r="C33">
        <v>1</v>
      </c>
      <c r="D33">
        <f t="array" ref="D33">IF(AND(INDEX('Thang 05-2026'!$A$3:$Q$102,MATCH(1,($A33='Thang 05-2026'!$A$3:$A$102)*($G33='Thang 05-2026'!$C$3:$C$102),0),11)=1,$B33="Triều Xuống"),1,IF(AND(INDEX('Thang 05-2026'!$A$3:$Q$102,MATCH(1,($A33='Thang 05-2026'!$A$3:$A$102)*($G33='Thang 05-2026'!$C$3:$C$102),0),10)=1,$B33="Triều Lên",INDEX('Thang 05-2026'!$A$3:$Q$102,MATCH(1,($A33='Thang 05-2026'!$A$3:$A$102)*($G33='Thang 05-2026'!$C$3:$C$102),0),11)=0),1,0))</f>
        <v>0</v>
      </c>
      <c r="E33">
        <f t="array" ref="E33">IF(AND(INDEX('Thang 05-2026'!$A$3:$Q$102,MATCH(1,($A33='Thang 05-2026'!$A$3:$A$102)*($G33='Thang 05-2026'!$C$3:$C$102),0),15)=1,$B33="Triều Xuống"),1,IF(AND(INDEX('Thang 05-2026'!$A$3:$Q$102,MATCH(1,($A33='Thang 05-2026'!$A$3:$A$102)*($G33='Thang 05-2026'!$C$3:$C$102),0),14)=1,$B33="Triều Lên",INDEX('Thang 05-2026'!$A$3:$Q$102,MATCH(1,($A33='Thang 05-2026'!$A$3:$A$102)*($G33='Thang 05-2026'!$C$3:$C$102),0),15)=0),1,0))</f>
        <v>0</v>
      </c>
      <c r="F33">
        <f t="shared" si="0"/>
        <v>0</v>
      </c>
      <c r="G33">
        <f>INDEX('Thang 05-2026'!$A$3:$C$102,MATCH(A33,'Thang 05-2026'!$A$3:$A$102,0),3)</f>
        <v>6</v>
      </c>
    </row>
    <row r="34" spans="1:7" x14ac:dyDescent="0.2">
      <c r="A34" t="s">
        <v>28</v>
      </c>
      <c r="B34" t="s">
        <v>118</v>
      </c>
      <c r="C34">
        <v>1</v>
      </c>
      <c r="D34">
        <f t="array" ref="D34">IF(AND(INDEX('Thang 05-2026'!$A$3:$Q$102,MATCH(1,($A34='Thang 05-2026'!$A$3:$A$102)*($G34='Thang 05-2026'!$C$3:$C$102),0),11)=1,$B34="Triều Xuống"),1,IF(AND(INDEX('Thang 05-2026'!$A$3:$Q$102,MATCH(1,($A34='Thang 05-2026'!$A$3:$A$102)*($G34='Thang 05-2026'!$C$3:$C$102),0),10)=1,$B34="Triều Lên",INDEX('Thang 05-2026'!$A$3:$Q$102,MATCH(1,($A34='Thang 05-2026'!$A$3:$A$102)*($G34='Thang 05-2026'!$C$3:$C$102),0),11)=0),1,0))</f>
        <v>0</v>
      </c>
      <c r="E34">
        <f t="array" ref="E34">IF(AND(INDEX('Thang 05-2026'!$A$3:$Q$102,MATCH(1,($A34='Thang 05-2026'!$A$3:$A$102)*($G34='Thang 05-2026'!$C$3:$C$102),0),15)=1,$B34="Triều Xuống"),1,IF(AND(INDEX('Thang 05-2026'!$A$3:$Q$102,MATCH(1,($A34='Thang 05-2026'!$A$3:$A$102)*($G34='Thang 05-2026'!$C$3:$C$102),0),14)=1,$B34="Triều Lên",INDEX('Thang 05-2026'!$A$3:$Q$102,MATCH(1,($A34='Thang 05-2026'!$A$3:$A$102)*($G34='Thang 05-2026'!$C$3:$C$102),0),15)=0),1,0))</f>
        <v>0</v>
      </c>
      <c r="F34">
        <f t="shared" si="0"/>
        <v>0</v>
      </c>
      <c r="G34">
        <f>INDEX('Thang 05-2026'!$A$3:$C$102,MATCH(A34,'Thang 05-2026'!$A$3:$A$102,0),3)</f>
        <v>6</v>
      </c>
    </row>
    <row r="35" spans="1:7" x14ac:dyDescent="0.2">
      <c r="A35" t="s">
        <v>29</v>
      </c>
      <c r="B35" t="s">
        <v>118</v>
      </c>
      <c r="C35">
        <v>1</v>
      </c>
      <c r="D35">
        <f t="array" ref="D35">IF(AND(INDEX('Thang 05-2026'!$A$3:$Q$102,MATCH(1,($A35='Thang 05-2026'!$A$3:$A$102)*($G35='Thang 05-2026'!$C$3:$C$102),0),11)=1,$B35="Triều Xuống"),1,IF(AND(INDEX('Thang 05-2026'!$A$3:$Q$102,MATCH(1,($A35='Thang 05-2026'!$A$3:$A$102)*($G35='Thang 05-2026'!$C$3:$C$102),0),10)=1,$B35="Triều Lên",INDEX('Thang 05-2026'!$A$3:$Q$102,MATCH(1,($A35='Thang 05-2026'!$A$3:$A$102)*($G35='Thang 05-2026'!$C$3:$C$102),0),11)=0),1,0))</f>
        <v>0</v>
      </c>
      <c r="E35">
        <f t="array" ref="E35">IF(AND(INDEX('Thang 05-2026'!$A$3:$Q$102,MATCH(1,($A35='Thang 05-2026'!$A$3:$A$102)*($G35='Thang 05-2026'!$C$3:$C$102),0),15)=1,$B35="Triều Xuống"),1,IF(AND(INDEX('Thang 05-2026'!$A$3:$Q$102,MATCH(1,($A35='Thang 05-2026'!$A$3:$A$102)*($G35='Thang 05-2026'!$C$3:$C$102),0),14)=1,$B35="Triều Lên",INDEX('Thang 05-2026'!$A$3:$Q$102,MATCH(1,($A35='Thang 05-2026'!$A$3:$A$102)*($G35='Thang 05-2026'!$C$3:$C$102),0),15)=0),1,0))</f>
        <v>1</v>
      </c>
      <c r="F35">
        <f t="shared" si="0"/>
        <v>1</v>
      </c>
      <c r="G35">
        <f>INDEX('Thang 05-2026'!$A$3:$C$102,MATCH(A35,'Thang 05-2026'!$A$3:$A$102,0),3)</f>
        <v>6</v>
      </c>
    </row>
    <row r="36" spans="1:7" x14ac:dyDescent="0.2">
      <c r="A36" t="s">
        <v>25</v>
      </c>
      <c r="B36" t="s">
        <v>121</v>
      </c>
      <c r="C36">
        <v>1</v>
      </c>
      <c r="D36">
        <f t="array" ref="D36">IF(AND(INDEX('Thang 05-2026'!$A$3:$Q$102,MATCH(1,($A36='Thang 05-2026'!$A$3:$A$102)*($G36='Thang 05-2026'!$C$3:$C$102),0),11)=1,$B36="Triều Xuống"),1,IF(AND(INDEX('Thang 05-2026'!$A$3:$Q$102,MATCH(1,($A36='Thang 05-2026'!$A$3:$A$102)*($G36='Thang 05-2026'!$C$3:$C$102),0),10)=1,$B36="Triều Lên",INDEX('Thang 05-2026'!$A$3:$Q$102,MATCH(1,($A36='Thang 05-2026'!$A$3:$A$102)*($G36='Thang 05-2026'!$C$3:$C$102),0),11)=0),1,0))</f>
        <v>0</v>
      </c>
      <c r="E36">
        <f t="array" ref="E36">IF(AND(INDEX('Thang 05-2026'!$A$3:$Q$102,MATCH(1,($A36='Thang 05-2026'!$A$3:$A$102)*($G36='Thang 05-2026'!$C$3:$C$102),0),15)=1,$B36="Triều Xuống"),1,IF(AND(INDEX('Thang 05-2026'!$A$3:$Q$102,MATCH(1,($A36='Thang 05-2026'!$A$3:$A$102)*($G36='Thang 05-2026'!$C$3:$C$102),0),14)=1,$B36="Triều Lên",INDEX('Thang 05-2026'!$A$3:$Q$102,MATCH(1,($A36='Thang 05-2026'!$A$3:$A$102)*($G36='Thang 05-2026'!$C$3:$C$102),0),15)=0),1,0))</f>
        <v>0</v>
      </c>
      <c r="F36">
        <f t="shared" si="0"/>
        <v>0</v>
      </c>
      <c r="G36">
        <f>INDEX('Thang 05-2026'!$A$3:$C$102,MATCH(A36,'Thang 05-2026'!$A$3:$A$102,0),3)</f>
        <v>6</v>
      </c>
    </row>
    <row r="37" spans="1:7" x14ac:dyDescent="0.2">
      <c r="A37" t="s">
        <v>27</v>
      </c>
      <c r="B37" t="s">
        <v>121</v>
      </c>
      <c r="C37">
        <v>1</v>
      </c>
      <c r="D37">
        <f t="array" ref="D37">IF(AND(INDEX('Thang 05-2026'!$A$3:$Q$102,MATCH(1,($A37='Thang 05-2026'!$A$3:$A$102)*($G37='Thang 05-2026'!$C$3:$C$102),0),11)=1,$B37="Triều Xuống"),1,IF(AND(INDEX('Thang 05-2026'!$A$3:$Q$102,MATCH(1,($A37='Thang 05-2026'!$A$3:$A$102)*($G37='Thang 05-2026'!$C$3:$C$102),0),10)=1,$B37="Triều Lên",INDEX('Thang 05-2026'!$A$3:$Q$102,MATCH(1,($A37='Thang 05-2026'!$A$3:$A$102)*($G37='Thang 05-2026'!$C$3:$C$102),0),11)=0),1,0))</f>
        <v>1</v>
      </c>
      <c r="E37">
        <f t="array" ref="E37">IF(AND(INDEX('Thang 05-2026'!$A$3:$Q$102,MATCH(1,($A37='Thang 05-2026'!$A$3:$A$102)*($G37='Thang 05-2026'!$C$3:$C$102),0),15)=1,$B37="Triều Xuống"),1,IF(AND(INDEX('Thang 05-2026'!$A$3:$Q$102,MATCH(1,($A37='Thang 05-2026'!$A$3:$A$102)*($G37='Thang 05-2026'!$C$3:$C$102),0),14)=1,$B37="Triều Lên",INDEX('Thang 05-2026'!$A$3:$Q$102,MATCH(1,($A37='Thang 05-2026'!$A$3:$A$102)*($G37='Thang 05-2026'!$C$3:$C$102),0),15)=0),1,0))</f>
        <v>0</v>
      </c>
      <c r="F37">
        <f t="shared" si="0"/>
        <v>1</v>
      </c>
      <c r="G37">
        <f>INDEX('Thang 05-2026'!$A$3:$C$102,MATCH(A37,'Thang 05-2026'!$A$3:$A$102,0),3)</f>
        <v>6</v>
      </c>
    </row>
    <row r="38" spans="1:7" x14ac:dyDescent="0.2">
      <c r="A38" t="s">
        <v>28</v>
      </c>
      <c r="B38" t="s">
        <v>121</v>
      </c>
      <c r="C38">
        <v>1</v>
      </c>
      <c r="D38">
        <f t="array" ref="D38">IF(AND(INDEX('Thang 05-2026'!$A$3:$Q$102,MATCH(1,($A38='Thang 05-2026'!$A$3:$A$102)*($G38='Thang 05-2026'!$C$3:$C$102),0),11)=1,$B38="Triều Xuống"),1,IF(AND(INDEX('Thang 05-2026'!$A$3:$Q$102,MATCH(1,($A38='Thang 05-2026'!$A$3:$A$102)*($G38='Thang 05-2026'!$C$3:$C$102),0),10)=1,$B38="Triều Lên",INDEX('Thang 05-2026'!$A$3:$Q$102,MATCH(1,($A38='Thang 05-2026'!$A$3:$A$102)*($G38='Thang 05-2026'!$C$3:$C$102),0),11)=0),1,0))</f>
        <v>0</v>
      </c>
      <c r="E38">
        <f t="array" ref="E38">IF(AND(INDEX('Thang 05-2026'!$A$3:$Q$102,MATCH(1,($A38='Thang 05-2026'!$A$3:$A$102)*($G38='Thang 05-2026'!$C$3:$C$102),0),15)=1,$B38="Triều Xuống"),1,IF(AND(INDEX('Thang 05-2026'!$A$3:$Q$102,MATCH(1,($A38='Thang 05-2026'!$A$3:$A$102)*($G38='Thang 05-2026'!$C$3:$C$102),0),14)=1,$B38="Triều Lên",INDEX('Thang 05-2026'!$A$3:$Q$102,MATCH(1,($A38='Thang 05-2026'!$A$3:$A$102)*($G38='Thang 05-2026'!$C$3:$C$102),0),15)=0),1,0))</f>
        <v>0</v>
      </c>
      <c r="F38">
        <f t="shared" si="0"/>
        <v>0</v>
      </c>
      <c r="G38">
        <f>INDEX('Thang 05-2026'!$A$3:$C$102,MATCH(A38,'Thang 05-2026'!$A$3:$A$102,0),3)</f>
        <v>6</v>
      </c>
    </row>
    <row r="39" spans="1:7" x14ac:dyDescent="0.2">
      <c r="A39" t="s">
        <v>29</v>
      </c>
      <c r="B39" t="s">
        <v>121</v>
      </c>
      <c r="C39">
        <v>1</v>
      </c>
      <c r="D39">
        <f t="array" ref="D39">IF(AND(INDEX('Thang 05-2026'!$A$3:$Q$102,MATCH(1,($A39='Thang 05-2026'!$A$3:$A$102)*($G39='Thang 05-2026'!$C$3:$C$102),0),11)=1,$B39="Triều Xuống"),1,IF(AND(INDEX('Thang 05-2026'!$A$3:$Q$102,MATCH(1,($A39='Thang 05-2026'!$A$3:$A$102)*($G39='Thang 05-2026'!$C$3:$C$102),0),10)=1,$B39="Triều Lên",INDEX('Thang 05-2026'!$A$3:$Q$102,MATCH(1,($A39='Thang 05-2026'!$A$3:$A$102)*($G39='Thang 05-2026'!$C$3:$C$102),0),11)=0),1,0))</f>
        <v>0</v>
      </c>
      <c r="E39">
        <f t="array" ref="E39">IF(AND(INDEX('Thang 05-2026'!$A$3:$Q$102,MATCH(1,($A39='Thang 05-2026'!$A$3:$A$102)*($G39='Thang 05-2026'!$C$3:$C$102),0),15)=1,$B39="Triều Xuống"),1,IF(AND(INDEX('Thang 05-2026'!$A$3:$Q$102,MATCH(1,($A39='Thang 05-2026'!$A$3:$A$102)*($G39='Thang 05-2026'!$C$3:$C$102),0),14)=1,$B39="Triều Lên",INDEX('Thang 05-2026'!$A$3:$Q$102,MATCH(1,($A39='Thang 05-2026'!$A$3:$A$102)*($G39='Thang 05-2026'!$C$3:$C$102),0),15)=0),1,0))</f>
        <v>0</v>
      </c>
      <c r="F39">
        <f t="shared" si="0"/>
        <v>0</v>
      </c>
      <c r="G39">
        <f>INDEX('Thang 05-2026'!$A$3:$C$102,MATCH(A39,'Thang 05-2026'!$A$3:$A$102,0),3)</f>
        <v>6</v>
      </c>
    </row>
    <row r="40" spans="1:7" x14ac:dyDescent="0.2">
      <c r="A40" t="s">
        <v>30</v>
      </c>
      <c r="B40" t="s">
        <v>118</v>
      </c>
      <c r="C40">
        <v>1</v>
      </c>
      <c r="D40">
        <f t="array" ref="D40">IF(AND(INDEX('Thang 05-2026'!$A$3:$Q$102,MATCH(1,($A40='Thang 05-2026'!$A$3:$A$102)*($G40='Thang 05-2026'!$C$3:$C$102),0),11)=1,$B40="Triều Xuống"),1,IF(AND(INDEX('Thang 05-2026'!$A$3:$Q$102,MATCH(1,($A40='Thang 05-2026'!$A$3:$A$102)*($G40='Thang 05-2026'!$C$3:$C$102),0),10)=1,$B40="Triều Lên",INDEX('Thang 05-2026'!$A$3:$Q$102,MATCH(1,($A40='Thang 05-2026'!$A$3:$A$102)*($G40='Thang 05-2026'!$C$3:$C$102),0),11)=0),1,0))</f>
        <v>0</v>
      </c>
      <c r="E40">
        <f t="array" ref="E40">IF(AND(INDEX('Thang 05-2026'!$A$3:$Q$102,MATCH(1,($A40='Thang 05-2026'!$A$3:$A$102)*($G40='Thang 05-2026'!$C$3:$C$102),0),15)=1,$B40="Triều Xuống"),1,IF(AND(INDEX('Thang 05-2026'!$A$3:$Q$102,MATCH(1,($A40='Thang 05-2026'!$A$3:$A$102)*($G40='Thang 05-2026'!$C$3:$C$102),0),14)=1,$B40="Triều Lên",INDEX('Thang 05-2026'!$A$3:$Q$102,MATCH(1,($A40='Thang 05-2026'!$A$3:$A$102)*($G40='Thang 05-2026'!$C$3:$C$102),0),15)=0),1,0))</f>
        <v>0</v>
      </c>
      <c r="F40">
        <f t="shared" si="0"/>
        <v>0</v>
      </c>
      <c r="G40">
        <f>INDEX('Thang 05-2026'!$A$3:$C$102,MATCH(A40,'Thang 05-2026'!$A$3:$A$102,0),3)</f>
        <v>7</v>
      </c>
    </row>
    <row r="41" spans="1:7" x14ac:dyDescent="0.2">
      <c r="A41" t="s">
        <v>32</v>
      </c>
      <c r="B41" t="s">
        <v>118</v>
      </c>
      <c r="C41">
        <v>1</v>
      </c>
      <c r="D41">
        <f t="array" ref="D41">IF(AND(INDEX('Thang 05-2026'!$A$3:$Q$102,MATCH(1,($A41='Thang 05-2026'!$A$3:$A$102)*($G41='Thang 05-2026'!$C$3:$C$102),0),11)=1,$B41="Triều Xuống"),1,IF(AND(INDEX('Thang 05-2026'!$A$3:$Q$102,MATCH(1,($A41='Thang 05-2026'!$A$3:$A$102)*($G41='Thang 05-2026'!$C$3:$C$102),0),10)=1,$B41="Triều Lên",INDEX('Thang 05-2026'!$A$3:$Q$102,MATCH(1,($A41='Thang 05-2026'!$A$3:$A$102)*($G41='Thang 05-2026'!$C$3:$C$102),0),11)=0),1,0))</f>
        <v>0</v>
      </c>
      <c r="E41">
        <f t="array" ref="E41">IF(AND(INDEX('Thang 05-2026'!$A$3:$Q$102,MATCH(1,($A41='Thang 05-2026'!$A$3:$A$102)*($G41='Thang 05-2026'!$C$3:$C$102),0),15)=1,$B41="Triều Xuống"),1,IF(AND(INDEX('Thang 05-2026'!$A$3:$Q$102,MATCH(1,($A41='Thang 05-2026'!$A$3:$A$102)*($G41='Thang 05-2026'!$C$3:$C$102),0),14)=1,$B41="Triều Lên",INDEX('Thang 05-2026'!$A$3:$Q$102,MATCH(1,($A41='Thang 05-2026'!$A$3:$A$102)*($G41='Thang 05-2026'!$C$3:$C$102),0),15)=0),1,0))</f>
        <v>0</v>
      </c>
      <c r="F41">
        <f t="shared" si="0"/>
        <v>0</v>
      </c>
      <c r="G41">
        <f>INDEX('Thang 05-2026'!$A$3:$C$102,MATCH(A41,'Thang 05-2026'!$A$3:$A$102,0),3)</f>
        <v>7</v>
      </c>
    </row>
    <row r="42" spans="1:7" x14ac:dyDescent="0.2">
      <c r="A42" t="s">
        <v>33</v>
      </c>
      <c r="B42" t="s">
        <v>118</v>
      </c>
      <c r="C42">
        <v>1</v>
      </c>
      <c r="D42">
        <f t="array" ref="D42">IF(AND(INDEX('Thang 05-2026'!$A$3:$Q$102,MATCH(1,($A42='Thang 05-2026'!$A$3:$A$102)*($G42='Thang 05-2026'!$C$3:$C$102),0),11)=1,$B42="Triều Xuống"),1,IF(AND(INDEX('Thang 05-2026'!$A$3:$Q$102,MATCH(1,($A42='Thang 05-2026'!$A$3:$A$102)*($G42='Thang 05-2026'!$C$3:$C$102),0),10)=1,$B42="Triều Lên",INDEX('Thang 05-2026'!$A$3:$Q$102,MATCH(1,($A42='Thang 05-2026'!$A$3:$A$102)*($G42='Thang 05-2026'!$C$3:$C$102),0),11)=0),1,0))</f>
        <v>0</v>
      </c>
      <c r="E42">
        <f t="array" ref="E42">IF(AND(INDEX('Thang 05-2026'!$A$3:$Q$102,MATCH(1,($A42='Thang 05-2026'!$A$3:$A$102)*($G42='Thang 05-2026'!$C$3:$C$102),0),15)=1,$B42="Triều Xuống"),1,IF(AND(INDEX('Thang 05-2026'!$A$3:$Q$102,MATCH(1,($A42='Thang 05-2026'!$A$3:$A$102)*($G42='Thang 05-2026'!$C$3:$C$102),0),14)=1,$B42="Triều Lên",INDEX('Thang 05-2026'!$A$3:$Q$102,MATCH(1,($A42='Thang 05-2026'!$A$3:$A$102)*($G42='Thang 05-2026'!$C$3:$C$102),0),15)=0),1,0))</f>
        <v>0</v>
      </c>
      <c r="F42">
        <f t="shared" si="0"/>
        <v>0</v>
      </c>
      <c r="G42">
        <f>INDEX('Thang 05-2026'!$A$3:$C$102,MATCH(A42,'Thang 05-2026'!$A$3:$A$102,0),3)</f>
        <v>7</v>
      </c>
    </row>
    <row r="43" spans="1:7" x14ac:dyDescent="0.2">
      <c r="A43" t="s">
        <v>34</v>
      </c>
      <c r="B43" t="s">
        <v>118</v>
      </c>
      <c r="C43">
        <v>1</v>
      </c>
      <c r="D43">
        <f t="array" ref="D43">IF(AND(INDEX('Thang 05-2026'!$A$3:$Q$102,MATCH(1,($A43='Thang 05-2026'!$A$3:$A$102)*($G43='Thang 05-2026'!$C$3:$C$102),0),11)=1,$B43="Triều Xuống"),1,IF(AND(INDEX('Thang 05-2026'!$A$3:$Q$102,MATCH(1,($A43='Thang 05-2026'!$A$3:$A$102)*($G43='Thang 05-2026'!$C$3:$C$102),0),10)=1,$B43="Triều Lên",INDEX('Thang 05-2026'!$A$3:$Q$102,MATCH(1,($A43='Thang 05-2026'!$A$3:$A$102)*($G43='Thang 05-2026'!$C$3:$C$102),0),11)=0),1,0))</f>
        <v>0</v>
      </c>
      <c r="E43">
        <f t="array" ref="E43">IF(AND(INDEX('Thang 05-2026'!$A$3:$Q$102,MATCH(1,($A43='Thang 05-2026'!$A$3:$A$102)*($G43='Thang 05-2026'!$C$3:$C$102),0),15)=1,$B43="Triều Xuống"),1,IF(AND(INDEX('Thang 05-2026'!$A$3:$Q$102,MATCH(1,($A43='Thang 05-2026'!$A$3:$A$102)*($G43='Thang 05-2026'!$C$3:$C$102),0),14)=1,$B43="Triều Lên",INDEX('Thang 05-2026'!$A$3:$Q$102,MATCH(1,($A43='Thang 05-2026'!$A$3:$A$102)*($G43='Thang 05-2026'!$C$3:$C$102),0),15)=0),1,0))</f>
        <v>0</v>
      </c>
      <c r="F43">
        <f t="shared" si="0"/>
        <v>0</v>
      </c>
      <c r="G43">
        <f>INDEX('Thang 05-2026'!$A$3:$C$102,MATCH(A43,'Thang 05-2026'!$A$3:$A$102,0),3)</f>
        <v>7</v>
      </c>
    </row>
    <row r="44" spans="1:7" x14ac:dyDescent="0.2">
      <c r="A44" t="s">
        <v>30</v>
      </c>
      <c r="B44" t="s">
        <v>121</v>
      </c>
      <c r="C44">
        <v>1</v>
      </c>
      <c r="D44">
        <f t="array" ref="D44">IF(AND(INDEX('Thang 05-2026'!$A$3:$Q$102,MATCH(1,($A44='Thang 05-2026'!$A$3:$A$102)*($G44='Thang 05-2026'!$C$3:$C$102),0),11)=1,$B44="Triều Xuống"),1,IF(AND(INDEX('Thang 05-2026'!$A$3:$Q$102,MATCH(1,($A44='Thang 05-2026'!$A$3:$A$102)*($G44='Thang 05-2026'!$C$3:$C$102),0),10)=1,$B44="Triều Lên",INDEX('Thang 05-2026'!$A$3:$Q$102,MATCH(1,($A44='Thang 05-2026'!$A$3:$A$102)*($G44='Thang 05-2026'!$C$3:$C$102),0),11)=0),1,0))</f>
        <v>0</v>
      </c>
      <c r="E44">
        <f t="array" ref="E44">IF(AND(INDEX('Thang 05-2026'!$A$3:$Q$102,MATCH(1,($A44='Thang 05-2026'!$A$3:$A$102)*($G44='Thang 05-2026'!$C$3:$C$102),0),15)=1,$B44="Triều Xuống"),1,IF(AND(INDEX('Thang 05-2026'!$A$3:$Q$102,MATCH(1,($A44='Thang 05-2026'!$A$3:$A$102)*($G44='Thang 05-2026'!$C$3:$C$102),0),14)=1,$B44="Triều Lên",INDEX('Thang 05-2026'!$A$3:$Q$102,MATCH(1,($A44='Thang 05-2026'!$A$3:$A$102)*($G44='Thang 05-2026'!$C$3:$C$102),0),15)=0),1,0))</f>
        <v>0</v>
      </c>
      <c r="F44">
        <f t="shared" si="0"/>
        <v>0</v>
      </c>
      <c r="G44">
        <f>INDEX('Thang 05-2026'!$A$3:$C$102,MATCH(A44,'Thang 05-2026'!$A$3:$A$102,0),3)</f>
        <v>7</v>
      </c>
    </row>
    <row r="45" spans="1:7" x14ac:dyDescent="0.2">
      <c r="A45" t="s">
        <v>32</v>
      </c>
      <c r="B45" t="s">
        <v>121</v>
      </c>
      <c r="C45">
        <v>1</v>
      </c>
      <c r="D45">
        <f t="array" ref="D45">IF(AND(INDEX('Thang 05-2026'!$A$3:$Q$102,MATCH(1,($A45='Thang 05-2026'!$A$3:$A$102)*($G45='Thang 05-2026'!$C$3:$C$102),0),11)=1,$B45="Triều Xuống"),1,IF(AND(INDEX('Thang 05-2026'!$A$3:$Q$102,MATCH(1,($A45='Thang 05-2026'!$A$3:$A$102)*($G45='Thang 05-2026'!$C$3:$C$102),0),10)=1,$B45="Triều Lên",INDEX('Thang 05-2026'!$A$3:$Q$102,MATCH(1,($A45='Thang 05-2026'!$A$3:$A$102)*($G45='Thang 05-2026'!$C$3:$C$102),0),11)=0),1,0))</f>
        <v>0</v>
      </c>
      <c r="E45">
        <f t="array" ref="E45">IF(AND(INDEX('Thang 05-2026'!$A$3:$Q$102,MATCH(1,($A45='Thang 05-2026'!$A$3:$A$102)*($G45='Thang 05-2026'!$C$3:$C$102),0),15)=1,$B45="Triều Xuống"),1,IF(AND(INDEX('Thang 05-2026'!$A$3:$Q$102,MATCH(1,($A45='Thang 05-2026'!$A$3:$A$102)*($G45='Thang 05-2026'!$C$3:$C$102),0),14)=1,$B45="Triều Lên",INDEX('Thang 05-2026'!$A$3:$Q$102,MATCH(1,($A45='Thang 05-2026'!$A$3:$A$102)*($G45='Thang 05-2026'!$C$3:$C$102),0),15)=0),1,0))</f>
        <v>0</v>
      </c>
      <c r="F45">
        <f t="shared" si="0"/>
        <v>0</v>
      </c>
      <c r="G45">
        <f>INDEX('Thang 05-2026'!$A$3:$C$102,MATCH(A45,'Thang 05-2026'!$A$3:$A$102,0),3)</f>
        <v>7</v>
      </c>
    </row>
    <row r="46" spans="1:7" x14ac:dyDescent="0.2">
      <c r="A46" t="s">
        <v>33</v>
      </c>
      <c r="B46" t="s">
        <v>121</v>
      </c>
      <c r="C46">
        <v>1</v>
      </c>
      <c r="D46">
        <f t="array" ref="D46">IF(AND(INDEX('Thang 05-2026'!$A$3:$Q$102,MATCH(1,($A46='Thang 05-2026'!$A$3:$A$102)*($G46='Thang 05-2026'!$C$3:$C$102),0),11)=1,$B46="Triều Xuống"),1,IF(AND(INDEX('Thang 05-2026'!$A$3:$Q$102,MATCH(1,($A46='Thang 05-2026'!$A$3:$A$102)*($G46='Thang 05-2026'!$C$3:$C$102),0),10)=1,$B46="Triều Lên",INDEX('Thang 05-2026'!$A$3:$Q$102,MATCH(1,($A46='Thang 05-2026'!$A$3:$A$102)*($G46='Thang 05-2026'!$C$3:$C$102),0),11)=0),1,0))</f>
        <v>0</v>
      </c>
      <c r="E46">
        <f t="array" ref="E46">IF(AND(INDEX('Thang 05-2026'!$A$3:$Q$102,MATCH(1,($A46='Thang 05-2026'!$A$3:$A$102)*($G46='Thang 05-2026'!$C$3:$C$102),0),15)=1,$B46="Triều Xuống"),1,IF(AND(INDEX('Thang 05-2026'!$A$3:$Q$102,MATCH(1,($A46='Thang 05-2026'!$A$3:$A$102)*($G46='Thang 05-2026'!$C$3:$C$102),0),14)=1,$B46="Triều Lên",INDEX('Thang 05-2026'!$A$3:$Q$102,MATCH(1,($A46='Thang 05-2026'!$A$3:$A$102)*($G46='Thang 05-2026'!$C$3:$C$102),0),15)=0),1,0))</f>
        <v>0</v>
      </c>
      <c r="F46">
        <f t="shared" si="0"/>
        <v>0</v>
      </c>
      <c r="G46">
        <f>INDEX('Thang 05-2026'!$A$3:$C$102,MATCH(A46,'Thang 05-2026'!$A$3:$A$102,0),3)</f>
        <v>7</v>
      </c>
    </row>
    <row r="47" spans="1:7" x14ac:dyDescent="0.2">
      <c r="A47" t="s">
        <v>34</v>
      </c>
      <c r="B47" t="s">
        <v>121</v>
      </c>
      <c r="C47">
        <v>1</v>
      </c>
      <c r="D47">
        <f t="array" ref="D47">IF(AND(INDEX('Thang 05-2026'!$A$3:$Q$102,MATCH(1,($A47='Thang 05-2026'!$A$3:$A$102)*($G47='Thang 05-2026'!$C$3:$C$102),0),11)=1,$B47="Triều Xuống"),1,IF(AND(INDEX('Thang 05-2026'!$A$3:$Q$102,MATCH(1,($A47='Thang 05-2026'!$A$3:$A$102)*($G47='Thang 05-2026'!$C$3:$C$102),0),10)=1,$B47="Triều Lên",INDEX('Thang 05-2026'!$A$3:$Q$102,MATCH(1,($A47='Thang 05-2026'!$A$3:$A$102)*($G47='Thang 05-2026'!$C$3:$C$102),0),11)=0),1,0))</f>
        <v>0</v>
      </c>
      <c r="E47">
        <f t="array" ref="E47">IF(AND(INDEX('Thang 05-2026'!$A$3:$Q$102,MATCH(1,($A47='Thang 05-2026'!$A$3:$A$102)*($G47='Thang 05-2026'!$C$3:$C$102),0),15)=1,$B47="Triều Xuống"),1,IF(AND(INDEX('Thang 05-2026'!$A$3:$Q$102,MATCH(1,($A47='Thang 05-2026'!$A$3:$A$102)*($G47='Thang 05-2026'!$C$3:$C$102),0),14)=1,$B47="Triều Lên",INDEX('Thang 05-2026'!$A$3:$Q$102,MATCH(1,($A47='Thang 05-2026'!$A$3:$A$102)*($G47='Thang 05-2026'!$C$3:$C$102),0),15)=0),1,0))</f>
        <v>0</v>
      </c>
      <c r="F47">
        <f t="shared" si="0"/>
        <v>0</v>
      </c>
      <c r="G47">
        <f>INDEX('Thang 05-2026'!$A$3:$C$102,MATCH(A47,'Thang 05-2026'!$A$3:$A$102,0),3)</f>
        <v>7</v>
      </c>
    </row>
    <row r="48" spans="1:7" x14ac:dyDescent="0.2">
      <c r="A48" t="s">
        <v>39</v>
      </c>
      <c r="B48" t="s">
        <v>118</v>
      </c>
      <c r="C48">
        <v>1</v>
      </c>
      <c r="D48">
        <f t="array" ref="D48">IF(AND(INDEX('Thang 05-2026'!$A$3:$Q$102,MATCH(1,($A48='Thang 05-2026'!$A$3:$A$102)*($G48='Thang 05-2026'!$C$3:$C$102),0),11)=1,$B48="Triều Xuống"),1,IF(AND(INDEX('Thang 05-2026'!$A$3:$Q$102,MATCH(1,($A48='Thang 05-2026'!$A$3:$A$102)*($G48='Thang 05-2026'!$C$3:$C$102),0),10)=1,$B48="Triều Lên",INDEX('Thang 05-2026'!$A$3:$Q$102,MATCH(1,($A48='Thang 05-2026'!$A$3:$A$102)*($G48='Thang 05-2026'!$C$3:$C$102),0),11)=0),1,0))</f>
        <v>0</v>
      </c>
      <c r="E48">
        <f t="array" ref="E48">IF(AND(INDEX('Thang 05-2026'!$A$3:$Q$102,MATCH(1,($A48='Thang 05-2026'!$A$3:$A$102)*($G48='Thang 05-2026'!$C$3:$C$102),0),15)=1,$B48="Triều Xuống"),1,IF(AND(INDEX('Thang 05-2026'!$A$3:$Q$102,MATCH(1,($A48='Thang 05-2026'!$A$3:$A$102)*($G48='Thang 05-2026'!$C$3:$C$102),0),14)=1,$B48="Triều Lên",INDEX('Thang 05-2026'!$A$3:$Q$102,MATCH(1,($A48='Thang 05-2026'!$A$3:$A$102)*($G48='Thang 05-2026'!$C$3:$C$102),0),15)=0),1,0))</f>
        <v>0</v>
      </c>
      <c r="F48">
        <f t="shared" si="0"/>
        <v>0</v>
      </c>
      <c r="G48">
        <f>INDEX('Thang 05-2026'!$A$3:$C$102,MATCH(A48,'Thang 05-2026'!$A$3:$A$102,0),3)</f>
        <v>8</v>
      </c>
    </row>
    <row r="49" spans="1:7" x14ac:dyDescent="0.2">
      <c r="A49" t="s">
        <v>39</v>
      </c>
      <c r="B49" t="s">
        <v>121</v>
      </c>
      <c r="C49">
        <v>1</v>
      </c>
      <c r="D49">
        <f t="array" ref="D49">IF(AND(INDEX('Thang 05-2026'!$A$3:$Q$102,MATCH(1,($A49='Thang 05-2026'!$A$3:$A$102)*($G49='Thang 05-2026'!$C$3:$C$102),0),11)=1,$B49="Triều Xuống"),1,IF(AND(INDEX('Thang 05-2026'!$A$3:$Q$102,MATCH(1,($A49='Thang 05-2026'!$A$3:$A$102)*($G49='Thang 05-2026'!$C$3:$C$102),0),10)=1,$B49="Triều Lên",INDEX('Thang 05-2026'!$A$3:$Q$102,MATCH(1,($A49='Thang 05-2026'!$A$3:$A$102)*($G49='Thang 05-2026'!$C$3:$C$102),0),11)=0),1,0))</f>
        <v>0</v>
      </c>
      <c r="E49">
        <f t="array" ref="E49">IF(AND(INDEX('Thang 05-2026'!$A$3:$Q$102,MATCH(1,($A49='Thang 05-2026'!$A$3:$A$102)*($G49='Thang 05-2026'!$C$3:$C$102),0),15)=1,$B49="Triều Xuống"),1,IF(AND(INDEX('Thang 05-2026'!$A$3:$Q$102,MATCH(1,($A49='Thang 05-2026'!$A$3:$A$102)*($G49='Thang 05-2026'!$C$3:$C$102),0),14)=1,$B49="Triều Lên",INDEX('Thang 05-2026'!$A$3:$Q$102,MATCH(1,($A49='Thang 05-2026'!$A$3:$A$102)*($G49='Thang 05-2026'!$C$3:$C$102),0),15)=0),1,0))</f>
        <v>0</v>
      </c>
      <c r="F49">
        <f t="shared" si="0"/>
        <v>0</v>
      </c>
      <c r="G49">
        <f>INDEX('Thang 05-2026'!$A$3:$C$102,MATCH(A49,'Thang 05-2026'!$A$3:$A$102,0),3)</f>
        <v>8</v>
      </c>
    </row>
    <row r="50" spans="1:7" x14ac:dyDescent="0.2">
      <c r="A50" t="s">
        <v>35</v>
      </c>
      <c r="B50" t="s">
        <v>118</v>
      </c>
      <c r="C50">
        <v>1</v>
      </c>
      <c r="D50">
        <f t="array" ref="D50">IF(AND(INDEX('Thang 05-2026'!$A$3:$Q$102,MATCH(1,($A50='Thang 05-2026'!$A$3:$A$102)*($G50='Thang 05-2026'!$C$3:$C$102),0),11)=1,$B50="Triều Xuống"),1,IF(AND(INDEX('Thang 05-2026'!$A$3:$Q$102,MATCH(1,($A50='Thang 05-2026'!$A$3:$A$102)*($G50='Thang 05-2026'!$C$3:$C$102),0),10)=1,$B50="Triều Lên",INDEX('Thang 05-2026'!$A$3:$Q$102,MATCH(1,($A50='Thang 05-2026'!$A$3:$A$102)*($G50='Thang 05-2026'!$C$3:$C$102),0),11)=0),1,0))</f>
        <v>1</v>
      </c>
      <c r="E50">
        <f t="array" ref="E50">IF(AND(INDEX('Thang 05-2026'!$A$3:$Q$102,MATCH(1,($A50='Thang 05-2026'!$A$3:$A$102)*($G50='Thang 05-2026'!$C$3:$C$102),0),15)=1,$B50="Triều Xuống"),1,IF(AND(INDEX('Thang 05-2026'!$A$3:$Q$102,MATCH(1,($A50='Thang 05-2026'!$A$3:$A$102)*($G50='Thang 05-2026'!$C$3:$C$102),0),14)=1,$B50="Triều Lên",INDEX('Thang 05-2026'!$A$3:$Q$102,MATCH(1,($A50='Thang 05-2026'!$A$3:$A$102)*($G50='Thang 05-2026'!$C$3:$C$102),0),15)=0),1,0))</f>
        <v>0</v>
      </c>
      <c r="F50">
        <f t="shared" si="0"/>
        <v>1</v>
      </c>
      <c r="G50">
        <f>INDEX('Thang 05-2026'!$A$3:$C$102,MATCH(A50,'Thang 05-2026'!$A$3:$A$102,0),3)</f>
        <v>8</v>
      </c>
    </row>
    <row r="51" spans="1:7" x14ac:dyDescent="0.2">
      <c r="A51" t="s">
        <v>37</v>
      </c>
      <c r="B51" t="s">
        <v>118</v>
      </c>
      <c r="C51">
        <v>1</v>
      </c>
      <c r="D51">
        <f t="array" ref="D51">IF(AND(INDEX('Thang 05-2026'!$A$3:$Q$102,MATCH(1,($A51='Thang 05-2026'!$A$3:$A$102)*($G51='Thang 05-2026'!$C$3:$C$102),0),11)=1,$B51="Triều Xuống"),1,IF(AND(INDEX('Thang 05-2026'!$A$3:$Q$102,MATCH(1,($A51='Thang 05-2026'!$A$3:$A$102)*($G51='Thang 05-2026'!$C$3:$C$102),0),10)=1,$B51="Triều Lên",INDEX('Thang 05-2026'!$A$3:$Q$102,MATCH(1,($A51='Thang 05-2026'!$A$3:$A$102)*($G51='Thang 05-2026'!$C$3:$C$102),0),11)=0),1,0))</f>
        <v>0</v>
      </c>
      <c r="E51">
        <f t="array" ref="E51">IF(AND(INDEX('Thang 05-2026'!$A$3:$Q$102,MATCH(1,($A51='Thang 05-2026'!$A$3:$A$102)*($G51='Thang 05-2026'!$C$3:$C$102),0),15)=1,$B51="Triều Xuống"),1,IF(AND(INDEX('Thang 05-2026'!$A$3:$Q$102,MATCH(1,($A51='Thang 05-2026'!$A$3:$A$102)*($G51='Thang 05-2026'!$C$3:$C$102),0),14)=1,$B51="Triều Lên",INDEX('Thang 05-2026'!$A$3:$Q$102,MATCH(1,($A51='Thang 05-2026'!$A$3:$A$102)*($G51='Thang 05-2026'!$C$3:$C$102),0),15)=0),1,0))</f>
        <v>0</v>
      </c>
      <c r="F51">
        <f t="shared" si="0"/>
        <v>0</v>
      </c>
      <c r="G51">
        <f>INDEX('Thang 05-2026'!$A$3:$C$102,MATCH(A51,'Thang 05-2026'!$A$3:$A$102,0),3)</f>
        <v>8</v>
      </c>
    </row>
    <row r="52" spans="1:7" x14ac:dyDescent="0.2">
      <c r="A52" t="s">
        <v>38</v>
      </c>
      <c r="B52" t="s">
        <v>118</v>
      </c>
      <c r="C52">
        <v>1</v>
      </c>
      <c r="D52">
        <f t="array" ref="D52">IF(AND(INDEX('Thang 05-2026'!$A$3:$Q$102,MATCH(1,($A52='Thang 05-2026'!$A$3:$A$102)*($G52='Thang 05-2026'!$C$3:$C$102),0),11)=1,$B52="Triều Xuống"),1,IF(AND(INDEX('Thang 05-2026'!$A$3:$Q$102,MATCH(1,($A52='Thang 05-2026'!$A$3:$A$102)*($G52='Thang 05-2026'!$C$3:$C$102),0),10)=1,$B52="Triều Lên",INDEX('Thang 05-2026'!$A$3:$Q$102,MATCH(1,($A52='Thang 05-2026'!$A$3:$A$102)*($G52='Thang 05-2026'!$C$3:$C$102),0),11)=0),1,0))</f>
        <v>0</v>
      </c>
      <c r="E52">
        <f t="array" ref="E52">IF(AND(INDEX('Thang 05-2026'!$A$3:$Q$102,MATCH(1,($A52='Thang 05-2026'!$A$3:$A$102)*($G52='Thang 05-2026'!$C$3:$C$102),0),15)=1,$B52="Triều Xuống"),1,IF(AND(INDEX('Thang 05-2026'!$A$3:$Q$102,MATCH(1,($A52='Thang 05-2026'!$A$3:$A$102)*($G52='Thang 05-2026'!$C$3:$C$102),0),14)=1,$B52="Triều Lên",INDEX('Thang 05-2026'!$A$3:$Q$102,MATCH(1,($A52='Thang 05-2026'!$A$3:$A$102)*($G52='Thang 05-2026'!$C$3:$C$102),0),15)=0),1,0))</f>
        <v>0</v>
      </c>
      <c r="F52">
        <f t="shared" si="0"/>
        <v>0</v>
      </c>
      <c r="G52">
        <f>INDEX('Thang 05-2026'!$A$3:$C$102,MATCH(A52,'Thang 05-2026'!$A$3:$A$102,0),3)</f>
        <v>8</v>
      </c>
    </row>
    <row r="53" spans="1:7" x14ac:dyDescent="0.2">
      <c r="A53" t="s">
        <v>35</v>
      </c>
      <c r="B53" t="s">
        <v>121</v>
      </c>
      <c r="C53">
        <v>1</v>
      </c>
      <c r="D53">
        <f t="array" ref="D53">IF(AND(INDEX('Thang 05-2026'!$A$3:$Q$102,MATCH(1,($A53='Thang 05-2026'!$A$3:$A$102)*($G53='Thang 05-2026'!$C$3:$C$102),0),11)=1,$B53="Triều Xuống"),1,IF(AND(INDEX('Thang 05-2026'!$A$3:$Q$102,MATCH(1,($A53='Thang 05-2026'!$A$3:$A$102)*($G53='Thang 05-2026'!$C$3:$C$102),0),10)=1,$B53="Triều Lên",INDEX('Thang 05-2026'!$A$3:$Q$102,MATCH(1,($A53='Thang 05-2026'!$A$3:$A$102)*($G53='Thang 05-2026'!$C$3:$C$102),0),11)=0),1,0))</f>
        <v>0</v>
      </c>
      <c r="E53">
        <f t="array" ref="E53">IF(AND(INDEX('Thang 05-2026'!$A$3:$Q$102,MATCH(1,($A53='Thang 05-2026'!$A$3:$A$102)*($G53='Thang 05-2026'!$C$3:$C$102),0),15)=1,$B53="Triều Xuống"),1,IF(AND(INDEX('Thang 05-2026'!$A$3:$Q$102,MATCH(1,($A53='Thang 05-2026'!$A$3:$A$102)*($G53='Thang 05-2026'!$C$3:$C$102),0),14)=1,$B53="Triều Lên",INDEX('Thang 05-2026'!$A$3:$Q$102,MATCH(1,($A53='Thang 05-2026'!$A$3:$A$102)*($G53='Thang 05-2026'!$C$3:$C$102),0),15)=0),1,0))</f>
        <v>0</v>
      </c>
      <c r="F53">
        <f t="shared" si="0"/>
        <v>0</v>
      </c>
      <c r="G53">
        <f>INDEX('Thang 05-2026'!$A$3:$C$102,MATCH(A53,'Thang 05-2026'!$A$3:$A$102,0),3)</f>
        <v>8</v>
      </c>
    </row>
    <row r="54" spans="1:7" x14ac:dyDescent="0.2">
      <c r="A54" t="s">
        <v>37</v>
      </c>
      <c r="B54" t="s">
        <v>121</v>
      </c>
      <c r="C54">
        <v>1</v>
      </c>
      <c r="D54">
        <f t="array" ref="D54">IF(AND(INDEX('Thang 05-2026'!$A$3:$Q$102,MATCH(1,($A54='Thang 05-2026'!$A$3:$A$102)*($G54='Thang 05-2026'!$C$3:$C$102),0),11)=1,$B54="Triều Xuống"),1,IF(AND(INDEX('Thang 05-2026'!$A$3:$Q$102,MATCH(1,($A54='Thang 05-2026'!$A$3:$A$102)*($G54='Thang 05-2026'!$C$3:$C$102),0),10)=1,$B54="Triều Lên",INDEX('Thang 05-2026'!$A$3:$Q$102,MATCH(1,($A54='Thang 05-2026'!$A$3:$A$102)*($G54='Thang 05-2026'!$C$3:$C$102),0),11)=0),1,0))</f>
        <v>0</v>
      </c>
      <c r="E54">
        <f t="array" ref="E54">IF(AND(INDEX('Thang 05-2026'!$A$3:$Q$102,MATCH(1,($A54='Thang 05-2026'!$A$3:$A$102)*($G54='Thang 05-2026'!$C$3:$C$102),0),15)=1,$B54="Triều Xuống"),1,IF(AND(INDEX('Thang 05-2026'!$A$3:$Q$102,MATCH(1,($A54='Thang 05-2026'!$A$3:$A$102)*($G54='Thang 05-2026'!$C$3:$C$102),0),14)=1,$B54="Triều Lên",INDEX('Thang 05-2026'!$A$3:$Q$102,MATCH(1,($A54='Thang 05-2026'!$A$3:$A$102)*($G54='Thang 05-2026'!$C$3:$C$102),0),15)=0),1,0))</f>
        <v>0</v>
      </c>
      <c r="F54">
        <f t="shared" si="0"/>
        <v>0</v>
      </c>
      <c r="G54">
        <f>INDEX('Thang 05-2026'!$A$3:$C$102,MATCH(A54,'Thang 05-2026'!$A$3:$A$102,0),3)</f>
        <v>8</v>
      </c>
    </row>
    <row r="55" spans="1:7" x14ac:dyDescent="0.2">
      <c r="A55" t="s">
        <v>38</v>
      </c>
      <c r="B55" t="s">
        <v>121</v>
      </c>
      <c r="C55">
        <v>1</v>
      </c>
      <c r="D55">
        <f t="array" ref="D55">IF(AND(INDEX('Thang 05-2026'!$A$3:$Q$102,MATCH(1,($A55='Thang 05-2026'!$A$3:$A$102)*($G55='Thang 05-2026'!$C$3:$C$102),0),11)=1,$B55="Triều Xuống"),1,IF(AND(INDEX('Thang 05-2026'!$A$3:$Q$102,MATCH(1,($A55='Thang 05-2026'!$A$3:$A$102)*($G55='Thang 05-2026'!$C$3:$C$102),0),10)=1,$B55="Triều Lên",INDEX('Thang 05-2026'!$A$3:$Q$102,MATCH(1,($A55='Thang 05-2026'!$A$3:$A$102)*($G55='Thang 05-2026'!$C$3:$C$102),0),11)=0),1,0))</f>
        <v>0</v>
      </c>
      <c r="E55">
        <f t="array" ref="E55">IF(AND(INDEX('Thang 05-2026'!$A$3:$Q$102,MATCH(1,($A55='Thang 05-2026'!$A$3:$A$102)*($G55='Thang 05-2026'!$C$3:$C$102),0),15)=1,$B55="Triều Xuống"),1,IF(AND(INDEX('Thang 05-2026'!$A$3:$Q$102,MATCH(1,($A55='Thang 05-2026'!$A$3:$A$102)*($G55='Thang 05-2026'!$C$3:$C$102),0),14)=1,$B55="Triều Lên",INDEX('Thang 05-2026'!$A$3:$Q$102,MATCH(1,($A55='Thang 05-2026'!$A$3:$A$102)*($G55='Thang 05-2026'!$C$3:$C$102),0),15)=0),1,0))</f>
        <v>0</v>
      </c>
      <c r="F55">
        <f t="shared" si="0"/>
        <v>0</v>
      </c>
      <c r="G55">
        <f>INDEX('Thang 05-2026'!$A$3:$C$102,MATCH(A55,'Thang 05-2026'!$A$3:$A$102,0),3)</f>
        <v>8</v>
      </c>
    </row>
    <row r="56" spans="1:7" x14ac:dyDescent="0.2">
      <c r="A56" t="s">
        <v>125</v>
      </c>
      <c r="B56" t="s">
        <v>118</v>
      </c>
      <c r="C56">
        <v>1</v>
      </c>
      <c r="D56">
        <f t="array" ref="D56">IF(AND(INDEX('Thang 05-2026'!$A$3:$Q$102,MATCH(1,($A56='Thang 05-2026'!$A$3:$A$102)*($G56='Thang 05-2026'!$C$3:$C$102),0),11)=1,$B56="Triều Xuống"),1,IF(AND(INDEX('Thang 05-2026'!$A$3:$Q$102,MATCH(1,($A56='Thang 05-2026'!$A$3:$A$102)*($G56='Thang 05-2026'!$C$3:$C$102),0),10)=1,$B56="Triều Lên",INDEX('Thang 05-2026'!$A$3:$Q$102,MATCH(1,($A56='Thang 05-2026'!$A$3:$A$102)*($G56='Thang 05-2026'!$C$3:$C$102),0),11)=0),1,0))</f>
        <v>0</v>
      </c>
      <c r="E56">
        <f t="array" ref="E56">IF(AND(INDEX('Thang 05-2026'!$A$3:$Q$102,MATCH(1,($A56='Thang 05-2026'!$A$3:$A$102)*($G56='Thang 05-2026'!$C$3:$C$102),0),15)=1,$B56="Triều Xuống"),1,IF(AND(INDEX('Thang 05-2026'!$A$3:$Q$102,MATCH(1,($A56='Thang 05-2026'!$A$3:$A$102)*($G56='Thang 05-2026'!$C$3:$C$102),0),14)=1,$B56="Triều Lên",INDEX('Thang 05-2026'!$A$3:$Q$102,MATCH(1,($A56='Thang 05-2026'!$A$3:$A$102)*($G56='Thang 05-2026'!$C$3:$C$102),0),15)=0),1,0))</f>
        <v>1</v>
      </c>
      <c r="F56">
        <f t="shared" si="0"/>
        <v>1</v>
      </c>
      <c r="G56">
        <f>INDEX('Thang 05-2026'!$A$3:$C$102,MATCH(A56,'Thang 05-2026'!$A$3:$A$102,0),3)</f>
        <v>11</v>
      </c>
    </row>
    <row r="57" spans="1:7" x14ac:dyDescent="0.2">
      <c r="A57" t="s">
        <v>126</v>
      </c>
      <c r="B57" t="s">
        <v>118</v>
      </c>
      <c r="C57">
        <v>1</v>
      </c>
      <c r="D57">
        <f t="array" ref="D57">IF(AND(INDEX('Thang 05-2026'!$A$3:$Q$102,MATCH(1,($A57='Thang 05-2026'!$A$3:$A$102)*($G57='Thang 05-2026'!$C$3:$C$102),0),11)=1,$B57="Triều Xuống"),1,IF(AND(INDEX('Thang 05-2026'!$A$3:$Q$102,MATCH(1,($A57='Thang 05-2026'!$A$3:$A$102)*($G57='Thang 05-2026'!$C$3:$C$102),0),10)=1,$B57="Triều Lên",INDEX('Thang 05-2026'!$A$3:$Q$102,MATCH(1,($A57='Thang 05-2026'!$A$3:$A$102)*($G57='Thang 05-2026'!$C$3:$C$102),0),11)=0),1,0))</f>
        <v>0</v>
      </c>
      <c r="E57">
        <f t="array" ref="E57">IF(AND(INDEX('Thang 05-2026'!$A$3:$Q$102,MATCH(1,($A57='Thang 05-2026'!$A$3:$A$102)*($G57='Thang 05-2026'!$C$3:$C$102),0),15)=1,$B57="Triều Xuống"),1,IF(AND(INDEX('Thang 05-2026'!$A$3:$Q$102,MATCH(1,($A57='Thang 05-2026'!$A$3:$A$102)*($G57='Thang 05-2026'!$C$3:$C$102),0),14)=1,$B57="Triều Lên",INDEX('Thang 05-2026'!$A$3:$Q$102,MATCH(1,($A57='Thang 05-2026'!$A$3:$A$102)*($G57='Thang 05-2026'!$C$3:$C$102),0),15)=0),1,0))</f>
        <v>0</v>
      </c>
      <c r="F57">
        <f t="shared" si="0"/>
        <v>0</v>
      </c>
      <c r="G57">
        <f>INDEX('Thang 05-2026'!$A$3:$C$102,MATCH(A57,'Thang 05-2026'!$A$3:$A$102,0),3)</f>
        <v>11</v>
      </c>
    </row>
    <row r="58" spans="1:7" x14ac:dyDescent="0.2">
      <c r="A58" t="s">
        <v>127</v>
      </c>
      <c r="B58" t="s">
        <v>118</v>
      </c>
      <c r="C58">
        <v>1</v>
      </c>
      <c r="D58">
        <f t="array" ref="D58">IF(AND(INDEX('Thang 05-2026'!$A$3:$Q$102,MATCH(1,($A58='Thang 05-2026'!$A$3:$A$102)*($G58='Thang 05-2026'!$C$3:$C$102),0),11)=1,$B58="Triều Xuống"),1,IF(AND(INDEX('Thang 05-2026'!$A$3:$Q$102,MATCH(1,($A58='Thang 05-2026'!$A$3:$A$102)*($G58='Thang 05-2026'!$C$3:$C$102),0),10)=1,$B58="Triều Lên",INDEX('Thang 05-2026'!$A$3:$Q$102,MATCH(1,($A58='Thang 05-2026'!$A$3:$A$102)*($G58='Thang 05-2026'!$C$3:$C$102),0),11)=0),1,0))</f>
        <v>0</v>
      </c>
      <c r="E58">
        <f t="array" ref="E58">IF(AND(INDEX('Thang 05-2026'!$A$3:$Q$102,MATCH(1,($A58='Thang 05-2026'!$A$3:$A$102)*($G58='Thang 05-2026'!$C$3:$C$102),0),15)=1,$B58="Triều Xuống"),1,IF(AND(INDEX('Thang 05-2026'!$A$3:$Q$102,MATCH(1,($A58='Thang 05-2026'!$A$3:$A$102)*($G58='Thang 05-2026'!$C$3:$C$102),0),14)=1,$B58="Triều Lên",INDEX('Thang 05-2026'!$A$3:$Q$102,MATCH(1,($A58='Thang 05-2026'!$A$3:$A$102)*($G58='Thang 05-2026'!$C$3:$C$102),0),15)=0),1,0))</f>
        <v>0</v>
      </c>
      <c r="F58">
        <f t="shared" si="0"/>
        <v>0</v>
      </c>
      <c r="G58">
        <f>INDEX('Thang 05-2026'!$A$3:$C$102,MATCH(A58,'Thang 05-2026'!$A$3:$A$102,0),3)</f>
        <v>11</v>
      </c>
    </row>
    <row r="59" spans="1:7" x14ac:dyDescent="0.2">
      <c r="A59" t="s">
        <v>128</v>
      </c>
      <c r="B59" t="s">
        <v>118</v>
      </c>
      <c r="C59">
        <v>1</v>
      </c>
      <c r="D59">
        <f t="array" ref="D59">IF(AND(INDEX('Thang 05-2026'!$A$3:$Q$102,MATCH(1,($A59='Thang 05-2026'!$A$3:$A$102)*($G59='Thang 05-2026'!$C$3:$C$102),0),11)=1,$B59="Triều Xuống"),1,IF(AND(INDEX('Thang 05-2026'!$A$3:$Q$102,MATCH(1,($A59='Thang 05-2026'!$A$3:$A$102)*($G59='Thang 05-2026'!$C$3:$C$102),0),10)=1,$B59="Triều Lên",INDEX('Thang 05-2026'!$A$3:$Q$102,MATCH(1,($A59='Thang 05-2026'!$A$3:$A$102)*($G59='Thang 05-2026'!$C$3:$C$102),0),11)=0),1,0))</f>
        <v>0</v>
      </c>
      <c r="E59">
        <f t="array" ref="E59">IF(AND(INDEX('Thang 05-2026'!$A$3:$Q$102,MATCH(1,($A59='Thang 05-2026'!$A$3:$A$102)*($G59='Thang 05-2026'!$C$3:$C$102),0),15)=1,$B59="Triều Xuống"),1,IF(AND(INDEX('Thang 05-2026'!$A$3:$Q$102,MATCH(1,($A59='Thang 05-2026'!$A$3:$A$102)*($G59='Thang 05-2026'!$C$3:$C$102),0),14)=1,$B59="Triều Lên",INDEX('Thang 05-2026'!$A$3:$Q$102,MATCH(1,($A59='Thang 05-2026'!$A$3:$A$102)*($G59='Thang 05-2026'!$C$3:$C$102),0),15)=0),1,0))</f>
        <v>0</v>
      </c>
      <c r="F59">
        <f t="shared" si="0"/>
        <v>0</v>
      </c>
      <c r="G59">
        <f>INDEX('Thang 05-2026'!$A$3:$C$102,MATCH(A59,'Thang 05-2026'!$A$3:$A$102,0),3)</f>
        <v>11</v>
      </c>
    </row>
    <row r="60" spans="1:7" x14ac:dyDescent="0.2">
      <c r="A60" t="s">
        <v>125</v>
      </c>
      <c r="B60" t="s">
        <v>121</v>
      </c>
      <c r="C60">
        <v>1</v>
      </c>
      <c r="D60">
        <f t="array" ref="D60">IF(AND(INDEX('Thang 05-2026'!$A$3:$Q$102,MATCH(1,($A60='Thang 05-2026'!$A$3:$A$102)*($G60='Thang 05-2026'!$C$3:$C$102),0),11)=1,$B60="Triều Xuống"),1,IF(AND(INDEX('Thang 05-2026'!$A$3:$Q$102,MATCH(1,($A60='Thang 05-2026'!$A$3:$A$102)*($G60='Thang 05-2026'!$C$3:$C$102),0),10)=1,$B60="Triều Lên",INDEX('Thang 05-2026'!$A$3:$Q$102,MATCH(1,($A60='Thang 05-2026'!$A$3:$A$102)*($G60='Thang 05-2026'!$C$3:$C$102),0),11)=0),1,0))</f>
        <v>0</v>
      </c>
      <c r="E60">
        <f t="array" ref="E60">IF(AND(INDEX('Thang 05-2026'!$A$3:$Q$102,MATCH(1,($A60='Thang 05-2026'!$A$3:$A$102)*($G60='Thang 05-2026'!$C$3:$C$102),0),15)=1,$B60="Triều Xuống"),1,IF(AND(INDEX('Thang 05-2026'!$A$3:$Q$102,MATCH(1,($A60='Thang 05-2026'!$A$3:$A$102)*($G60='Thang 05-2026'!$C$3:$C$102),0),14)=1,$B60="Triều Lên",INDEX('Thang 05-2026'!$A$3:$Q$102,MATCH(1,($A60='Thang 05-2026'!$A$3:$A$102)*($G60='Thang 05-2026'!$C$3:$C$102),0),15)=0),1,0))</f>
        <v>0</v>
      </c>
      <c r="F60">
        <f t="shared" si="0"/>
        <v>0</v>
      </c>
      <c r="G60">
        <f>INDEX('Thang 05-2026'!$A$3:$C$102,MATCH(A60,'Thang 05-2026'!$A$3:$A$102,0),3)</f>
        <v>11</v>
      </c>
    </row>
    <row r="61" spans="1:7" x14ac:dyDescent="0.2">
      <c r="A61" t="s">
        <v>126</v>
      </c>
      <c r="B61" t="s">
        <v>121</v>
      </c>
      <c r="C61">
        <v>1</v>
      </c>
      <c r="D61">
        <f t="array" ref="D61">IF(AND(INDEX('Thang 05-2026'!$A$3:$Q$102,MATCH(1,($A61='Thang 05-2026'!$A$3:$A$102)*($G61='Thang 05-2026'!$C$3:$C$102),0),11)=1,$B61="Triều Xuống"),1,IF(AND(INDEX('Thang 05-2026'!$A$3:$Q$102,MATCH(1,($A61='Thang 05-2026'!$A$3:$A$102)*($G61='Thang 05-2026'!$C$3:$C$102),0),10)=1,$B61="Triều Lên",INDEX('Thang 05-2026'!$A$3:$Q$102,MATCH(1,($A61='Thang 05-2026'!$A$3:$A$102)*($G61='Thang 05-2026'!$C$3:$C$102),0),11)=0),1,0))</f>
        <v>0</v>
      </c>
      <c r="E61">
        <f t="array" ref="E61">IF(AND(INDEX('Thang 05-2026'!$A$3:$Q$102,MATCH(1,($A61='Thang 05-2026'!$A$3:$A$102)*($G61='Thang 05-2026'!$C$3:$C$102),0),15)=1,$B61="Triều Xuống"),1,IF(AND(INDEX('Thang 05-2026'!$A$3:$Q$102,MATCH(1,($A61='Thang 05-2026'!$A$3:$A$102)*($G61='Thang 05-2026'!$C$3:$C$102),0),14)=1,$B61="Triều Lên",INDEX('Thang 05-2026'!$A$3:$Q$102,MATCH(1,($A61='Thang 05-2026'!$A$3:$A$102)*($G61='Thang 05-2026'!$C$3:$C$102),0),15)=0),1,0))</f>
        <v>0</v>
      </c>
      <c r="F61">
        <f t="shared" si="0"/>
        <v>0</v>
      </c>
      <c r="G61">
        <f>INDEX('Thang 05-2026'!$A$3:$C$102,MATCH(A61,'Thang 05-2026'!$A$3:$A$102,0),3)</f>
        <v>11</v>
      </c>
    </row>
    <row r="62" spans="1:7" x14ac:dyDescent="0.2">
      <c r="A62" t="s">
        <v>127</v>
      </c>
      <c r="B62" t="s">
        <v>121</v>
      </c>
      <c r="C62">
        <v>1</v>
      </c>
      <c r="D62">
        <f t="array" ref="D62">IF(AND(INDEX('Thang 05-2026'!$A$3:$Q$102,MATCH(1,($A62='Thang 05-2026'!$A$3:$A$102)*($G62='Thang 05-2026'!$C$3:$C$102),0),11)=1,$B62="Triều Xuống"),1,IF(AND(INDEX('Thang 05-2026'!$A$3:$Q$102,MATCH(1,($A62='Thang 05-2026'!$A$3:$A$102)*($G62='Thang 05-2026'!$C$3:$C$102),0),10)=1,$B62="Triều Lên",INDEX('Thang 05-2026'!$A$3:$Q$102,MATCH(1,($A62='Thang 05-2026'!$A$3:$A$102)*($G62='Thang 05-2026'!$C$3:$C$102),0),11)=0),1,0))</f>
        <v>0</v>
      </c>
      <c r="E62">
        <f t="array" ref="E62">IF(AND(INDEX('Thang 05-2026'!$A$3:$Q$102,MATCH(1,($A62='Thang 05-2026'!$A$3:$A$102)*($G62='Thang 05-2026'!$C$3:$C$102),0),15)=1,$B62="Triều Xuống"),1,IF(AND(INDEX('Thang 05-2026'!$A$3:$Q$102,MATCH(1,($A62='Thang 05-2026'!$A$3:$A$102)*($G62='Thang 05-2026'!$C$3:$C$102),0),14)=1,$B62="Triều Lên",INDEX('Thang 05-2026'!$A$3:$Q$102,MATCH(1,($A62='Thang 05-2026'!$A$3:$A$102)*($G62='Thang 05-2026'!$C$3:$C$102),0),15)=0),1,0))</f>
        <v>0</v>
      </c>
      <c r="F62">
        <f t="shared" si="0"/>
        <v>0</v>
      </c>
      <c r="G62">
        <f>INDEX('Thang 05-2026'!$A$3:$C$102,MATCH(A62,'Thang 05-2026'!$A$3:$A$102,0),3)</f>
        <v>11</v>
      </c>
    </row>
    <row r="63" spans="1:7" x14ac:dyDescent="0.2">
      <c r="A63" t="s">
        <v>128</v>
      </c>
      <c r="B63" t="s">
        <v>121</v>
      </c>
      <c r="C63">
        <v>1</v>
      </c>
      <c r="D63">
        <f t="array" ref="D63">IF(AND(INDEX('Thang 05-2026'!$A$3:$Q$102,MATCH(1,($A63='Thang 05-2026'!$A$3:$A$102)*($G63='Thang 05-2026'!$C$3:$C$102),0),11)=1,$B63="Triều Xuống"),1,IF(AND(INDEX('Thang 05-2026'!$A$3:$Q$102,MATCH(1,($A63='Thang 05-2026'!$A$3:$A$102)*($G63='Thang 05-2026'!$C$3:$C$102),0),10)=1,$B63="Triều Lên",INDEX('Thang 05-2026'!$A$3:$Q$102,MATCH(1,($A63='Thang 05-2026'!$A$3:$A$102)*($G63='Thang 05-2026'!$C$3:$C$102),0),11)=0),1,0))</f>
        <v>0</v>
      </c>
      <c r="E63">
        <f t="array" ref="E63">IF(AND(INDEX('Thang 05-2026'!$A$3:$Q$102,MATCH(1,($A63='Thang 05-2026'!$A$3:$A$102)*($G63='Thang 05-2026'!$C$3:$C$102),0),15)=1,$B63="Triều Xuống"),1,IF(AND(INDEX('Thang 05-2026'!$A$3:$Q$102,MATCH(1,($A63='Thang 05-2026'!$A$3:$A$102)*($G63='Thang 05-2026'!$C$3:$C$102),0),14)=1,$B63="Triều Lên",INDEX('Thang 05-2026'!$A$3:$Q$102,MATCH(1,($A63='Thang 05-2026'!$A$3:$A$102)*($G63='Thang 05-2026'!$C$3:$C$102),0),15)=0),1,0))</f>
        <v>0</v>
      </c>
      <c r="F63">
        <f t="shared" si="0"/>
        <v>0</v>
      </c>
      <c r="G63">
        <f>INDEX('Thang 05-2026'!$A$3:$C$102,MATCH(A63,'Thang 05-2026'!$A$3:$A$102,0),3)</f>
        <v>11</v>
      </c>
    </row>
    <row r="64" spans="1:7" x14ac:dyDescent="0.2">
      <c r="A64" t="s">
        <v>41</v>
      </c>
      <c r="B64" t="s">
        <v>118</v>
      </c>
      <c r="C64">
        <v>1</v>
      </c>
      <c r="D64">
        <f t="array" ref="D64">IF(AND(INDEX('Thang 05-2026'!$A$3:$Q$102,MATCH(1,($A64='Thang 05-2026'!$A$3:$A$102)*($G64='Thang 05-2026'!$C$3:$C$102),0),11)=1,$B64="Triều Xuống"),1,IF(AND(INDEX('Thang 05-2026'!$A$3:$Q$102,MATCH(1,($A64='Thang 05-2026'!$A$3:$A$102)*($G64='Thang 05-2026'!$C$3:$C$102),0),10)=1,$B64="Triều Lên",INDEX('Thang 05-2026'!$A$3:$Q$102,MATCH(1,($A64='Thang 05-2026'!$A$3:$A$102)*($G64='Thang 05-2026'!$C$3:$C$102),0),11)=0),1,0))</f>
        <v>1</v>
      </c>
      <c r="E64">
        <f t="array" ref="E64">IF(AND(INDEX('Thang 05-2026'!$A$3:$Q$102,MATCH(1,($A64='Thang 05-2026'!$A$3:$A$102)*($G64='Thang 05-2026'!$C$3:$C$102),0),15)=1,$B64="Triều Xuống"),1,IF(AND(INDEX('Thang 05-2026'!$A$3:$Q$102,MATCH(1,($A64='Thang 05-2026'!$A$3:$A$102)*($G64='Thang 05-2026'!$C$3:$C$102),0),14)=1,$B64="Triều Lên",INDEX('Thang 05-2026'!$A$3:$Q$102,MATCH(1,($A64='Thang 05-2026'!$A$3:$A$102)*($G64='Thang 05-2026'!$C$3:$C$102),0),15)=0),1,0))</f>
        <v>0</v>
      </c>
      <c r="F64">
        <f t="shared" si="0"/>
        <v>1</v>
      </c>
      <c r="G64">
        <f>INDEX('Thang 05-2026'!$A$3:$C$102,MATCH(A64,'Thang 05-2026'!$A$3:$A$102,0),3)</f>
        <v>11</v>
      </c>
    </row>
    <row r="65" spans="1:7" x14ac:dyDescent="0.2">
      <c r="A65" t="s">
        <v>42</v>
      </c>
      <c r="B65" t="s">
        <v>118</v>
      </c>
      <c r="C65">
        <v>1</v>
      </c>
      <c r="D65">
        <f t="array" ref="D65">IF(AND(INDEX('Thang 05-2026'!$A$3:$Q$102,MATCH(1,($A65='Thang 05-2026'!$A$3:$A$102)*($G65='Thang 05-2026'!$C$3:$C$102),0),11)=1,$B65="Triều Xuống"),1,IF(AND(INDEX('Thang 05-2026'!$A$3:$Q$102,MATCH(1,($A65='Thang 05-2026'!$A$3:$A$102)*($G65='Thang 05-2026'!$C$3:$C$102),0),10)=1,$B65="Triều Lên",INDEX('Thang 05-2026'!$A$3:$Q$102,MATCH(1,($A65='Thang 05-2026'!$A$3:$A$102)*($G65='Thang 05-2026'!$C$3:$C$102),0),11)=0),1,0))</f>
        <v>0</v>
      </c>
      <c r="E65">
        <f t="array" ref="E65">IF(AND(INDEX('Thang 05-2026'!$A$3:$Q$102,MATCH(1,($A65='Thang 05-2026'!$A$3:$A$102)*($G65='Thang 05-2026'!$C$3:$C$102),0),15)=1,$B65="Triều Xuống"),1,IF(AND(INDEX('Thang 05-2026'!$A$3:$Q$102,MATCH(1,($A65='Thang 05-2026'!$A$3:$A$102)*($G65='Thang 05-2026'!$C$3:$C$102),0),14)=1,$B65="Triều Lên",INDEX('Thang 05-2026'!$A$3:$Q$102,MATCH(1,($A65='Thang 05-2026'!$A$3:$A$102)*($G65='Thang 05-2026'!$C$3:$C$102),0),15)=0),1,0))</f>
        <v>0</v>
      </c>
      <c r="F65">
        <f t="shared" si="0"/>
        <v>0</v>
      </c>
      <c r="G65">
        <f>INDEX('Thang 05-2026'!$A$3:$C$102,MATCH(A65,'Thang 05-2026'!$A$3:$A$102,0),3)</f>
        <v>11</v>
      </c>
    </row>
    <row r="66" spans="1:7" x14ac:dyDescent="0.2">
      <c r="A66" t="s">
        <v>43</v>
      </c>
      <c r="B66" t="s">
        <v>118</v>
      </c>
      <c r="C66">
        <v>1</v>
      </c>
      <c r="D66">
        <f t="array" ref="D66">IF(AND(INDEX('Thang 05-2026'!$A$3:$Q$102,MATCH(1,($A66='Thang 05-2026'!$A$3:$A$102)*($G66='Thang 05-2026'!$C$3:$C$102),0),11)=1,$B66="Triều Xuống"),1,IF(AND(INDEX('Thang 05-2026'!$A$3:$Q$102,MATCH(1,($A66='Thang 05-2026'!$A$3:$A$102)*($G66='Thang 05-2026'!$C$3:$C$102),0),10)=1,$B66="Triều Lên",INDEX('Thang 05-2026'!$A$3:$Q$102,MATCH(1,($A66='Thang 05-2026'!$A$3:$A$102)*($G66='Thang 05-2026'!$C$3:$C$102),0),11)=0),1,0))</f>
        <v>0</v>
      </c>
      <c r="E66">
        <f t="array" ref="E66">IF(AND(INDEX('Thang 05-2026'!$A$3:$Q$102,MATCH(1,($A66='Thang 05-2026'!$A$3:$A$102)*($G66='Thang 05-2026'!$C$3:$C$102),0),15)=1,$B66="Triều Xuống"),1,IF(AND(INDEX('Thang 05-2026'!$A$3:$Q$102,MATCH(1,($A66='Thang 05-2026'!$A$3:$A$102)*($G66='Thang 05-2026'!$C$3:$C$102),0),14)=1,$B66="Triều Lên",INDEX('Thang 05-2026'!$A$3:$Q$102,MATCH(1,($A66='Thang 05-2026'!$A$3:$A$102)*($G66='Thang 05-2026'!$C$3:$C$102),0),15)=0),1,0))</f>
        <v>0</v>
      </c>
      <c r="F66">
        <f t="shared" si="0"/>
        <v>0</v>
      </c>
      <c r="G66">
        <f>INDEX('Thang 05-2026'!$A$3:$C$102,MATCH(A66,'Thang 05-2026'!$A$3:$A$102,0),3)</f>
        <v>11</v>
      </c>
    </row>
    <row r="67" spans="1:7" x14ac:dyDescent="0.2">
      <c r="A67" t="s">
        <v>44</v>
      </c>
      <c r="B67" t="s">
        <v>118</v>
      </c>
      <c r="C67">
        <v>1</v>
      </c>
      <c r="D67">
        <f t="array" ref="D67">IF(AND(INDEX('Thang 05-2026'!$A$3:$Q$102,MATCH(1,($A67='Thang 05-2026'!$A$3:$A$102)*($G67='Thang 05-2026'!$C$3:$C$102),0),11)=1,$B67="Triều Xuống"),1,IF(AND(INDEX('Thang 05-2026'!$A$3:$Q$102,MATCH(1,($A67='Thang 05-2026'!$A$3:$A$102)*($G67='Thang 05-2026'!$C$3:$C$102),0),10)=1,$B67="Triều Lên",INDEX('Thang 05-2026'!$A$3:$Q$102,MATCH(1,($A67='Thang 05-2026'!$A$3:$A$102)*($G67='Thang 05-2026'!$C$3:$C$102),0),11)=0),1,0))</f>
        <v>0</v>
      </c>
      <c r="E67">
        <f t="array" ref="E67">IF(AND(INDEX('Thang 05-2026'!$A$3:$Q$102,MATCH(1,($A67='Thang 05-2026'!$A$3:$A$102)*($G67='Thang 05-2026'!$C$3:$C$102),0),15)=1,$B67="Triều Xuống"),1,IF(AND(INDEX('Thang 05-2026'!$A$3:$Q$102,MATCH(1,($A67='Thang 05-2026'!$A$3:$A$102)*($G67='Thang 05-2026'!$C$3:$C$102),0),14)=1,$B67="Triều Lên",INDEX('Thang 05-2026'!$A$3:$Q$102,MATCH(1,($A67='Thang 05-2026'!$A$3:$A$102)*($G67='Thang 05-2026'!$C$3:$C$102),0),15)=0),1,0))</f>
        <v>0</v>
      </c>
      <c r="F67">
        <f t="shared" ref="F67:F130" si="1">D67+E67</f>
        <v>0</v>
      </c>
      <c r="G67">
        <f>INDEX('Thang 05-2026'!$A$3:$C$102,MATCH(A67,'Thang 05-2026'!$A$3:$A$102,0),3)</f>
        <v>11</v>
      </c>
    </row>
    <row r="68" spans="1:7" x14ac:dyDescent="0.2">
      <c r="A68" t="s">
        <v>41</v>
      </c>
      <c r="B68" t="s">
        <v>121</v>
      </c>
      <c r="C68">
        <v>1</v>
      </c>
      <c r="D68">
        <f t="array" ref="D68">IF(AND(INDEX('Thang 05-2026'!$A$3:$Q$102,MATCH(1,($A68='Thang 05-2026'!$A$3:$A$102)*($G68='Thang 05-2026'!$C$3:$C$102),0),11)=1,$B68="Triều Xuống"),1,IF(AND(INDEX('Thang 05-2026'!$A$3:$Q$102,MATCH(1,($A68='Thang 05-2026'!$A$3:$A$102)*($G68='Thang 05-2026'!$C$3:$C$102),0),10)=1,$B68="Triều Lên",INDEX('Thang 05-2026'!$A$3:$Q$102,MATCH(1,($A68='Thang 05-2026'!$A$3:$A$102)*($G68='Thang 05-2026'!$C$3:$C$102),0),11)=0),1,0))</f>
        <v>0</v>
      </c>
      <c r="E68">
        <f t="array" ref="E68">IF(AND(INDEX('Thang 05-2026'!$A$3:$Q$102,MATCH(1,($A68='Thang 05-2026'!$A$3:$A$102)*($G68='Thang 05-2026'!$C$3:$C$102),0),15)=1,$B68="Triều Xuống"),1,IF(AND(INDEX('Thang 05-2026'!$A$3:$Q$102,MATCH(1,($A68='Thang 05-2026'!$A$3:$A$102)*($G68='Thang 05-2026'!$C$3:$C$102),0),14)=1,$B68="Triều Lên",INDEX('Thang 05-2026'!$A$3:$Q$102,MATCH(1,($A68='Thang 05-2026'!$A$3:$A$102)*($G68='Thang 05-2026'!$C$3:$C$102),0),15)=0),1,0))</f>
        <v>0</v>
      </c>
      <c r="F68">
        <f t="shared" si="1"/>
        <v>0</v>
      </c>
      <c r="G68">
        <f>INDEX('Thang 05-2026'!$A$3:$C$102,MATCH(A68,'Thang 05-2026'!$A$3:$A$102,0),3)</f>
        <v>11</v>
      </c>
    </row>
    <row r="69" spans="1:7" x14ac:dyDescent="0.2">
      <c r="A69" t="s">
        <v>42</v>
      </c>
      <c r="B69" t="s">
        <v>121</v>
      </c>
      <c r="C69">
        <v>1</v>
      </c>
      <c r="D69">
        <f t="array" ref="D69">IF(AND(INDEX('Thang 05-2026'!$A$3:$Q$102,MATCH(1,($A69='Thang 05-2026'!$A$3:$A$102)*($G69='Thang 05-2026'!$C$3:$C$102),0),11)=1,$B69="Triều Xuống"),1,IF(AND(INDEX('Thang 05-2026'!$A$3:$Q$102,MATCH(1,($A69='Thang 05-2026'!$A$3:$A$102)*($G69='Thang 05-2026'!$C$3:$C$102),0),10)=1,$B69="Triều Lên",INDEX('Thang 05-2026'!$A$3:$Q$102,MATCH(1,($A69='Thang 05-2026'!$A$3:$A$102)*($G69='Thang 05-2026'!$C$3:$C$102),0),11)=0),1,0))</f>
        <v>0</v>
      </c>
      <c r="E69">
        <f t="array" ref="E69">IF(AND(INDEX('Thang 05-2026'!$A$3:$Q$102,MATCH(1,($A69='Thang 05-2026'!$A$3:$A$102)*($G69='Thang 05-2026'!$C$3:$C$102),0),15)=1,$B69="Triều Xuống"),1,IF(AND(INDEX('Thang 05-2026'!$A$3:$Q$102,MATCH(1,($A69='Thang 05-2026'!$A$3:$A$102)*($G69='Thang 05-2026'!$C$3:$C$102),0),14)=1,$B69="Triều Lên",INDEX('Thang 05-2026'!$A$3:$Q$102,MATCH(1,($A69='Thang 05-2026'!$A$3:$A$102)*($G69='Thang 05-2026'!$C$3:$C$102),0),15)=0),1,0))</f>
        <v>0</v>
      </c>
      <c r="F69">
        <f t="shared" si="1"/>
        <v>0</v>
      </c>
      <c r="G69">
        <f>INDEX('Thang 05-2026'!$A$3:$C$102,MATCH(A69,'Thang 05-2026'!$A$3:$A$102,0),3)</f>
        <v>11</v>
      </c>
    </row>
    <row r="70" spans="1:7" x14ac:dyDescent="0.2">
      <c r="A70" t="s">
        <v>43</v>
      </c>
      <c r="B70" t="s">
        <v>121</v>
      </c>
      <c r="C70">
        <v>1</v>
      </c>
      <c r="D70">
        <f t="array" ref="D70">IF(AND(INDEX('Thang 05-2026'!$A$3:$Q$102,MATCH(1,($A70='Thang 05-2026'!$A$3:$A$102)*($G70='Thang 05-2026'!$C$3:$C$102),0),11)=1,$B70="Triều Xuống"),1,IF(AND(INDEX('Thang 05-2026'!$A$3:$Q$102,MATCH(1,($A70='Thang 05-2026'!$A$3:$A$102)*($G70='Thang 05-2026'!$C$3:$C$102),0),10)=1,$B70="Triều Lên",INDEX('Thang 05-2026'!$A$3:$Q$102,MATCH(1,($A70='Thang 05-2026'!$A$3:$A$102)*($G70='Thang 05-2026'!$C$3:$C$102),0),11)=0),1,0))</f>
        <v>0</v>
      </c>
      <c r="E70">
        <f t="array" ref="E70">IF(AND(INDEX('Thang 05-2026'!$A$3:$Q$102,MATCH(1,($A70='Thang 05-2026'!$A$3:$A$102)*($G70='Thang 05-2026'!$C$3:$C$102),0),15)=1,$B70="Triều Xuống"),1,IF(AND(INDEX('Thang 05-2026'!$A$3:$Q$102,MATCH(1,($A70='Thang 05-2026'!$A$3:$A$102)*($G70='Thang 05-2026'!$C$3:$C$102),0),14)=1,$B70="Triều Lên",INDEX('Thang 05-2026'!$A$3:$Q$102,MATCH(1,($A70='Thang 05-2026'!$A$3:$A$102)*($G70='Thang 05-2026'!$C$3:$C$102),0),15)=0),1,0))</f>
        <v>0</v>
      </c>
      <c r="F70">
        <f t="shared" si="1"/>
        <v>0</v>
      </c>
      <c r="G70">
        <f>INDEX('Thang 05-2026'!$A$3:$C$102,MATCH(A70,'Thang 05-2026'!$A$3:$A$102,0),3)</f>
        <v>11</v>
      </c>
    </row>
    <row r="71" spans="1:7" x14ac:dyDescent="0.2">
      <c r="A71" t="s">
        <v>44</v>
      </c>
      <c r="B71" t="s">
        <v>121</v>
      </c>
      <c r="C71">
        <v>1</v>
      </c>
      <c r="D71">
        <f t="array" ref="D71">IF(AND(INDEX('Thang 05-2026'!$A$3:$Q$102,MATCH(1,($A71='Thang 05-2026'!$A$3:$A$102)*($G71='Thang 05-2026'!$C$3:$C$102),0),11)=1,$B71="Triều Xuống"),1,IF(AND(INDEX('Thang 05-2026'!$A$3:$Q$102,MATCH(1,($A71='Thang 05-2026'!$A$3:$A$102)*($G71='Thang 05-2026'!$C$3:$C$102),0),10)=1,$B71="Triều Lên",INDEX('Thang 05-2026'!$A$3:$Q$102,MATCH(1,($A71='Thang 05-2026'!$A$3:$A$102)*($G71='Thang 05-2026'!$C$3:$C$102),0),11)=0),1,0))</f>
        <v>0</v>
      </c>
      <c r="E71">
        <f t="array" ref="E71">IF(AND(INDEX('Thang 05-2026'!$A$3:$Q$102,MATCH(1,($A71='Thang 05-2026'!$A$3:$A$102)*($G71='Thang 05-2026'!$C$3:$C$102),0),15)=1,$B71="Triều Xuống"),1,IF(AND(INDEX('Thang 05-2026'!$A$3:$Q$102,MATCH(1,($A71='Thang 05-2026'!$A$3:$A$102)*($G71='Thang 05-2026'!$C$3:$C$102),0),14)=1,$B71="Triều Lên",INDEX('Thang 05-2026'!$A$3:$Q$102,MATCH(1,($A71='Thang 05-2026'!$A$3:$A$102)*($G71='Thang 05-2026'!$C$3:$C$102),0),15)=0),1,0))</f>
        <v>0</v>
      </c>
      <c r="F71">
        <f t="shared" si="1"/>
        <v>0</v>
      </c>
      <c r="G71">
        <f>INDEX('Thang 05-2026'!$A$3:$C$102,MATCH(A71,'Thang 05-2026'!$A$3:$A$102,0),3)</f>
        <v>11</v>
      </c>
    </row>
    <row r="72" spans="1:7" x14ac:dyDescent="0.2">
      <c r="A72" t="s">
        <v>45</v>
      </c>
      <c r="B72" t="s">
        <v>118</v>
      </c>
      <c r="C72">
        <v>1</v>
      </c>
      <c r="D72">
        <f t="array" ref="D72">IF(AND(INDEX('Thang 05-2026'!$A$3:$Q$102,MATCH(1,($A72='Thang 05-2026'!$A$3:$A$102)*($G72='Thang 05-2026'!$C$3:$C$102),0),11)=1,$B72="Triều Xuống"),1,IF(AND(INDEX('Thang 05-2026'!$A$3:$Q$102,MATCH(1,($A72='Thang 05-2026'!$A$3:$A$102)*($G72='Thang 05-2026'!$C$3:$C$102),0),10)=1,$B72="Triều Lên",INDEX('Thang 05-2026'!$A$3:$Q$102,MATCH(1,($A72='Thang 05-2026'!$A$3:$A$102)*($G72='Thang 05-2026'!$C$3:$C$102),0),11)=0),1,0))</f>
        <v>0</v>
      </c>
      <c r="E72">
        <f t="array" ref="E72">IF(AND(INDEX('Thang 05-2026'!$A$3:$Q$102,MATCH(1,($A72='Thang 05-2026'!$A$3:$A$102)*($G72='Thang 05-2026'!$C$3:$C$102),0),15)=1,$B72="Triều Xuống"),1,IF(AND(INDEX('Thang 05-2026'!$A$3:$Q$102,MATCH(1,($A72='Thang 05-2026'!$A$3:$A$102)*($G72='Thang 05-2026'!$C$3:$C$102),0),14)=1,$B72="Triều Lên",INDEX('Thang 05-2026'!$A$3:$Q$102,MATCH(1,($A72='Thang 05-2026'!$A$3:$A$102)*($G72='Thang 05-2026'!$C$3:$C$102),0),15)=0),1,0))</f>
        <v>0</v>
      </c>
      <c r="F72">
        <f t="shared" si="1"/>
        <v>0</v>
      </c>
      <c r="G72">
        <f>INDEX('Thang 05-2026'!$A$3:$C$102,MATCH(A72,'Thang 05-2026'!$A$3:$A$102,0),3)</f>
        <v>12</v>
      </c>
    </row>
    <row r="73" spans="1:7" x14ac:dyDescent="0.2">
      <c r="A73" t="s">
        <v>47</v>
      </c>
      <c r="B73" t="s">
        <v>118</v>
      </c>
      <c r="C73">
        <v>1</v>
      </c>
      <c r="D73">
        <f t="array" ref="D73">IF(AND(INDEX('Thang 05-2026'!$A$3:$Q$102,MATCH(1,($A73='Thang 05-2026'!$A$3:$A$102)*($G73='Thang 05-2026'!$C$3:$C$102),0),11)=1,$B73="Triều Xuống"),1,IF(AND(INDEX('Thang 05-2026'!$A$3:$Q$102,MATCH(1,($A73='Thang 05-2026'!$A$3:$A$102)*($G73='Thang 05-2026'!$C$3:$C$102),0),10)=1,$B73="Triều Lên",INDEX('Thang 05-2026'!$A$3:$Q$102,MATCH(1,($A73='Thang 05-2026'!$A$3:$A$102)*($G73='Thang 05-2026'!$C$3:$C$102),0),11)=0),1,0))</f>
        <v>0</v>
      </c>
      <c r="E73">
        <f t="array" ref="E73">IF(AND(INDEX('Thang 05-2026'!$A$3:$Q$102,MATCH(1,($A73='Thang 05-2026'!$A$3:$A$102)*($G73='Thang 05-2026'!$C$3:$C$102),0),15)=1,$B73="Triều Xuống"),1,IF(AND(INDEX('Thang 05-2026'!$A$3:$Q$102,MATCH(1,($A73='Thang 05-2026'!$A$3:$A$102)*($G73='Thang 05-2026'!$C$3:$C$102),0),14)=1,$B73="Triều Lên",INDEX('Thang 05-2026'!$A$3:$Q$102,MATCH(1,($A73='Thang 05-2026'!$A$3:$A$102)*($G73='Thang 05-2026'!$C$3:$C$102),0),15)=0),1,0))</f>
        <v>0</v>
      </c>
      <c r="F73">
        <f t="shared" si="1"/>
        <v>0</v>
      </c>
      <c r="G73">
        <f>INDEX('Thang 05-2026'!$A$3:$C$102,MATCH(A73,'Thang 05-2026'!$A$3:$A$102,0),3)</f>
        <v>12</v>
      </c>
    </row>
    <row r="74" spans="1:7" x14ac:dyDescent="0.2">
      <c r="A74" t="s">
        <v>48</v>
      </c>
      <c r="B74" t="s">
        <v>118</v>
      </c>
      <c r="C74">
        <v>1</v>
      </c>
      <c r="D74">
        <f t="array" ref="D74">IF(AND(INDEX('Thang 05-2026'!$A$3:$Q$102,MATCH(1,($A74='Thang 05-2026'!$A$3:$A$102)*($G74='Thang 05-2026'!$C$3:$C$102),0),11)=1,$B74="Triều Xuống"),1,IF(AND(INDEX('Thang 05-2026'!$A$3:$Q$102,MATCH(1,($A74='Thang 05-2026'!$A$3:$A$102)*($G74='Thang 05-2026'!$C$3:$C$102),0),10)=1,$B74="Triều Lên",INDEX('Thang 05-2026'!$A$3:$Q$102,MATCH(1,($A74='Thang 05-2026'!$A$3:$A$102)*($G74='Thang 05-2026'!$C$3:$C$102),0),11)=0),1,0))</f>
        <v>0</v>
      </c>
      <c r="E74">
        <f t="array" ref="E74">IF(AND(INDEX('Thang 05-2026'!$A$3:$Q$102,MATCH(1,($A74='Thang 05-2026'!$A$3:$A$102)*($G74='Thang 05-2026'!$C$3:$C$102),0),15)=1,$B74="Triều Xuống"),1,IF(AND(INDEX('Thang 05-2026'!$A$3:$Q$102,MATCH(1,($A74='Thang 05-2026'!$A$3:$A$102)*($G74='Thang 05-2026'!$C$3:$C$102),0),14)=1,$B74="Triều Lên",INDEX('Thang 05-2026'!$A$3:$Q$102,MATCH(1,($A74='Thang 05-2026'!$A$3:$A$102)*($G74='Thang 05-2026'!$C$3:$C$102),0),15)=0),1,0))</f>
        <v>0</v>
      </c>
      <c r="F74">
        <f t="shared" si="1"/>
        <v>0</v>
      </c>
      <c r="G74">
        <f>INDEX('Thang 05-2026'!$A$3:$C$102,MATCH(A74,'Thang 05-2026'!$A$3:$A$102,0),3)</f>
        <v>12</v>
      </c>
    </row>
    <row r="75" spans="1:7" x14ac:dyDescent="0.2">
      <c r="A75" t="s">
        <v>49</v>
      </c>
      <c r="B75" t="s">
        <v>118</v>
      </c>
      <c r="C75">
        <v>1</v>
      </c>
      <c r="D75">
        <f t="array" ref="D75">IF(AND(INDEX('Thang 05-2026'!$A$3:$Q$102,MATCH(1,($A75='Thang 05-2026'!$A$3:$A$102)*($G75='Thang 05-2026'!$C$3:$C$102),0),11)=1,$B75="Triều Xuống"),1,IF(AND(INDEX('Thang 05-2026'!$A$3:$Q$102,MATCH(1,($A75='Thang 05-2026'!$A$3:$A$102)*($G75='Thang 05-2026'!$C$3:$C$102),0),10)=1,$B75="Triều Lên",INDEX('Thang 05-2026'!$A$3:$Q$102,MATCH(1,($A75='Thang 05-2026'!$A$3:$A$102)*($G75='Thang 05-2026'!$C$3:$C$102),0),11)=0),1,0))</f>
        <v>0</v>
      </c>
      <c r="E75">
        <f t="array" ref="E75">IF(AND(INDEX('Thang 05-2026'!$A$3:$Q$102,MATCH(1,($A75='Thang 05-2026'!$A$3:$A$102)*($G75='Thang 05-2026'!$C$3:$C$102),0),15)=1,$B75="Triều Xuống"),1,IF(AND(INDEX('Thang 05-2026'!$A$3:$Q$102,MATCH(1,($A75='Thang 05-2026'!$A$3:$A$102)*($G75='Thang 05-2026'!$C$3:$C$102),0),14)=1,$B75="Triều Lên",INDEX('Thang 05-2026'!$A$3:$Q$102,MATCH(1,($A75='Thang 05-2026'!$A$3:$A$102)*($G75='Thang 05-2026'!$C$3:$C$102),0),15)=0),1,0))</f>
        <v>0</v>
      </c>
      <c r="F75">
        <f t="shared" si="1"/>
        <v>0</v>
      </c>
      <c r="G75">
        <f>INDEX('Thang 05-2026'!$A$3:$C$102,MATCH(A75,'Thang 05-2026'!$A$3:$A$102,0),3)</f>
        <v>12</v>
      </c>
    </row>
    <row r="76" spans="1:7" x14ac:dyDescent="0.2">
      <c r="A76" t="s">
        <v>50</v>
      </c>
      <c r="B76" t="s">
        <v>118</v>
      </c>
      <c r="C76">
        <v>1</v>
      </c>
      <c r="D76">
        <f t="array" ref="D76">IF(AND(INDEX('Thang 05-2026'!$A$3:$Q$102,MATCH(1,($A76='Thang 05-2026'!$A$3:$A$102)*($G76='Thang 05-2026'!$C$3:$C$102),0),11)=1,$B76="Triều Xuống"),1,IF(AND(INDEX('Thang 05-2026'!$A$3:$Q$102,MATCH(1,($A76='Thang 05-2026'!$A$3:$A$102)*($G76='Thang 05-2026'!$C$3:$C$102),0),10)=1,$B76="Triều Lên",INDEX('Thang 05-2026'!$A$3:$Q$102,MATCH(1,($A76='Thang 05-2026'!$A$3:$A$102)*($G76='Thang 05-2026'!$C$3:$C$102),0),11)=0),1,0))</f>
        <v>0</v>
      </c>
      <c r="E76">
        <f t="array" ref="E76">IF(AND(INDEX('Thang 05-2026'!$A$3:$Q$102,MATCH(1,($A76='Thang 05-2026'!$A$3:$A$102)*($G76='Thang 05-2026'!$C$3:$C$102),0),15)=1,$B76="Triều Xuống"),1,IF(AND(INDEX('Thang 05-2026'!$A$3:$Q$102,MATCH(1,($A76='Thang 05-2026'!$A$3:$A$102)*($G76='Thang 05-2026'!$C$3:$C$102),0),14)=1,$B76="Triều Lên",INDEX('Thang 05-2026'!$A$3:$Q$102,MATCH(1,($A76='Thang 05-2026'!$A$3:$A$102)*($G76='Thang 05-2026'!$C$3:$C$102),0),15)=0),1,0))</f>
        <v>0</v>
      </c>
      <c r="F76">
        <f t="shared" si="1"/>
        <v>0</v>
      </c>
      <c r="G76">
        <f>INDEX('Thang 05-2026'!$A$3:$C$102,MATCH(A76,'Thang 05-2026'!$A$3:$A$102,0),3)</f>
        <v>12</v>
      </c>
    </row>
    <row r="77" spans="1:7" x14ac:dyDescent="0.2">
      <c r="A77" t="s">
        <v>45</v>
      </c>
      <c r="B77" t="s">
        <v>121</v>
      </c>
      <c r="C77">
        <v>1</v>
      </c>
      <c r="D77">
        <f t="array" ref="D77">IF(AND(INDEX('Thang 05-2026'!$A$3:$Q$102,MATCH(1,($A77='Thang 05-2026'!$A$3:$A$102)*($G77='Thang 05-2026'!$C$3:$C$102),0),11)=1,$B77="Triều Xuống"),1,IF(AND(INDEX('Thang 05-2026'!$A$3:$Q$102,MATCH(1,($A77='Thang 05-2026'!$A$3:$A$102)*($G77='Thang 05-2026'!$C$3:$C$102),0),10)=1,$B77="Triều Lên",INDEX('Thang 05-2026'!$A$3:$Q$102,MATCH(1,($A77='Thang 05-2026'!$A$3:$A$102)*($G77='Thang 05-2026'!$C$3:$C$102),0),11)=0),1,0))</f>
        <v>1</v>
      </c>
      <c r="E77">
        <f t="array" ref="E77">IF(AND(INDEX('Thang 05-2026'!$A$3:$Q$102,MATCH(1,($A77='Thang 05-2026'!$A$3:$A$102)*($G77='Thang 05-2026'!$C$3:$C$102),0),15)=1,$B77="Triều Xuống"),1,IF(AND(INDEX('Thang 05-2026'!$A$3:$Q$102,MATCH(1,($A77='Thang 05-2026'!$A$3:$A$102)*($G77='Thang 05-2026'!$C$3:$C$102),0),14)=1,$B77="Triều Lên",INDEX('Thang 05-2026'!$A$3:$Q$102,MATCH(1,($A77='Thang 05-2026'!$A$3:$A$102)*($G77='Thang 05-2026'!$C$3:$C$102),0),15)=0),1,0))</f>
        <v>1</v>
      </c>
      <c r="F77">
        <f t="shared" si="1"/>
        <v>2</v>
      </c>
      <c r="G77">
        <f>INDEX('Thang 05-2026'!$A$3:$C$102,MATCH(A77,'Thang 05-2026'!$A$3:$A$102,0),3)</f>
        <v>12</v>
      </c>
    </row>
    <row r="78" spans="1:7" x14ac:dyDescent="0.2">
      <c r="A78" t="s">
        <v>47</v>
      </c>
      <c r="B78" t="s">
        <v>121</v>
      </c>
      <c r="C78">
        <v>1</v>
      </c>
      <c r="D78">
        <f t="array" ref="D78">IF(AND(INDEX('Thang 05-2026'!$A$3:$Q$102,MATCH(1,($A78='Thang 05-2026'!$A$3:$A$102)*($G78='Thang 05-2026'!$C$3:$C$102),0),11)=1,$B78="Triều Xuống"),1,IF(AND(INDEX('Thang 05-2026'!$A$3:$Q$102,MATCH(1,($A78='Thang 05-2026'!$A$3:$A$102)*($G78='Thang 05-2026'!$C$3:$C$102),0),10)=1,$B78="Triều Lên",INDEX('Thang 05-2026'!$A$3:$Q$102,MATCH(1,($A78='Thang 05-2026'!$A$3:$A$102)*($G78='Thang 05-2026'!$C$3:$C$102),0),11)=0),1,0))</f>
        <v>0</v>
      </c>
      <c r="E78">
        <f t="array" ref="E78">IF(AND(INDEX('Thang 05-2026'!$A$3:$Q$102,MATCH(1,($A78='Thang 05-2026'!$A$3:$A$102)*($G78='Thang 05-2026'!$C$3:$C$102),0),15)=1,$B78="Triều Xuống"),1,IF(AND(INDEX('Thang 05-2026'!$A$3:$Q$102,MATCH(1,($A78='Thang 05-2026'!$A$3:$A$102)*($G78='Thang 05-2026'!$C$3:$C$102),0),14)=1,$B78="Triều Lên",INDEX('Thang 05-2026'!$A$3:$Q$102,MATCH(1,($A78='Thang 05-2026'!$A$3:$A$102)*($G78='Thang 05-2026'!$C$3:$C$102),0),15)=0),1,0))</f>
        <v>0</v>
      </c>
      <c r="F78">
        <f t="shared" si="1"/>
        <v>0</v>
      </c>
      <c r="G78">
        <f>INDEX('Thang 05-2026'!$A$3:$C$102,MATCH(A78,'Thang 05-2026'!$A$3:$A$102,0),3)</f>
        <v>12</v>
      </c>
    </row>
    <row r="79" spans="1:7" x14ac:dyDescent="0.2">
      <c r="A79" t="s">
        <v>48</v>
      </c>
      <c r="B79" t="s">
        <v>121</v>
      </c>
      <c r="C79">
        <v>1</v>
      </c>
      <c r="D79">
        <f t="array" ref="D79">IF(AND(INDEX('Thang 05-2026'!$A$3:$Q$102,MATCH(1,($A79='Thang 05-2026'!$A$3:$A$102)*($G79='Thang 05-2026'!$C$3:$C$102),0),11)=1,$B79="Triều Xuống"),1,IF(AND(INDEX('Thang 05-2026'!$A$3:$Q$102,MATCH(1,($A79='Thang 05-2026'!$A$3:$A$102)*($G79='Thang 05-2026'!$C$3:$C$102),0),10)=1,$B79="Triều Lên",INDEX('Thang 05-2026'!$A$3:$Q$102,MATCH(1,($A79='Thang 05-2026'!$A$3:$A$102)*($G79='Thang 05-2026'!$C$3:$C$102),0),11)=0),1,0))</f>
        <v>0</v>
      </c>
      <c r="E79">
        <f t="array" ref="E79">IF(AND(INDEX('Thang 05-2026'!$A$3:$Q$102,MATCH(1,($A79='Thang 05-2026'!$A$3:$A$102)*($G79='Thang 05-2026'!$C$3:$C$102),0),15)=1,$B79="Triều Xuống"),1,IF(AND(INDEX('Thang 05-2026'!$A$3:$Q$102,MATCH(1,($A79='Thang 05-2026'!$A$3:$A$102)*($G79='Thang 05-2026'!$C$3:$C$102),0),14)=1,$B79="Triều Lên",INDEX('Thang 05-2026'!$A$3:$Q$102,MATCH(1,($A79='Thang 05-2026'!$A$3:$A$102)*($G79='Thang 05-2026'!$C$3:$C$102),0),15)=0),1,0))</f>
        <v>0</v>
      </c>
      <c r="F79">
        <f t="shared" si="1"/>
        <v>0</v>
      </c>
      <c r="G79">
        <f>INDEX('Thang 05-2026'!$A$3:$C$102,MATCH(A79,'Thang 05-2026'!$A$3:$A$102,0),3)</f>
        <v>12</v>
      </c>
    </row>
    <row r="80" spans="1:7" x14ac:dyDescent="0.2">
      <c r="A80" t="s">
        <v>49</v>
      </c>
      <c r="B80" t="s">
        <v>121</v>
      </c>
      <c r="C80">
        <v>1</v>
      </c>
      <c r="D80">
        <f t="array" ref="D80">IF(AND(INDEX('Thang 05-2026'!$A$3:$Q$102,MATCH(1,($A80='Thang 05-2026'!$A$3:$A$102)*($G80='Thang 05-2026'!$C$3:$C$102),0),11)=1,$B80="Triều Xuống"),1,IF(AND(INDEX('Thang 05-2026'!$A$3:$Q$102,MATCH(1,($A80='Thang 05-2026'!$A$3:$A$102)*($G80='Thang 05-2026'!$C$3:$C$102),0),10)=1,$B80="Triều Lên",INDEX('Thang 05-2026'!$A$3:$Q$102,MATCH(1,($A80='Thang 05-2026'!$A$3:$A$102)*($G80='Thang 05-2026'!$C$3:$C$102),0),11)=0),1,0))</f>
        <v>0</v>
      </c>
      <c r="E80">
        <f t="array" ref="E80">IF(AND(INDEX('Thang 05-2026'!$A$3:$Q$102,MATCH(1,($A80='Thang 05-2026'!$A$3:$A$102)*($G80='Thang 05-2026'!$C$3:$C$102),0),15)=1,$B80="Triều Xuống"),1,IF(AND(INDEX('Thang 05-2026'!$A$3:$Q$102,MATCH(1,($A80='Thang 05-2026'!$A$3:$A$102)*($G80='Thang 05-2026'!$C$3:$C$102),0),14)=1,$B80="Triều Lên",INDEX('Thang 05-2026'!$A$3:$Q$102,MATCH(1,($A80='Thang 05-2026'!$A$3:$A$102)*($G80='Thang 05-2026'!$C$3:$C$102),0),15)=0),1,0))</f>
        <v>0</v>
      </c>
      <c r="F80">
        <f t="shared" si="1"/>
        <v>0</v>
      </c>
      <c r="G80">
        <f>INDEX('Thang 05-2026'!$A$3:$C$102,MATCH(A80,'Thang 05-2026'!$A$3:$A$102,0),3)</f>
        <v>12</v>
      </c>
    </row>
    <row r="81" spans="1:7" x14ac:dyDescent="0.2">
      <c r="A81" t="s">
        <v>50</v>
      </c>
      <c r="B81" t="s">
        <v>121</v>
      </c>
      <c r="C81">
        <v>1</v>
      </c>
      <c r="D81">
        <f t="array" ref="D81">IF(AND(INDEX('Thang 05-2026'!$A$3:$Q$102,MATCH(1,($A81='Thang 05-2026'!$A$3:$A$102)*($G81='Thang 05-2026'!$C$3:$C$102),0),11)=1,$B81="Triều Xuống"),1,IF(AND(INDEX('Thang 05-2026'!$A$3:$Q$102,MATCH(1,($A81='Thang 05-2026'!$A$3:$A$102)*($G81='Thang 05-2026'!$C$3:$C$102),0),10)=1,$B81="Triều Lên",INDEX('Thang 05-2026'!$A$3:$Q$102,MATCH(1,($A81='Thang 05-2026'!$A$3:$A$102)*($G81='Thang 05-2026'!$C$3:$C$102),0),11)=0),1,0))</f>
        <v>0</v>
      </c>
      <c r="E81">
        <f t="array" ref="E81">IF(AND(INDEX('Thang 05-2026'!$A$3:$Q$102,MATCH(1,($A81='Thang 05-2026'!$A$3:$A$102)*($G81='Thang 05-2026'!$C$3:$C$102),0),15)=1,$B81="Triều Xuống"),1,IF(AND(INDEX('Thang 05-2026'!$A$3:$Q$102,MATCH(1,($A81='Thang 05-2026'!$A$3:$A$102)*($G81='Thang 05-2026'!$C$3:$C$102),0),14)=1,$B81="Triều Lên",INDEX('Thang 05-2026'!$A$3:$Q$102,MATCH(1,($A81='Thang 05-2026'!$A$3:$A$102)*($G81='Thang 05-2026'!$C$3:$C$102),0),15)=0),1,0))</f>
        <v>0</v>
      </c>
      <c r="F81">
        <f t="shared" si="1"/>
        <v>0</v>
      </c>
      <c r="G81">
        <f>INDEX('Thang 05-2026'!$A$3:$C$102,MATCH(A81,'Thang 05-2026'!$A$3:$A$102,0),3)</f>
        <v>12</v>
      </c>
    </row>
    <row r="82" spans="1:7" x14ac:dyDescent="0.2">
      <c r="A82" t="s">
        <v>51</v>
      </c>
      <c r="B82" t="s">
        <v>118</v>
      </c>
      <c r="C82">
        <v>1</v>
      </c>
      <c r="D82">
        <f t="array" ref="D82">IF(AND(INDEX('Thang 05-2026'!$A$3:$Q$102,MATCH(1,($A82='Thang 05-2026'!$A$3:$A$102)*($G82='Thang 05-2026'!$C$3:$C$102),0),11)=1,$B82="Triều Xuống"),1,IF(AND(INDEX('Thang 05-2026'!$A$3:$Q$102,MATCH(1,($A82='Thang 05-2026'!$A$3:$A$102)*($G82='Thang 05-2026'!$C$3:$C$102),0),10)=1,$B82="Triều Lên",INDEX('Thang 05-2026'!$A$3:$Q$102,MATCH(1,($A82='Thang 05-2026'!$A$3:$A$102)*($G82='Thang 05-2026'!$C$3:$C$102),0),11)=0),1,0))</f>
        <v>0</v>
      </c>
      <c r="E82">
        <f t="array" ref="E82">IF(AND(INDEX('Thang 05-2026'!$A$3:$Q$102,MATCH(1,($A82='Thang 05-2026'!$A$3:$A$102)*($G82='Thang 05-2026'!$C$3:$C$102),0),15)=1,$B82="Triều Xuống"),1,IF(AND(INDEX('Thang 05-2026'!$A$3:$Q$102,MATCH(1,($A82='Thang 05-2026'!$A$3:$A$102)*($G82='Thang 05-2026'!$C$3:$C$102),0),14)=1,$B82="Triều Lên",INDEX('Thang 05-2026'!$A$3:$Q$102,MATCH(1,($A82='Thang 05-2026'!$A$3:$A$102)*($G82='Thang 05-2026'!$C$3:$C$102),0),15)=0),1,0))</f>
        <v>0</v>
      </c>
      <c r="F82">
        <f t="shared" si="1"/>
        <v>0</v>
      </c>
      <c r="G82">
        <f>INDEX('Thang 05-2026'!$A$3:$C$102,MATCH(A82,'Thang 05-2026'!$A$3:$A$102,0),3)</f>
        <v>12</v>
      </c>
    </row>
    <row r="83" spans="1:7" x14ac:dyDescent="0.2">
      <c r="A83" t="s">
        <v>52</v>
      </c>
      <c r="B83" t="s">
        <v>118</v>
      </c>
      <c r="C83">
        <v>1</v>
      </c>
      <c r="D83">
        <f t="array" ref="D83">IF(AND(INDEX('Thang 05-2026'!$A$3:$Q$102,MATCH(1,($A83='Thang 05-2026'!$A$3:$A$102)*($G83='Thang 05-2026'!$C$3:$C$102),0),11)=1,$B83="Triều Xuống"),1,IF(AND(INDEX('Thang 05-2026'!$A$3:$Q$102,MATCH(1,($A83='Thang 05-2026'!$A$3:$A$102)*($G83='Thang 05-2026'!$C$3:$C$102),0),10)=1,$B83="Triều Lên",INDEX('Thang 05-2026'!$A$3:$Q$102,MATCH(1,($A83='Thang 05-2026'!$A$3:$A$102)*($G83='Thang 05-2026'!$C$3:$C$102),0),11)=0),1,0))</f>
        <v>0</v>
      </c>
      <c r="E83">
        <f t="array" ref="E83">IF(AND(INDEX('Thang 05-2026'!$A$3:$Q$102,MATCH(1,($A83='Thang 05-2026'!$A$3:$A$102)*($G83='Thang 05-2026'!$C$3:$C$102),0),15)=1,$B83="Triều Xuống"),1,IF(AND(INDEX('Thang 05-2026'!$A$3:$Q$102,MATCH(1,($A83='Thang 05-2026'!$A$3:$A$102)*($G83='Thang 05-2026'!$C$3:$C$102),0),14)=1,$B83="Triều Lên",INDEX('Thang 05-2026'!$A$3:$Q$102,MATCH(1,($A83='Thang 05-2026'!$A$3:$A$102)*($G83='Thang 05-2026'!$C$3:$C$102),0),15)=0),1,0))</f>
        <v>0</v>
      </c>
      <c r="F83">
        <f t="shared" si="1"/>
        <v>0</v>
      </c>
      <c r="G83">
        <f>INDEX('Thang 05-2026'!$A$3:$C$102,MATCH(A83,'Thang 05-2026'!$A$3:$A$102,0),3)</f>
        <v>12</v>
      </c>
    </row>
    <row r="84" spans="1:7" x14ac:dyDescent="0.2">
      <c r="A84" t="s">
        <v>53</v>
      </c>
      <c r="B84" t="s">
        <v>118</v>
      </c>
      <c r="C84">
        <v>1</v>
      </c>
      <c r="D84">
        <f t="array" ref="D84">IF(AND(INDEX('Thang 05-2026'!$A$3:$Q$102,MATCH(1,($A84='Thang 05-2026'!$A$3:$A$102)*($G84='Thang 05-2026'!$C$3:$C$102),0),11)=1,$B84="Triều Xuống"),1,IF(AND(INDEX('Thang 05-2026'!$A$3:$Q$102,MATCH(1,($A84='Thang 05-2026'!$A$3:$A$102)*($G84='Thang 05-2026'!$C$3:$C$102),0),10)=1,$B84="Triều Lên",INDEX('Thang 05-2026'!$A$3:$Q$102,MATCH(1,($A84='Thang 05-2026'!$A$3:$A$102)*($G84='Thang 05-2026'!$C$3:$C$102),0),11)=0),1,0))</f>
        <v>0</v>
      </c>
      <c r="E84">
        <f t="array" ref="E84">IF(AND(INDEX('Thang 05-2026'!$A$3:$Q$102,MATCH(1,($A84='Thang 05-2026'!$A$3:$A$102)*($G84='Thang 05-2026'!$C$3:$C$102),0),15)=1,$B84="Triều Xuống"),1,IF(AND(INDEX('Thang 05-2026'!$A$3:$Q$102,MATCH(1,($A84='Thang 05-2026'!$A$3:$A$102)*($G84='Thang 05-2026'!$C$3:$C$102),0),14)=1,$B84="Triều Lên",INDEX('Thang 05-2026'!$A$3:$Q$102,MATCH(1,($A84='Thang 05-2026'!$A$3:$A$102)*($G84='Thang 05-2026'!$C$3:$C$102),0),15)=0),1,0))</f>
        <v>0</v>
      </c>
      <c r="F84">
        <f t="shared" si="1"/>
        <v>0</v>
      </c>
      <c r="G84">
        <f>INDEX('Thang 05-2026'!$A$3:$C$102,MATCH(A84,'Thang 05-2026'!$A$3:$A$102,0),3)</f>
        <v>12</v>
      </c>
    </row>
    <row r="85" spans="1:7" x14ac:dyDescent="0.2">
      <c r="A85" t="s">
        <v>54</v>
      </c>
      <c r="B85" t="s">
        <v>118</v>
      </c>
      <c r="C85">
        <v>1</v>
      </c>
      <c r="D85">
        <f t="array" ref="D85">IF(AND(INDEX('Thang 05-2026'!$A$3:$Q$102,MATCH(1,($A85='Thang 05-2026'!$A$3:$A$102)*($G85='Thang 05-2026'!$C$3:$C$102),0),11)=1,$B85="Triều Xuống"),1,IF(AND(INDEX('Thang 05-2026'!$A$3:$Q$102,MATCH(1,($A85='Thang 05-2026'!$A$3:$A$102)*($G85='Thang 05-2026'!$C$3:$C$102),0),10)=1,$B85="Triều Lên",INDEX('Thang 05-2026'!$A$3:$Q$102,MATCH(1,($A85='Thang 05-2026'!$A$3:$A$102)*($G85='Thang 05-2026'!$C$3:$C$102),0),11)=0),1,0))</f>
        <v>0</v>
      </c>
      <c r="E85">
        <f t="array" ref="E85">IF(AND(INDEX('Thang 05-2026'!$A$3:$Q$102,MATCH(1,($A85='Thang 05-2026'!$A$3:$A$102)*($G85='Thang 05-2026'!$C$3:$C$102),0),15)=1,$B85="Triều Xuống"),1,IF(AND(INDEX('Thang 05-2026'!$A$3:$Q$102,MATCH(1,($A85='Thang 05-2026'!$A$3:$A$102)*($G85='Thang 05-2026'!$C$3:$C$102),0),14)=1,$B85="Triều Lên",INDEX('Thang 05-2026'!$A$3:$Q$102,MATCH(1,($A85='Thang 05-2026'!$A$3:$A$102)*($G85='Thang 05-2026'!$C$3:$C$102),0),15)=0),1,0))</f>
        <v>0</v>
      </c>
      <c r="F85">
        <f t="shared" si="1"/>
        <v>0</v>
      </c>
      <c r="G85">
        <f>INDEX('Thang 05-2026'!$A$3:$C$102,MATCH(A85,'Thang 05-2026'!$A$3:$A$102,0),3)</f>
        <v>12</v>
      </c>
    </row>
    <row r="86" spans="1:7" x14ac:dyDescent="0.2">
      <c r="A86" t="s">
        <v>55</v>
      </c>
      <c r="B86" t="s">
        <v>118</v>
      </c>
      <c r="C86">
        <v>1</v>
      </c>
      <c r="D86">
        <f t="array" ref="D86">IF(AND(INDEX('Thang 05-2026'!$A$3:$Q$102,MATCH(1,($A86='Thang 05-2026'!$A$3:$A$102)*($G86='Thang 05-2026'!$C$3:$C$102),0),11)=1,$B86="Triều Xuống"),1,IF(AND(INDEX('Thang 05-2026'!$A$3:$Q$102,MATCH(1,($A86='Thang 05-2026'!$A$3:$A$102)*($G86='Thang 05-2026'!$C$3:$C$102),0),10)=1,$B86="Triều Lên",INDEX('Thang 05-2026'!$A$3:$Q$102,MATCH(1,($A86='Thang 05-2026'!$A$3:$A$102)*($G86='Thang 05-2026'!$C$3:$C$102),0),11)=0),1,0))</f>
        <v>0</v>
      </c>
      <c r="E86">
        <f t="array" ref="E86">IF(AND(INDEX('Thang 05-2026'!$A$3:$Q$102,MATCH(1,($A86='Thang 05-2026'!$A$3:$A$102)*($G86='Thang 05-2026'!$C$3:$C$102),0),15)=1,$B86="Triều Xuống"),1,IF(AND(INDEX('Thang 05-2026'!$A$3:$Q$102,MATCH(1,($A86='Thang 05-2026'!$A$3:$A$102)*($G86='Thang 05-2026'!$C$3:$C$102),0),14)=1,$B86="Triều Lên",INDEX('Thang 05-2026'!$A$3:$Q$102,MATCH(1,($A86='Thang 05-2026'!$A$3:$A$102)*($G86='Thang 05-2026'!$C$3:$C$102),0),15)=0),1,0))</f>
        <v>0</v>
      </c>
      <c r="F86">
        <f t="shared" si="1"/>
        <v>0</v>
      </c>
      <c r="G86">
        <f>INDEX('Thang 05-2026'!$A$3:$C$102,MATCH(A86,'Thang 05-2026'!$A$3:$A$102,0),3)</f>
        <v>12</v>
      </c>
    </row>
    <row r="87" spans="1:7" x14ac:dyDescent="0.2">
      <c r="A87" t="s">
        <v>51</v>
      </c>
      <c r="B87" t="s">
        <v>121</v>
      </c>
      <c r="C87">
        <v>1</v>
      </c>
      <c r="D87">
        <f t="array" ref="D87">IF(AND(INDEX('Thang 05-2026'!$A$3:$Q$102,MATCH(1,($A87='Thang 05-2026'!$A$3:$A$102)*($G87='Thang 05-2026'!$C$3:$C$102),0),11)=1,$B87="Triều Xuống"),1,IF(AND(INDEX('Thang 05-2026'!$A$3:$Q$102,MATCH(1,($A87='Thang 05-2026'!$A$3:$A$102)*($G87='Thang 05-2026'!$C$3:$C$102),0),10)=1,$B87="Triều Lên",INDEX('Thang 05-2026'!$A$3:$Q$102,MATCH(1,($A87='Thang 05-2026'!$A$3:$A$102)*($G87='Thang 05-2026'!$C$3:$C$102),0),11)=0),1,0))</f>
        <v>1</v>
      </c>
      <c r="E87">
        <f t="array" ref="E87">IF(AND(INDEX('Thang 05-2026'!$A$3:$Q$102,MATCH(1,($A87='Thang 05-2026'!$A$3:$A$102)*($G87='Thang 05-2026'!$C$3:$C$102),0),15)=1,$B87="Triều Xuống"),1,IF(AND(INDEX('Thang 05-2026'!$A$3:$Q$102,MATCH(1,($A87='Thang 05-2026'!$A$3:$A$102)*($G87='Thang 05-2026'!$C$3:$C$102),0),14)=1,$B87="Triều Lên",INDEX('Thang 05-2026'!$A$3:$Q$102,MATCH(1,($A87='Thang 05-2026'!$A$3:$A$102)*($G87='Thang 05-2026'!$C$3:$C$102),0),15)=0),1,0))</f>
        <v>0</v>
      </c>
      <c r="F87">
        <f t="shared" si="1"/>
        <v>1</v>
      </c>
      <c r="G87">
        <f>INDEX('Thang 05-2026'!$A$3:$C$102,MATCH(A87,'Thang 05-2026'!$A$3:$A$102,0),3)</f>
        <v>12</v>
      </c>
    </row>
    <row r="88" spans="1:7" x14ac:dyDescent="0.2">
      <c r="A88" t="s">
        <v>52</v>
      </c>
      <c r="B88" t="s">
        <v>121</v>
      </c>
      <c r="C88">
        <v>1</v>
      </c>
      <c r="D88">
        <f t="array" ref="D88">IF(AND(INDEX('Thang 05-2026'!$A$3:$Q$102,MATCH(1,($A88='Thang 05-2026'!$A$3:$A$102)*($G88='Thang 05-2026'!$C$3:$C$102),0),11)=1,$B88="Triều Xuống"),1,IF(AND(INDEX('Thang 05-2026'!$A$3:$Q$102,MATCH(1,($A88='Thang 05-2026'!$A$3:$A$102)*($G88='Thang 05-2026'!$C$3:$C$102),0),10)=1,$B88="Triều Lên",INDEX('Thang 05-2026'!$A$3:$Q$102,MATCH(1,($A88='Thang 05-2026'!$A$3:$A$102)*($G88='Thang 05-2026'!$C$3:$C$102),0),11)=0),1,0))</f>
        <v>0</v>
      </c>
      <c r="E88">
        <f t="array" ref="E88">IF(AND(INDEX('Thang 05-2026'!$A$3:$Q$102,MATCH(1,($A88='Thang 05-2026'!$A$3:$A$102)*($G88='Thang 05-2026'!$C$3:$C$102),0),15)=1,$B88="Triều Xuống"),1,IF(AND(INDEX('Thang 05-2026'!$A$3:$Q$102,MATCH(1,($A88='Thang 05-2026'!$A$3:$A$102)*($G88='Thang 05-2026'!$C$3:$C$102),0),14)=1,$B88="Triều Lên",INDEX('Thang 05-2026'!$A$3:$Q$102,MATCH(1,($A88='Thang 05-2026'!$A$3:$A$102)*($G88='Thang 05-2026'!$C$3:$C$102),0),15)=0),1,0))</f>
        <v>0</v>
      </c>
      <c r="F88">
        <f t="shared" si="1"/>
        <v>0</v>
      </c>
      <c r="G88">
        <f>INDEX('Thang 05-2026'!$A$3:$C$102,MATCH(A88,'Thang 05-2026'!$A$3:$A$102,0),3)</f>
        <v>12</v>
      </c>
    </row>
    <row r="89" spans="1:7" x14ac:dyDescent="0.2">
      <c r="A89" t="s">
        <v>53</v>
      </c>
      <c r="B89" t="s">
        <v>121</v>
      </c>
      <c r="C89">
        <v>1</v>
      </c>
      <c r="D89">
        <f t="array" ref="D89">IF(AND(INDEX('Thang 05-2026'!$A$3:$Q$102,MATCH(1,($A89='Thang 05-2026'!$A$3:$A$102)*($G89='Thang 05-2026'!$C$3:$C$102),0),11)=1,$B89="Triều Xuống"),1,IF(AND(INDEX('Thang 05-2026'!$A$3:$Q$102,MATCH(1,($A89='Thang 05-2026'!$A$3:$A$102)*($G89='Thang 05-2026'!$C$3:$C$102),0),10)=1,$B89="Triều Lên",INDEX('Thang 05-2026'!$A$3:$Q$102,MATCH(1,($A89='Thang 05-2026'!$A$3:$A$102)*($G89='Thang 05-2026'!$C$3:$C$102),0),11)=0),1,0))</f>
        <v>0</v>
      </c>
      <c r="E89">
        <f t="array" ref="E89">IF(AND(INDEX('Thang 05-2026'!$A$3:$Q$102,MATCH(1,($A89='Thang 05-2026'!$A$3:$A$102)*($G89='Thang 05-2026'!$C$3:$C$102),0),15)=1,$B89="Triều Xuống"),1,IF(AND(INDEX('Thang 05-2026'!$A$3:$Q$102,MATCH(1,($A89='Thang 05-2026'!$A$3:$A$102)*($G89='Thang 05-2026'!$C$3:$C$102),0),14)=1,$B89="Triều Lên",INDEX('Thang 05-2026'!$A$3:$Q$102,MATCH(1,($A89='Thang 05-2026'!$A$3:$A$102)*($G89='Thang 05-2026'!$C$3:$C$102),0),15)=0),1,0))</f>
        <v>0</v>
      </c>
      <c r="F89">
        <f t="shared" si="1"/>
        <v>0</v>
      </c>
      <c r="G89">
        <f>INDEX('Thang 05-2026'!$A$3:$C$102,MATCH(A89,'Thang 05-2026'!$A$3:$A$102,0),3)</f>
        <v>12</v>
      </c>
    </row>
    <row r="90" spans="1:7" x14ac:dyDescent="0.2">
      <c r="A90" t="s">
        <v>54</v>
      </c>
      <c r="B90" t="s">
        <v>121</v>
      </c>
      <c r="C90">
        <v>1</v>
      </c>
      <c r="D90">
        <f t="array" ref="D90">IF(AND(INDEX('Thang 05-2026'!$A$3:$Q$102,MATCH(1,($A90='Thang 05-2026'!$A$3:$A$102)*($G90='Thang 05-2026'!$C$3:$C$102),0),11)=1,$B90="Triều Xuống"),1,IF(AND(INDEX('Thang 05-2026'!$A$3:$Q$102,MATCH(1,($A90='Thang 05-2026'!$A$3:$A$102)*($G90='Thang 05-2026'!$C$3:$C$102),0),10)=1,$B90="Triều Lên",INDEX('Thang 05-2026'!$A$3:$Q$102,MATCH(1,($A90='Thang 05-2026'!$A$3:$A$102)*($G90='Thang 05-2026'!$C$3:$C$102),0),11)=0),1,0))</f>
        <v>0</v>
      </c>
      <c r="E90">
        <f t="array" ref="E90">IF(AND(INDEX('Thang 05-2026'!$A$3:$Q$102,MATCH(1,($A90='Thang 05-2026'!$A$3:$A$102)*($G90='Thang 05-2026'!$C$3:$C$102),0),15)=1,$B90="Triều Xuống"),1,IF(AND(INDEX('Thang 05-2026'!$A$3:$Q$102,MATCH(1,($A90='Thang 05-2026'!$A$3:$A$102)*($G90='Thang 05-2026'!$C$3:$C$102),0),14)=1,$B90="Triều Lên",INDEX('Thang 05-2026'!$A$3:$Q$102,MATCH(1,($A90='Thang 05-2026'!$A$3:$A$102)*($G90='Thang 05-2026'!$C$3:$C$102),0),15)=0),1,0))</f>
        <v>0</v>
      </c>
      <c r="F90">
        <f t="shared" si="1"/>
        <v>0</v>
      </c>
      <c r="G90">
        <f>INDEX('Thang 05-2026'!$A$3:$C$102,MATCH(A90,'Thang 05-2026'!$A$3:$A$102,0),3)</f>
        <v>12</v>
      </c>
    </row>
    <row r="91" spans="1:7" x14ac:dyDescent="0.2">
      <c r="A91" t="s">
        <v>55</v>
      </c>
      <c r="B91" t="s">
        <v>121</v>
      </c>
      <c r="C91">
        <v>1</v>
      </c>
      <c r="D91">
        <f t="array" ref="D91">IF(AND(INDEX('Thang 05-2026'!$A$3:$Q$102,MATCH(1,($A91='Thang 05-2026'!$A$3:$A$102)*($G91='Thang 05-2026'!$C$3:$C$102),0),11)=1,$B91="Triều Xuống"),1,IF(AND(INDEX('Thang 05-2026'!$A$3:$Q$102,MATCH(1,($A91='Thang 05-2026'!$A$3:$A$102)*($G91='Thang 05-2026'!$C$3:$C$102),0),10)=1,$B91="Triều Lên",INDEX('Thang 05-2026'!$A$3:$Q$102,MATCH(1,($A91='Thang 05-2026'!$A$3:$A$102)*($G91='Thang 05-2026'!$C$3:$C$102),0),11)=0),1,0))</f>
        <v>0</v>
      </c>
      <c r="E91">
        <f t="array" ref="E91">IF(AND(INDEX('Thang 05-2026'!$A$3:$Q$102,MATCH(1,($A91='Thang 05-2026'!$A$3:$A$102)*($G91='Thang 05-2026'!$C$3:$C$102),0),15)=1,$B91="Triều Xuống"),1,IF(AND(INDEX('Thang 05-2026'!$A$3:$Q$102,MATCH(1,($A91='Thang 05-2026'!$A$3:$A$102)*($G91='Thang 05-2026'!$C$3:$C$102),0),14)=1,$B91="Triều Lên",INDEX('Thang 05-2026'!$A$3:$Q$102,MATCH(1,($A91='Thang 05-2026'!$A$3:$A$102)*($G91='Thang 05-2026'!$C$3:$C$102),0),15)=0),1,0))</f>
        <v>0</v>
      </c>
      <c r="F91">
        <f t="shared" si="1"/>
        <v>0</v>
      </c>
      <c r="G91">
        <f>INDEX('Thang 05-2026'!$A$3:$C$102,MATCH(A91,'Thang 05-2026'!$A$3:$A$102,0),3)</f>
        <v>12</v>
      </c>
    </row>
    <row r="92" spans="1:7" x14ac:dyDescent="0.2">
      <c r="A92" t="s">
        <v>56</v>
      </c>
      <c r="B92" t="s">
        <v>118</v>
      </c>
      <c r="C92">
        <v>1</v>
      </c>
      <c r="D92">
        <f t="array" ref="D92">IF(AND(INDEX('Thang 05-2026'!$A$3:$Q$102,MATCH(1,($A92='Thang 05-2026'!$A$3:$A$102)*($G92='Thang 05-2026'!$C$3:$C$102),0),11)=1,$B92="Triều Xuống"),1,IF(AND(INDEX('Thang 05-2026'!$A$3:$Q$102,MATCH(1,($A92='Thang 05-2026'!$A$3:$A$102)*($G92='Thang 05-2026'!$C$3:$C$102),0),10)=1,$B92="Triều Lên",INDEX('Thang 05-2026'!$A$3:$Q$102,MATCH(1,($A92='Thang 05-2026'!$A$3:$A$102)*($G92='Thang 05-2026'!$C$3:$C$102),0),11)=0),1,0))</f>
        <v>0</v>
      </c>
      <c r="E92">
        <f t="array" ref="E92">IF(AND(INDEX('Thang 05-2026'!$A$3:$Q$102,MATCH(1,($A92='Thang 05-2026'!$A$3:$A$102)*($G92='Thang 05-2026'!$C$3:$C$102),0),15)=1,$B92="Triều Xuống"),1,IF(AND(INDEX('Thang 05-2026'!$A$3:$Q$102,MATCH(1,($A92='Thang 05-2026'!$A$3:$A$102)*($G92='Thang 05-2026'!$C$3:$C$102),0),14)=1,$B92="Triều Lên",INDEX('Thang 05-2026'!$A$3:$Q$102,MATCH(1,($A92='Thang 05-2026'!$A$3:$A$102)*($G92='Thang 05-2026'!$C$3:$C$102),0),15)=0),1,0))</f>
        <v>0</v>
      </c>
      <c r="F92">
        <f t="shared" si="1"/>
        <v>0</v>
      </c>
      <c r="G92">
        <f>INDEX('Thang 05-2026'!$A$3:$C$102,MATCH(A92,'Thang 05-2026'!$A$3:$A$102,0),3)</f>
        <v>13</v>
      </c>
    </row>
    <row r="93" spans="1:7" x14ac:dyDescent="0.2">
      <c r="A93" t="s">
        <v>58</v>
      </c>
      <c r="B93" t="s">
        <v>118</v>
      </c>
      <c r="C93">
        <v>1</v>
      </c>
      <c r="D93">
        <f t="array" ref="D93">IF(AND(INDEX('Thang 05-2026'!$A$3:$Q$102,MATCH(1,($A93='Thang 05-2026'!$A$3:$A$102)*($G93='Thang 05-2026'!$C$3:$C$102),0),11)=1,$B93="Triều Xuống"),1,IF(AND(INDEX('Thang 05-2026'!$A$3:$Q$102,MATCH(1,($A93='Thang 05-2026'!$A$3:$A$102)*($G93='Thang 05-2026'!$C$3:$C$102),0),10)=1,$B93="Triều Lên",INDEX('Thang 05-2026'!$A$3:$Q$102,MATCH(1,($A93='Thang 05-2026'!$A$3:$A$102)*($G93='Thang 05-2026'!$C$3:$C$102),0),11)=0),1,0))</f>
        <v>0</v>
      </c>
      <c r="E93">
        <f t="array" ref="E93">IF(AND(INDEX('Thang 05-2026'!$A$3:$Q$102,MATCH(1,($A93='Thang 05-2026'!$A$3:$A$102)*($G93='Thang 05-2026'!$C$3:$C$102),0),15)=1,$B93="Triều Xuống"),1,IF(AND(INDEX('Thang 05-2026'!$A$3:$Q$102,MATCH(1,($A93='Thang 05-2026'!$A$3:$A$102)*($G93='Thang 05-2026'!$C$3:$C$102),0),14)=1,$B93="Triều Lên",INDEX('Thang 05-2026'!$A$3:$Q$102,MATCH(1,($A93='Thang 05-2026'!$A$3:$A$102)*($G93='Thang 05-2026'!$C$3:$C$102),0),15)=0),1,0))</f>
        <v>0</v>
      </c>
      <c r="F93">
        <f t="shared" si="1"/>
        <v>0</v>
      </c>
      <c r="G93">
        <f>INDEX('Thang 05-2026'!$A$3:$C$102,MATCH(A93,'Thang 05-2026'!$A$3:$A$102,0),3)</f>
        <v>13</v>
      </c>
    </row>
    <row r="94" spans="1:7" x14ac:dyDescent="0.2">
      <c r="A94" t="s">
        <v>59</v>
      </c>
      <c r="B94" t="s">
        <v>118</v>
      </c>
      <c r="C94">
        <v>1</v>
      </c>
      <c r="D94">
        <f t="array" ref="D94">IF(AND(INDEX('Thang 05-2026'!$A$3:$Q$102,MATCH(1,($A94='Thang 05-2026'!$A$3:$A$102)*($G94='Thang 05-2026'!$C$3:$C$102),0),11)=1,$B94="Triều Xuống"),1,IF(AND(INDEX('Thang 05-2026'!$A$3:$Q$102,MATCH(1,($A94='Thang 05-2026'!$A$3:$A$102)*($G94='Thang 05-2026'!$C$3:$C$102),0),10)=1,$B94="Triều Lên",INDEX('Thang 05-2026'!$A$3:$Q$102,MATCH(1,($A94='Thang 05-2026'!$A$3:$A$102)*($G94='Thang 05-2026'!$C$3:$C$102),0),11)=0),1,0))</f>
        <v>0</v>
      </c>
      <c r="E94">
        <f t="array" ref="E94">IF(AND(INDEX('Thang 05-2026'!$A$3:$Q$102,MATCH(1,($A94='Thang 05-2026'!$A$3:$A$102)*($G94='Thang 05-2026'!$C$3:$C$102),0),15)=1,$B94="Triều Xuống"),1,IF(AND(INDEX('Thang 05-2026'!$A$3:$Q$102,MATCH(1,($A94='Thang 05-2026'!$A$3:$A$102)*($G94='Thang 05-2026'!$C$3:$C$102),0),14)=1,$B94="Triều Lên",INDEX('Thang 05-2026'!$A$3:$Q$102,MATCH(1,($A94='Thang 05-2026'!$A$3:$A$102)*($G94='Thang 05-2026'!$C$3:$C$102),0),15)=0),1,0))</f>
        <v>0</v>
      </c>
      <c r="F94">
        <f t="shared" si="1"/>
        <v>0</v>
      </c>
      <c r="G94">
        <f>INDEX('Thang 05-2026'!$A$3:$C$102,MATCH(A94,'Thang 05-2026'!$A$3:$A$102,0),3)</f>
        <v>13</v>
      </c>
    </row>
    <row r="95" spans="1:7" x14ac:dyDescent="0.2">
      <c r="A95" t="s">
        <v>60</v>
      </c>
      <c r="B95" t="s">
        <v>118</v>
      </c>
      <c r="C95">
        <v>1</v>
      </c>
      <c r="D95">
        <f t="array" ref="D95">IF(AND(INDEX('Thang 05-2026'!$A$3:$Q$102,MATCH(1,($A95='Thang 05-2026'!$A$3:$A$102)*($G95='Thang 05-2026'!$C$3:$C$102),0),11)=1,$B95="Triều Xuống"),1,IF(AND(INDEX('Thang 05-2026'!$A$3:$Q$102,MATCH(1,($A95='Thang 05-2026'!$A$3:$A$102)*($G95='Thang 05-2026'!$C$3:$C$102),0),10)=1,$B95="Triều Lên",INDEX('Thang 05-2026'!$A$3:$Q$102,MATCH(1,($A95='Thang 05-2026'!$A$3:$A$102)*($G95='Thang 05-2026'!$C$3:$C$102),0),11)=0),1,0))</f>
        <v>0</v>
      </c>
      <c r="E95">
        <f t="array" ref="E95">IF(AND(INDEX('Thang 05-2026'!$A$3:$Q$102,MATCH(1,($A95='Thang 05-2026'!$A$3:$A$102)*($G95='Thang 05-2026'!$C$3:$C$102),0),15)=1,$B95="Triều Xuống"),1,IF(AND(INDEX('Thang 05-2026'!$A$3:$Q$102,MATCH(1,($A95='Thang 05-2026'!$A$3:$A$102)*($G95='Thang 05-2026'!$C$3:$C$102),0),14)=1,$B95="Triều Lên",INDEX('Thang 05-2026'!$A$3:$Q$102,MATCH(1,($A95='Thang 05-2026'!$A$3:$A$102)*($G95='Thang 05-2026'!$C$3:$C$102),0),15)=0),1,0))</f>
        <v>0</v>
      </c>
      <c r="F95">
        <f t="shared" si="1"/>
        <v>0</v>
      </c>
      <c r="G95">
        <f>INDEX('Thang 05-2026'!$A$3:$C$102,MATCH(A95,'Thang 05-2026'!$A$3:$A$102,0),3)</f>
        <v>13</v>
      </c>
    </row>
    <row r="96" spans="1:7" x14ac:dyDescent="0.2">
      <c r="A96" t="s">
        <v>61</v>
      </c>
      <c r="B96" t="s">
        <v>118</v>
      </c>
      <c r="C96">
        <v>1</v>
      </c>
      <c r="D96">
        <f t="array" ref="D96">IF(AND(INDEX('Thang 05-2026'!$A$3:$Q$102,MATCH(1,($A96='Thang 05-2026'!$A$3:$A$102)*($G96='Thang 05-2026'!$C$3:$C$102),0),11)=1,$B96="Triều Xuống"),1,IF(AND(INDEX('Thang 05-2026'!$A$3:$Q$102,MATCH(1,($A96='Thang 05-2026'!$A$3:$A$102)*($G96='Thang 05-2026'!$C$3:$C$102),0),10)=1,$B96="Triều Lên",INDEX('Thang 05-2026'!$A$3:$Q$102,MATCH(1,($A96='Thang 05-2026'!$A$3:$A$102)*($G96='Thang 05-2026'!$C$3:$C$102),0),11)=0),1,0))</f>
        <v>0</v>
      </c>
      <c r="E96">
        <f t="array" ref="E96">IF(AND(INDEX('Thang 05-2026'!$A$3:$Q$102,MATCH(1,($A96='Thang 05-2026'!$A$3:$A$102)*($G96='Thang 05-2026'!$C$3:$C$102),0),15)=1,$B96="Triều Xuống"),1,IF(AND(INDEX('Thang 05-2026'!$A$3:$Q$102,MATCH(1,($A96='Thang 05-2026'!$A$3:$A$102)*($G96='Thang 05-2026'!$C$3:$C$102),0),14)=1,$B96="Triều Lên",INDEX('Thang 05-2026'!$A$3:$Q$102,MATCH(1,($A96='Thang 05-2026'!$A$3:$A$102)*($G96='Thang 05-2026'!$C$3:$C$102),0),15)=0),1,0))</f>
        <v>0</v>
      </c>
      <c r="F96">
        <f t="shared" si="1"/>
        <v>0</v>
      </c>
      <c r="G96">
        <f>INDEX('Thang 05-2026'!$A$3:$C$102,MATCH(A96,'Thang 05-2026'!$A$3:$A$102,0),3)</f>
        <v>13</v>
      </c>
    </row>
    <row r="97" spans="1:7" x14ac:dyDescent="0.2">
      <c r="A97" t="s">
        <v>56</v>
      </c>
      <c r="B97" t="s">
        <v>121</v>
      </c>
      <c r="C97">
        <v>1</v>
      </c>
      <c r="D97">
        <f t="array" ref="D97">IF(AND(INDEX('Thang 05-2026'!$A$3:$Q$102,MATCH(1,($A97='Thang 05-2026'!$A$3:$A$102)*($G97='Thang 05-2026'!$C$3:$C$102),0),11)=1,$B97="Triều Xuống"),1,IF(AND(INDEX('Thang 05-2026'!$A$3:$Q$102,MATCH(1,($A97='Thang 05-2026'!$A$3:$A$102)*($G97='Thang 05-2026'!$C$3:$C$102),0),10)=1,$B97="Triều Lên",INDEX('Thang 05-2026'!$A$3:$Q$102,MATCH(1,($A97='Thang 05-2026'!$A$3:$A$102)*($G97='Thang 05-2026'!$C$3:$C$102),0),11)=0),1,0))</f>
        <v>0</v>
      </c>
      <c r="E97">
        <f t="array" ref="E97">IF(AND(INDEX('Thang 05-2026'!$A$3:$Q$102,MATCH(1,($A97='Thang 05-2026'!$A$3:$A$102)*($G97='Thang 05-2026'!$C$3:$C$102),0),15)=1,$B97="Triều Xuống"),1,IF(AND(INDEX('Thang 05-2026'!$A$3:$Q$102,MATCH(1,($A97='Thang 05-2026'!$A$3:$A$102)*($G97='Thang 05-2026'!$C$3:$C$102),0),14)=1,$B97="Triều Lên",INDEX('Thang 05-2026'!$A$3:$Q$102,MATCH(1,($A97='Thang 05-2026'!$A$3:$A$102)*($G97='Thang 05-2026'!$C$3:$C$102),0),15)=0),1,0))</f>
        <v>0</v>
      </c>
      <c r="F97">
        <f t="shared" si="1"/>
        <v>0</v>
      </c>
      <c r="G97">
        <f>INDEX('Thang 05-2026'!$A$3:$C$102,MATCH(A97,'Thang 05-2026'!$A$3:$A$102,0),3)</f>
        <v>13</v>
      </c>
    </row>
    <row r="98" spans="1:7" x14ac:dyDescent="0.2">
      <c r="A98" t="s">
        <v>58</v>
      </c>
      <c r="B98" t="s">
        <v>121</v>
      </c>
      <c r="C98">
        <v>1</v>
      </c>
      <c r="D98">
        <f t="array" ref="D98">IF(AND(INDEX('Thang 05-2026'!$A$3:$Q$102,MATCH(1,($A98='Thang 05-2026'!$A$3:$A$102)*($G98='Thang 05-2026'!$C$3:$C$102),0),11)=1,$B98="Triều Xuống"),1,IF(AND(INDEX('Thang 05-2026'!$A$3:$Q$102,MATCH(1,($A98='Thang 05-2026'!$A$3:$A$102)*($G98='Thang 05-2026'!$C$3:$C$102),0),10)=1,$B98="Triều Lên",INDEX('Thang 05-2026'!$A$3:$Q$102,MATCH(1,($A98='Thang 05-2026'!$A$3:$A$102)*($G98='Thang 05-2026'!$C$3:$C$102),0),11)=0),1,0))</f>
        <v>0</v>
      </c>
      <c r="E98">
        <f t="array" ref="E98">IF(AND(INDEX('Thang 05-2026'!$A$3:$Q$102,MATCH(1,($A98='Thang 05-2026'!$A$3:$A$102)*($G98='Thang 05-2026'!$C$3:$C$102),0),15)=1,$B98="Triều Xuống"),1,IF(AND(INDEX('Thang 05-2026'!$A$3:$Q$102,MATCH(1,($A98='Thang 05-2026'!$A$3:$A$102)*($G98='Thang 05-2026'!$C$3:$C$102),0),14)=1,$B98="Triều Lên",INDEX('Thang 05-2026'!$A$3:$Q$102,MATCH(1,($A98='Thang 05-2026'!$A$3:$A$102)*($G98='Thang 05-2026'!$C$3:$C$102),0),15)=0),1,0))</f>
        <v>0</v>
      </c>
      <c r="F98">
        <f t="shared" si="1"/>
        <v>0</v>
      </c>
      <c r="G98">
        <f>INDEX('Thang 05-2026'!$A$3:$C$102,MATCH(A98,'Thang 05-2026'!$A$3:$A$102,0),3)</f>
        <v>13</v>
      </c>
    </row>
    <row r="99" spans="1:7" x14ac:dyDescent="0.2">
      <c r="A99" t="s">
        <v>59</v>
      </c>
      <c r="B99" t="s">
        <v>121</v>
      </c>
      <c r="C99">
        <v>1</v>
      </c>
      <c r="D99">
        <f t="array" ref="D99">IF(AND(INDEX('Thang 05-2026'!$A$3:$Q$102,MATCH(1,($A99='Thang 05-2026'!$A$3:$A$102)*($G99='Thang 05-2026'!$C$3:$C$102),0),11)=1,$B99="Triều Xuống"),1,IF(AND(INDEX('Thang 05-2026'!$A$3:$Q$102,MATCH(1,($A99='Thang 05-2026'!$A$3:$A$102)*($G99='Thang 05-2026'!$C$3:$C$102),0),10)=1,$B99="Triều Lên",INDEX('Thang 05-2026'!$A$3:$Q$102,MATCH(1,($A99='Thang 05-2026'!$A$3:$A$102)*($G99='Thang 05-2026'!$C$3:$C$102),0),11)=0),1,0))</f>
        <v>0</v>
      </c>
      <c r="E99">
        <f t="array" ref="E99">IF(AND(INDEX('Thang 05-2026'!$A$3:$Q$102,MATCH(1,($A99='Thang 05-2026'!$A$3:$A$102)*($G99='Thang 05-2026'!$C$3:$C$102),0),15)=1,$B99="Triều Xuống"),1,IF(AND(INDEX('Thang 05-2026'!$A$3:$Q$102,MATCH(1,($A99='Thang 05-2026'!$A$3:$A$102)*($G99='Thang 05-2026'!$C$3:$C$102),0),14)=1,$B99="Triều Lên",INDEX('Thang 05-2026'!$A$3:$Q$102,MATCH(1,($A99='Thang 05-2026'!$A$3:$A$102)*($G99='Thang 05-2026'!$C$3:$C$102),0),15)=0),1,0))</f>
        <v>0</v>
      </c>
      <c r="F99">
        <f t="shared" si="1"/>
        <v>0</v>
      </c>
      <c r="G99">
        <f>INDEX('Thang 05-2026'!$A$3:$C$102,MATCH(A99,'Thang 05-2026'!$A$3:$A$102,0),3)</f>
        <v>13</v>
      </c>
    </row>
    <row r="100" spans="1:7" x14ac:dyDescent="0.2">
      <c r="A100" t="s">
        <v>60</v>
      </c>
      <c r="B100" t="s">
        <v>121</v>
      </c>
      <c r="C100">
        <v>1</v>
      </c>
      <c r="D100">
        <f t="array" ref="D100">IF(AND(INDEX('Thang 05-2026'!$A$3:$Q$102,MATCH(1,($A100='Thang 05-2026'!$A$3:$A$102)*($G100='Thang 05-2026'!$C$3:$C$102),0),11)=1,$B100="Triều Xuống"),1,IF(AND(INDEX('Thang 05-2026'!$A$3:$Q$102,MATCH(1,($A100='Thang 05-2026'!$A$3:$A$102)*($G100='Thang 05-2026'!$C$3:$C$102),0),10)=1,$B100="Triều Lên",INDEX('Thang 05-2026'!$A$3:$Q$102,MATCH(1,($A100='Thang 05-2026'!$A$3:$A$102)*($G100='Thang 05-2026'!$C$3:$C$102),0),11)=0),1,0))</f>
        <v>0</v>
      </c>
      <c r="E100">
        <f t="array" ref="E100">IF(AND(INDEX('Thang 05-2026'!$A$3:$Q$102,MATCH(1,($A100='Thang 05-2026'!$A$3:$A$102)*($G100='Thang 05-2026'!$C$3:$C$102),0),15)=1,$B100="Triều Xuống"),1,IF(AND(INDEX('Thang 05-2026'!$A$3:$Q$102,MATCH(1,($A100='Thang 05-2026'!$A$3:$A$102)*($G100='Thang 05-2026'!$C$3:$C$102),0),14)=1,$B100="Triều Lên",INDEX('Thang 05-2026'!$A$3:$Q$102,MATCH(1,($A100='Thang 05-2026'!$A$3:$A$102)*($G100='Thang 05-2026'!$C$3:$C$102),0),15)=0),1,0))</f>
        <v>0</v>
      </c>
      <c r="F100">
        <f t="shared" si="1"/>
        <v>0</v>
      </c>
      <c r="G100">
        <f>INDEX('Thang 05-2026'!$A$3:$C$102,MATCH(A100,'Thang 05-2026'!$A$3:$A$102,0),3)</f>
        <v>13</v>
      </c>
    </row>
    <row r="101" spans="1:7" x14ac:dyDescent="0.2">
      <c r="A101" t="s">
        <v>61</v>
      </c>
      <c r="B101" t="s">
        <v>121</v>
      </c>
      <c r="C101">
        <v>1</v>
      </c>
      <c r="D101">
        <f t="array" ref="D101">IF(AND(INDEX('Thang 05-2026'!$A$3:$Q$102,MATCH(1,($A101='Thang 05-2026'!$A$3:$A$102)*($G101='Thang 05-2026'!$C$3:$C$102),0),11)=1,$B101="Triều Xuống"),1,IF(AND(INDEX('Thang 05-2026'!$A$3:$Q$102,MATCH(1,($A101='Thang 05-2026'!$A$3:$A$102)*($G101='Thang 05-2026'!$C$3:$C$102),0),10)=1,$B101="Triều Lên",INDEX('Thang 05-2026'!$A$3:$Q$102,MATCH(1,($A101='Thang 05-2026'!$A$3:$A$102)*($G101='Thang 05-2026'!$C$3:$C$102),0),11)=0),1,0))</f>
        <v>1</v>
      </c>
      <c r="E101">
        <f t="array" ref="E101">IF(AND(INDEX('Thang 05-2026'!$A$3:$Q$102,MATCH(1,($A101='Thang 05-2026'!$A$3:$A$102)*($G101='Thang 05-2026'!$C$3:$C$102),0),15)=1,$B101="Triều Xuống"),1,IF(AND(INDEX('Thang 05-2026'!$A$3:$Q$102,MATCH(1,($A101='Thang 05-2026'!$A$3:$A$102)*($G101='Thang 05-2026'!$C$3:$C$102),0),14)=1,$B101="Triều Lên",INDEX('Thang 05-2026'!$A$3:$Q$102,MATCH(1,($A101='Thang 05-2026'!$A$3:$A$102)*($G101='Thang 05-2026'!$C$3:$C$102),0),15)=0),1,0))</f>
        <v>0</v>
      </c>
      <c r="F101">
        <f t="shared" si="1"/>
        <v>1</v>
      </c>
      <c r="G101">
        <f>INDEX('Thang 05-2026'!$A$3:$C$102,MATCH(A101,'Thang 05-2026'!$A$3:$A$102,0),3)</f>
        <v>13</v>
      </c>
    </row>
    <row r="102" spans="1:7" x14ac:dyDescent="0.2">
      <c r="A102" t="s">
        <v>62</v>
      </c>
      <c r="B102" t="s">
        <v>118</v>
      </c>
      <c r="C102">
        <v>1</v>
      </c>
      <c r="D102">
        <f t="array" ref="D102">IF(AND(INDEX('Thang 05-2026'!$A$3:$Q$102,MATCH(1,($A102='Thang 05-2026'!$A$3:$A$102)*($G102='Thang 05-2026'!$C$3:$C$102),0),11)=1,$B102="Triều Xuống"),1,IF(AND(INDEX('Thang 05-2026'!$A$3:$Q$102,MATCH(1,($A102='Thang 05-2026'!$A$3:$A$102)*($G102='Thang 05-2026'!$C$3:$C$102),0),10)=1,$B102="Triều Lên",INDEX('Thang 05-2026'!$A$3:$Q$102,MATCH(1,($A102='Thang 05-2026'!$A$3:$A$102)*($G102='Thang 05-2026'!$C$3:$C$102),0),11)=0),1,0))</f>
        <v>0</v>
      </c>
      <c r="E102">
        <f t="array" ref="E102">IF(AND(INDEX('Thang 05-2026'!$A$3:$Q$102,MATCH(1,($A102='Thang 05-2026'!$A$3:$A$102)*($G102='Thang 05-2026'!$C$3:$C$102),0),15)=1,$B102="Triều Xuống"),1,IF(AND(INDEX('Thang 05-2026'!$A$3:$Q$102,MATCH(1,($A102='Thang 05-2026'!$A$3:$A$102)*($G102='Thang 05-2026'!$C$3:$C$102),0),14)=1,$B102="Triều Lên",INDEX('Thang 05-2026'!$A$3:$Q$102,MATCH(1,($A102='Thang 05-2026'!$A$3:$A$102)*($G102='Thang 05-2026'!$C$3:$C$102),0),15)=0),1,0))</f>
        <v>1</v>
      </c>
      <c r="F102">
        <f t="shared" si="1"/>
        <v>1</v>
      </c>
      <c r="G102">
        <f>INDEX('Thang 05-2026'!$A$3:$C$102,MATCH(A102,'Thang 05-2026'!$A$3:$A$102,0),3)</f>
        <v>14</v>
      </c>
    </row>
    <row r="103" spans="1:7" x14ac:dyDescent="0.2">
      <c r="A103" t="s">
        <v>64</v>
      </c>
      <c r="B103" t="s">
        <v>118</v>
      </c>
      <c r="C103">
        <v>1</v>
      </c>
      <c r="D103">
        <f t="array" ref="D103">IF(AND(INDEX('Thang 05-2026'!$A$3:$Q$102,MATCH(1,($A103='Thang 05-2026'!$A$3:$A$102)*($G103='Thang 05-2026'!$C$3:$C$102),0),11)=1,$B103="Triều Xuống"),1,IF(AND(INDEX('Thang 05-2026'!$A$3:$Q$102,MATCH(1,($A103='Thang 05-2026'!$A$3:$A$102)*($G103='Thang 05-2026'!$C$3:$C$102),0),10)=1,$B103="Triều Lên",INDEX('Thang 05-2026'!$A$3:$Q$102,MATCH(1,($A103='Thang 05-2026'!$A$3:$A$102)*($G103='Thang 05-2026'!$C$3:$C$102),0),11)=0),1,0))</f>
        <v>0</v>
      </c>
      <c r="E103">
        <f t="array" ref="E103">IF(AND(INDEX('Thang 05-2026'!$A$3:$Q$102,MATCH(1,($A103='Thang 05-2026'!$A$3:$A$102)*($G103='Thang 05-2026'!$C$3:$C$102),0),15)=1,$B103="Triều Xuống"),1,IF(AND(INDEX('Thang 05-2026'!$A$3:$Q$102,MATCH(1,($A103='Thang 05-2026'!$A$3:$A$102)*($G103='Thang 05-2026'!$C$3:$C$102),0),14)=1,$B103="Triều Lên",INDEX('Thang 05-2026'!$A$3:$Q$102,MATCH(1,($A103='Thang 05-2026'!$A$3:$A$102)*($G103='Thang 05-2026'!$C$3:$C$102),0),15)=0),1,0))</f>
        <v>0</v>
      </c>
      <c r="F103">
        <f t="shared" si="1"/>
        <v>0</v>
      </c>
      <c r="G103">
        <f>INDEX('Thang 05-2026'!$A$3:$C$102,MATCH(A103,'Thang 05-2026'!$A$3:$A$102,0),3)</f>
        <v>14</v>
      </c>
    </row>
    <row r="104" spans="1:7" x14ac:dyDescent="0.2">
      <c r="A104" t="s">
        <v>65</v>
      </c>
      <c r="B104" t="s">
        <v>118</v>
      </c>
      <c r="C104">
        <v>1</v>
      </c>
      <c r="D104">
        <f t="array" ref="D104">IF(AND(INDEX('Thang 05-2026'!$A$3:$Q$102,MATCH(1,($A104='Thang 05-2026'!$A$3:$A$102)*($G104='Thang 05-2026'!$C$3:$C$102),0),11)=1,$B104="Triều Xuống"),1,IF(AND(INDEX('Thang 05-2026'!$A$3:$Q$102,MATCH(1,($A104='Thang 05-2026'!$A$3:$A$102)*($G104='Thang 05-2026'!$C$3:$C$102),0),10)=1,$B104="Triều Lên",INDEX('Thang 05-2026'!$A$3:$Q$102,MATCH(1,($A104='Thang 05-2026'!$A$3:$A$102)*($G104='Thang 05-2026'!$C$3:$C$102),0),11)=0),1,0))</f>
        <v>0</v>
      </c>
      <c r="E104">
        <f t="array" ref="E104">IF(AND(INDEX('Thang 05-2026'!$A$3:$Q$102,MATCH(1,($A104='Thang 05-2026'!$A$3:$A$102)*($G104='Thang 05-2026'!$C$3:$C$102),0),15)=1,$B104="Triều Xuống"),1,IF(AND(INDEX('Thang 05-2026'!$A$3:$Q$102,MATCH(1,($A104='Thang 05-2026'!$A$3:$A$102)*($G104='Thang 05-2026'!$C$3:$C$102),0),14)=1,$B104="Triều Lên",INDEX('Thang 05-2026'!$A$3:$Q$102,MATCH(1,($A104='Thang 05-2026'!$A$3:$A$102)*($G104='Thang 05-2026'!$C$3:$C$102),0),15)=0),1,0))</f>
        <v>0</v>
      </c>
      <c r="F104">
        <f t="shared" si="1"/>
        <v>0</v>
      </c>
      <c r="G104">
        <f>INDEX('Thang 05-2026'!$A$3:$C$102,MATCH(A104,'Thang 05-2026'!$A$3:$A$102,0),3)</f>
        <v>14</v>
      </c>
    </row>
    <row r="105" spans="1:7" x14ac:dyDescent="0.2">
      <c r="A105" t="s">
        <v>66</v>
      </c>
      <c r="B105" t="s">
        <v>118</v>
      </c>
      <c r="C105">
        <v>1</v>
      </c>
      <c r="D105">
        <f t="array" ref="D105">IF(AND(INDEX('Thang 05-2026'!$A$3:$Q$102,MATCH(1,($A105='Thang 05-2026'!$A$3:$A$102)*($G105='Thang 05-2026'!$C$3:$C$102),0),11)=1,$B105="Triều Xuống"),1,IF(AND(INDEX('Thang 05-2026'!$A$3:$Q$102,MATCH(1,($A105='Thang 05-2026'!$A$3:$A$102)*($G105='Thang 05-2026'!$C$3:$C$102),0),10)=1,$B105="Triều Lên",INDEX('Thang 05-2026'!$A$3:$Q$102,MATCH(1,($A105='Thang 05-2026'!$A$3:$A$102)*($G105='Thang 05-2026'!$C$3:$C$102),0),11)=0),1,0))</f>
        <v>0</v>
      </c>
      <c r="E105">
        <f t="array" ref="E105">IF(AND(INDEX('Thang 05-2026'!$A$3:$Q$102,MATCH(1,($A105='Thang 05-2026'!$A$3:$A$102)*($G105='Thang 05-2026'!$C$3:$C$102),0),15)=1,$B105="Triều Xuống"),1,IF(AND(INDEX('Thang 05-2026'!$A$3:$Q$102,MATCH(1,($A105='Thang 05-2026'!$A$3:$A$102)*($G105='Thang 05-2026'!$C$3:$C$102),0),14)=1,$B105="Triều Lên",INDEX('Thang 05-2026'!$A$3:$Q$102,MATCH(1,($A105='Thang 05-2026'!$A$3:$A$102)*($G105='Thang 05-2026'!$C$3:$C$102),0),15)=0),1,0))</f>
        <v>0</v>
      </c>
      <c r="F105">
        <f t="shared" si="1"/>
        <v>0</v>
      </c>
      <c r="G105">
        <f>INDEX('Thang 05-2026'!$A$3:$C$102,MATCH(A105,'Thang 05-2026'!$A$3:$A$102,0),3)</f>
        <v>14</v>
      </c>
    </row>
    <row r="106" spans="1:7" x14ac:dyDescent="0.2">
      <c r="A106" t="s">
        <v>62</v>
      </c>
      <c r="B106" t="s">
        <v>121</v>
      </c>
      <c r="C106">
        <v>1</v>
      </c>
      <c r="D106">
        <f t="array" ref="D106">IF(AND(INDEX('Thang 05-2026'!$A$3:$Q$102,MATCH(1,($A106='Thang 05-2026'!$A$3:$A$102)*($G106='Thang 05-2026'!$C$3:$C$102),0),11)=1,$B106="Triều Xuống"),1,IF(AND(INDEX('Thang 05-2026'!$A$3:$Q$102,MATCH(1,($A106='Thang 05-2026'!$A$3:$A$102)*($G106='Thang 05-2026'!$C$3:$C$102),0),10)=1,$B106="Triều Lên",INDEX('Thang 05-2026'!$A$3:$Q$102,MATCH(1,($A106='Thang 05-2026'!$A$3:$A$102)*($G106='Thang 05-2026'!$C$3:$C$102),0),11)=0),1,0))</f>
        <v>1</v>
      </c>
      <c r="E106">
        <f t="array" ref="E106">IF(AND(INDEX('Thang 05-2026'!$A$3:$Q$102,MATCH(1,($A106='Thang 05-2026'!$A$3:$A$102)*($G106='Thang 05-2026'!$C$3:$C$102),0),15)=1,$B106="Triều Xuống"),1,IF(AND(INDEX('Thang 05-2026'!$A$3:$Q$102,MATCH(1,($A106='Thang 05-2026'!$A$3:$A$102)*($G106='Thang 05-2026'!$C$3:$C$102),0),14)=1,$B106="Triều Lên",INDEX('Thang 05-2026'!$A$3:$Q$102,MATCH(1,($A106='Thang 05-2026'!$A$3:$A$102)*($G106='Thang 05-2026'!$C$3:$C$102),0),15)=0),1,0))</f>
        <v>0</v>
      </c>
      <c r="F106">
        <f t="shared" si="1"/>
        <v>1</v>
      </c>
      <c r="G106">
        <f>INDEX('Thang 05-2026'!$A$3:$C$102,MATCH(A106,'Thang 05-2026'!$A$3:$A$102,0),3)</f>
        <v>14</v>
      </c>
    </row>
    <row r="107" spans="1:7" x14ac:dyDescent="0.2">
      <c r="A107" t="s">
        <v>64</v>
      </c>
      <c r="B107" t="s">
        <v>121</v>
      </c>
      <c r="C107">
        <v>1</v>
      </c>
      <c r="D107">
        <f t="array" ref="D107">IF(AND(INDEX('Thang 05-2026'!$A$3:$Q$102,MATCH(1,($A107='Thang 05-2026'!$A$3:$A$102)*($G107='Thang 05-2026'!$C$3:$C$102),0),11)=1,$B107="Triều Xuống"),1,IF(AND(INDEX('Thang 05-2026'!$A$3:$Q$102,MATCH(1,($A107='Thang 05-2026'!$A$3:$A$102)*($G107='Thang 05-2026'!$C$3:$C$102),0),10)=1,$B107="Triều Lên",INDEX('Thang 05-2026'!$A$3:$Q$102,MATCH(1,($A107='Thang 05-2026'!$A$3:$A$102)*($G107='Thang 05-2026'!$C$3:$C$102),0),11)=0),1,0))</f>
        <v>0</v>
      </c>
      <c r="E107">
        <f t="array" ref="E107">IF(AND(INDEX('Thang 05-2026'!$A$3:$Q$102,MATCH(1,($A107='Thang 05-2026'!$A$3:$A$102)*($G107='Thang 05-2026'!$C$3:$C$102),0),15)=1,$B107="Triều Xuống"),1,IF(AND(INDEX('Thang 05-2026'!$A$3:$Q$102,MATCH(1,($A107='Thang 05-2026'!$A$3:$A$102)*($G107='Thang 05-2026'!$C$3:$C$102),0),14)=1,$B107="Triều Lên",INDEX('Thang 05-2026'!$A$3:$Q$102,MATCH(1,($A107='Thang 05-2026'!$A$3:$A$102)*($G107='Thang 05-2026'!$C$3:$C$102),0),15)=0),1,0))</f>
        <v>0</v>
      </c>
      <c r="F107">
        <f t="shared" si="1"/>
        <v>0</v>
      </c>
      <c r="G107">
        <f>INDEX('Thang 05-2026'!$A$3:$C$102,MATCH(A107,'Thang 05-2026'!$A$3:$A$102,0),3)</f>
        <v>14</v>
      </c>
    </row>
    <row r="108" spans="1:7" x14ac:dyDescent="0.2">
      <c r="A108" t="s">
        <v>65</v>
      </c>
      <c r="B108" t="s">
        <v>121</v>
      </c>
      <c r="C108">
        <v>1</v>
      </c>
      <c r="D108">
        <f t="array" ref="D108">IF(AND(INDEX('Thang 05-2026'!$A$3:$Q$102,MATCH(1,($A108='Thang 05-2026'!$A$3:$A$102)*($G108='Thang 05-2026'!$C$3:$C$102),0),11)=1,$B108="Triều Xuống"),1,IF(AND(INDEX('Thang 05-2026'!$A$3:$Q$102,MATCH(1,($A108='Thang 05-2026'!$A$3:$A$102)*($G108='Thang 05-2026'!$C$3:$C$102),0),10)=1,$B108="Triều Lên",INDEX('Thang 05-2026'!$A$3:$Q$102,MATCH(1,($A108='Thang 05-2026'!$A$3:$A$102)*($G108='Thang 05-2026'!$C$3:$C$102),0),11)=0),1,0))</f>
        <v>0</v>
      </c>
      <c r="E108">
        <f t="array" ref="E108">IF(AND(INDEX('Thang 05-2026'!$A$3:$Q$102,MATCH(1,($A108='Thang 05-2026'!$A$3:$A$102)*($G108='Thang 05-2026'!$C$3:$C$102),0),15)=1,$B108="Triều Xuống"),1,IF(AND(INDEX('Thang 05-2026'!$A$3:$Q$102,MATCH(1,($A108='Thang 05-2026'!$A$3:$A$102)*($G108='Thang 05-2026'!$C$3:$C$102),0),14)=1,$B108="Triều Lên",INDEX('Thang 05-2026'!$A$3:$Q$102,MATCH(1,($A108='Thang 05-2026'!$A$3:$A$102)*($G108='Thang 05-2026'!$C$3:$C$102),0),15)=0),1,0))</f>
        <v>0</v>
      </c>
      <c r="F108">
        <f t="shared" si="1"/>
        <v>0</v>
      </c>
      <c r="G108">
        <f>INDEX('Thang 05-2026'!$A$3:$C$102,MATCH(A108,'Thang 05-2026'!$A$3:$A$102,0),3)</f>
        <v>14</v>
      </c>
    </row>
    <row r="109" spans="1:7" x14ac:dyDescent="0.2">
      <c r="A109" t="s">
        <v>66</v>
      </c>
      <c r="B109" t="s">
        <v>121</v>
      </c>
      <c r="C109">
        <v>1</v>
      </c>
      <c r="D109">
        <f t="array" ref="D109">IF(AND(INDEX('Thang 05-2026'!$A$3:$Q$102,MATCH(1,($A109='Thang 05-2026'!$A$3:$A$102)*($G109='Thang 05-2026'!$C$3:$C$102),0),11)=1,$B109="Triều Xuống"),1,IF(AND(INDEX('Thang 05-2026'!$A$3:$Q$102,MATCH(1,($A109='Thang 05-2026'!$A$3:$A$102)*($G109='Thang 05-2026'!$C$3:$C$102),0),10)=1,$B109="Triều Lên",INDEX('Thang 05-2026'!$A$3:$Q$102,MATCH(1,($A109='Thang 05-2026'!$A$3:$A$102)*($G109='Thang 05-2026'!$C$3:$C$102),0),11)=0),1,0))</f>
        <v>0</v>
      </c>
      <c r="E109">
        <f t="array" ref="E109">IF(AND(INDEX('Thang 05-2026'!$A$3:$Q$102,MATCH(1,($A109='Thang 05-2026'!$A$3:$A$102)*($G109='Thang 05-2026'!$C$3:$C$102),0),15)=1,$B109="Triều Xuống"),1,IF(AND(INDEX('Thang 05-2026'!$A$3:$Q$102,MATCH(1,($A109='Thang 05-2026'!$A$3:$A$102)*($G109='Thang 05-2026'!$C$3:$C$102),0),14)=1,$B109="Triều Lên",INDEX('Thang 05-2026'!$A$3:$Q$102,MATCH(1,($A109='Thang 05-2026'!$A$3:$A$102)*($G109='Thang 05-2026'!$C$3:$C$102),0),15)=0),1,0))</f>
        <v>0</v>
      </c>
      <c r="F109">
        <f t="shared" si="1"/>
        <v>0</v>
      </c>
      <c r="G109">
        <f>INDEX('Thang 05-2026'!$A$3:$C$102,MATCH(A109,'Thang 05-2026'!$A$3:$A$102,0),3)</f>
        <v>14</v>
      </c>
    </row>
    <row r="110" spans="1:7" x14ac:dyDescent="0.2">
      <c r="A110" t="s">
        <v>67</v>
      </c>
      <c r="B110" t="s">
        <v>118</v>
      </c>
      <c r="C110">
        <v>1</v>
      </c>
      <c r="D110">
        <f t="array" ref="D110">IF(AND(INDEX('Thang 05-2026'!$A$3:$Q$102,MATCH(1,($A110='Thang 05-2026'!$A$3:$A$102)*($G110='Thang 05-2026'!$C$3:$C$102),0),11)=1,$B110="Triều Xuống"),1,IF(AND(INDEX('Thang 05-2026'!$A$3:$Q$102,MATCH(1,($A110='Thang 05-2026'!$A$3:$A$102)*($G110='Thang 05-2026'!$C$3:$C$102),0),10)=1,$B110="Triều Lên",INDEX('Thang 05-2026'!$A$3:$Q$102,MATCH(1,($A110='Thang 05-2026'!$A$3:$A$102)*($G110='Thang 05-2026'!$C$3:$C$102),0),11)=0),1,0))</f>
        <v>0</v>
      </c>
      <c r="E110">
        <f t="array" ref="E110">IF(AND(INDEX('Thang 05-2026'!$A$3:$Q$102,MATCH(1,($A110='Thang 05-2026'!$A$3:$A$102)*($G110='Thang 05-2026'!$C$3:$C$102),0),15)=1,$B110="Triều Xuống"),1,IF(AND(INDEX('Thang 05-2026'!$A$3:$Q$102,MATCH(1,($A110='Thang 05-2026'!$A$3:$A$102)*($G110='Thang 05-2026'!$C$3:$C$102),0),14)=1,$B110="Triều Lên",INDEX('Thang 05-2026'!$A$3:$Q$102,MATCH(1,($A110='Thang 05-2026'!$A$3:$A$102)*($G110='Thang 05-2026'!$C$3:$C$102),0),15)=0),1,0))</f>
        <v>1</v>
      </c>
      <c r="F110">
        <f t="shared" si="1"/>
        <v>1</v>
      </c>
      <c r="G110">
        <f>INDEX('Thang 05-2026'!$A$3:$C$102,MATCH(A110,'Thang 05-2026'!$A$3:$A$102,0),3)</f>
        <v>15</v>
      </c>
    </row>
    <row r="111" spans="1:7" x14ac:dyDescent="0.2">
      <c r="A111" t="s">
        <v>69</v>
      </c>
      <c r="B111" t="s">
        <v>118</v>
      </c>
      <c r="C111">
        <v>1</v>
      </c>
      <c r="D111">
        <f t="array" ref="D111">IF(AND(INDEX('Thang 05-2026'!$A$3:$Q$102,MATCH(1,($A111='Thang 05-2026'!$A$3:$A$102)*($G111='Thang 05-2026'!$C$3:$C$102),0),11)=1,$B111="Triều Xuống"),1,IF(AND(INDEX('Thang 05-2026'!$A$3:$Q$102,MATCH(1,($A111='Thang 05-2026'!$A$3:$A$102)*($G111='Thang 05-2026'!$C$3:$C$102),0),10)=1,$B111="Triều Lên",INDEX('Thang 05-2026'!$A$3:$Q$102,MATCH(1,($A111='Thang 05-2026'!$A$3:$A$102)*($G111='Thang 05-2026'!$C$3:$C$102),0),11)=0),1,0))</f>
        <v>0</v>
      </c>
      <c r="E111">
        <f t="array" ref="E111">IF(AND(INDEX('Thang 05-2026'!$A$3:$Q$102,MATCH(1,($A111='Thang 05-2026'!$A$3:$A$102)*($G111='Thang 05-2026'!$C$3:$C$102),0),15)=1,$B111="Triều Xuống"),1,IF(AND(INDEX('Thang 05-2026'!$A$3:$Q$102,MATCH(1,($A111='Thang 05-2026'!$A$3:$A$102)*($G111='Thang 05-2026'!$C$3:$C$102),0),14)=1,$B111="Triều Lên",INDEX('Thang 05-2026'!$A$3:$Q$102,MATCH(1,($A111='Thang 05-2026'!$A$3:$A$102)*($G111='Thang 05-2026'!$C$3:$C$102),0),15)=0),1,0))</f>
        <v>0</v>
      </c>
      <c r="F111">
        <f t="shared" si="1"/>
        <v>0</v>
      </c>
      <c r="G111">
        <f>INDEX('Thang 05-2026'!$A$3:$C$102,MATCH(A111,'Thang 05-2026'!$A$3:$A$102,0),3)</f>
        <v>15</v>
      </c>
    </row>
    <row r="112" spans="1:7" x14ac:dyDescent="0.2">
      <c r="A112" t="s">
        <v>70</v>
      </c>
      <c r="B112" t="s">
        <v>118</v>
      </c>
      <c r="C112">
        <v>1</v>
      </c>
      <c r="D112">
        <f t="array" ref="D112">IF(AND(INDEX('Thang 05-2026'!$A$3:$Q$102,MATCH(1,($A112='Thang 05-2026'!$A$3:$A$102)*($G112='Thang 05-2026'!$C$3:$C$102),0),11)=1,$B112="Triều Xuống"),1,IF(AND(INDEX('Thang 05-2026'!$A$3:$Q$102,MATCH(1,($A112='Thang 05-2026'!$A$3:$A$102)*($G112='Thang 05-2026'!$C$3:$C$102),0),10)=1,$B112="Triều Lên",INDEX('Thang 05-2026'!$A$3:$Q$102,MATCH(1,($A112='Thang 05-2026'!$A$3:$A$102)*($G112='Thang 05-2026'!$C$3:$C$102),0),11)=0),1,0))</f>
        <v>0</v>
      </c>
      <c r="E112">
        <f t="array" ref="E112">IF(AND(INDEX('Thang 05-2026'!$A$3:$Q$102,MATCH(1,($A112='Thang 05-2026'!$A$3:$A$102)*($G112='Thang 05-2026'!$C$3:$C$102),0),15)=1,$B112="Triều Xuống"),1,IF(AND(INDEX('Thang 05-2026'!$A$3:$Q$102,MATCH(1,($A112='Thang 05-2026'!$A$3:$A$102)*($G112='Thang 05-2026'!$C$3:$C$102),0),14)=1,$B112="Triều Lên",INDEX('Thang 05-2026'!$A$3:$Q$102,MATCH(1,($A112='Thang 05-2026'!$A$3:$A$102)*($G112='Thang 05-2026'!$C$3:$C$102),0),15)=0),1,0))</f>
        <v>0</v>
      </c>
      <c r="F112">
        <f t="shared" si="1"/>
        <v>0</v>
      </c>
      <c r="G112">
        <f>INDEX('Thang 05-2026'!$A$3:$C$102,MATCH(A112,'Thang 05-2026'!$A$3:$A$102,0),3)</f>
        <v>15</v>
      </c>
    </row>
    <row r="113" spans="1:7" x14ac:dyDescent="0.2">
      <c r="A113" t="s">
        <v>71</v>
      </c>
      <c r="B113" t="s">
        <v>118</v>
      </c>
      <c r="C113">
        <v>1</v>
      </c>
      <c r="D113">
        <f t="array" ref="D113">IF(AND(INDEX('Thang 05-2026'!$A$3:$Q$102,MATCH(1,($A113='Thang 05-2026'!$A$3:$A$102)*($G113='Thang 05-2026'!$C$3:$C$102),0),11)=1,$B113="Triều Xuống"),1,IF(AND(INDEX('Thang 05-2026'!$A$3:$Q$102,MATCH(1,($A113='Thang 05-2026'!$A$3:$A$102)*($G113='Thang 05-2026'!$C$3:$C$102),0),10)=1,$B113="Triều Lên",INDEX('Thang 05-2026'!$A$3:$Q$102,MATCH(1,($A113='Thang 05-2026'!$A$3:$A$102)*($G113='Thang 05-2026'!$C$3:$C$102),0),11)=0),1,0))</f>
        <v>1</v>
      </c>
      <c r="E113">
        <f t="array" ref="E113">IF(AND(INDEX('Thang 05-2026'!$A$3:$Q$102,MATCH(1,($A113='Thang 05-2026'!$A$3:$A$102)*($G113='Thang 05-2026'!$C$3:$C$102),0),15)=1,$B113="Triều Xuống"),1,IF(AND(INDEX('Thang 05-2026'!$A$3:$Q$102,MATCH(1,($A113='Thang 05-2026'!$A$3:$A$102)*($G113='Thang 05-2026'!$C$3:$C$102),0),14)=1,$B113="Triều Lên",INDEX('Thang 05-2026'!$A$3:$Q$102,MATCH(1,($A113='Thang 05-2026'!$A$3:$A$102)*($G113='Thang 05-2026'!$C$3:$C$102),0),15)=0),1,0))</f>
        <v>0</v>
      </c>
      <c r="F113">
        <f t="shared" si="1"/>
        <v>1</v>
      </c>
      <c r="G113">
        <f>INDEX('Thang 05-2026'!$A$3:$C$102,MATCH(A113,'Thang 05-2026'!$A$3:$A$102,0),3)</f>
        <v>15</v>
      </c>
    </row>
    <row r="114" spans="1:7" x14ac:dyDescent="0.2">
      <c r="A114" t="s">
        <v>67</v>
      </c>
      <c r="B114" t="s">
        <v>121</v>
      </c>
      <c r="C114">
        <v>1</v>
      </c>
      <c r="D114">
        <f t="array" ref="D114">IF(AND(INDEX('Thang 05-2026'!$A$3:$Q$102,MATCH(1,($A114='Thang 05-2026'!$A$3:$A$102)*($G114='Thang 05-2026'!$C$3:$C$102),0),11)=1,$B114="Triều Xuống"),1,IF(AND(INDEX('Thang 05-2026'!$A$3:$Q$102,MATCH(1,($A114='Thang 05-2026'!$A$3:$A$102)*($G114='Thang 05-2026'!$C$3:$C$102),0),10)=1,$B114="Triều Lên",INDEX('Thang 05-2026'!$A$3:$Q$102,MATCH(1,($A114='Thang 05-2026'!$A$3:$A$102)*($G114='Thang 05-2026'!$C$3:$C$102),0),11)=0),1,0))</f>
        <v>0</v>
      </c>
      <c r="E114">
        <f t="array" ref="E114">IF(AND(INDEX('Thang 05-2026'!$A$3:$Q$102,MATCH(1,($A114='Thang 05-2026'!$A$3:$A$102)*($G114='Thang 05-2026'!$C$3:$C$102),0),15)=1,$B114="Triều Xuống"),1,IF(AND(INDEX('Thang 05-2026'!$A$3:$Q$102,MATCH(1,($A114='Thang 05-2026'!$A$3:$A$102)*($G114='Thang 05-2026'!$C$3:$C$102),0),14)=1,$B114="Triều Lên",INDEX('Thang 05-2026'!$A$3:$Q$102,MATCH(1,($A114='Thang 05-2026'!$A$3:$A$102)*($G114='Thang 05-2026'!$C$3:$C$102),0),15)=0),1,0))</f>
        <v>0</v>
      </c>
      <c r="F114">
        <f t="shared" si="1"/>
        <v>0</v>
      </c>
      <c r="G114">
        <f>INDEX('Thang 05-2026'!$A$3:$C$102,MATCH(A114,'Thang 05-2026'!$A$3:$A$102,0),3)</f>
        <v>15</v>
      </c>
    </row>
    <row r="115" spans="1:7" x14ac:dyDescent="0.2">
      <c r="A115" t="s">
        <v>69</v>
      </c>
      <c r="B115" t="s">
        <v>121</v>
      </c>
      <c r="C115">
        <v>1</v>
      </c>
      <c r="D115">
        <f t="array" ref="D115">IF(AND(INDEX('Thang 05-2026'!$A$3:$Q$102,MATCH(1,($A115='Thang 05-2026'!$A$3:$A$102)*($G115='Thang 05-2026'!$C$3:$C$102),0),11)=1,$B115="Triều Xuống"),1,IF(AND(INDEX('Thang 05-2026'!$A$3:$Q$102,MATCH(1,($A115='Thang 05-2026'!$A$3:$A$102)*($G115='Thang 05-2026'!$C$3:$C$102),0),10)=1,$B115="Triều Lên",INDEX('Thang 05-2026'!$A$3:$Q$102,MATCH(1,($A115='Thang 05-2026'!$A$3:$A$102)*($G115='Thang 05-2026'!$C$3:$C$102),0),11)=0),1,0))</f>
        <v>0</v>
      </c>
      <c r="E115">
        <f t="array" ref="E115">IF(AND(INDEX('Thang 05-2026'!$A$3:$Q$102,MATCH(1,($A115='Thang 05-2026'!$A$3:$A$102)*($G115='Thang 05-2026'!$C$3:$C$102),0),15)=1,$B115="Triều Xuống"),1,IF(AND(INDEX('Thang 05-2026'!$A$3:$Q$102,MATCH(1,($A115='Thang 05-2026'!$A$3:$A$102)*($G115='Thang 05-2026'!$C$3:$C$102),0),14)=1,$B115="Triều Lên",INDEX('Thang 05-2026'!$A$3:$Q$102,MATCH(1,($A115='Thang 05-2026'!$A$3:$A$102)*($G115='Thang 05-2026'!$C$3:$C$102),0),15)=0),1,0))</f>
        <v>0</v>
      </c>
      <c r="F115">
        <f t="shared" si="1"/>
        <v>0</v>
      </c>
      <c r="G115">
        <f>INDEX('Thang 05-2026'!$A$3:$C$102,MATCH(A115,'Thang 05-2026'!$A$3:$A$102,0),3)</f>
        <v>15</v>
      </c>
    </row>
    <row r="116" spans="1:7" x14ac:dyDescent="0.2">
      <c r="A116" t="s">
        <v>70</v>
      </c>
      <c r="B116" t="s">
        <v>121</v>
      </c>
      <c r="C116">
        <v>1</v>
      </c>
      <c r="D116">
        <f t="array" ref="D116">IF(AND(INDEX('Thang 05-2026'!$A$3:$Q$102,MATCH(1,($A116='Thang 05-2026'!$A$3:$A$102)*($G116='Thang 05-2026'!$C$3:$C$102),0),11)=1,$B116="Triều Xuống"),1,IF(AND(INDEX('Thang 05-2026'!$A$3:$Q$102,MATCH(1,($A116='Thang 05-2026'!$A$3:$A$102)*($G116='Thang 05-2026'!$C$3:$C$102),0),10)=1,$B116="Triều Lên",INDEX('Thang 05-2026'!$A$3:$Q$102,MATCH(1,($A116='Thang 05-2026'!$A$3:$A$102)*($G116='Thang 05-2026'!$C$3:$C$102),0),11)=0),1,0))</f>
        <v>0</v>
      </c>
      <c r="E116">
        <f t="array" ref="E116">IF(AND(INDEX('Thang 05-2026'!$A$3:$Q$102,MATCH(1,($A116='Thang 05-2026'!$A$3:$A$102)*($G116='Thang 05-2026'!$C$3:$C$102),0),15)=1,$B116="Triều Xuống"),1,IF(AND(INDEX('Thang 05-2026'!$A$3:$Q$102,MATCH(1,($A116='Thang 05-2026'!$A$3:$A$102)*($G116='Thang 05-2026'!$C$3:$C$102),0),14)=1,$B116="Triều Lên",INDEX('Thang 05-2026'!$A$3:$Q$102,MATCH(1,($A116='Thang 05-2026'!$A$3:$A$102)*($G116='Thang 05-2026'!$C$3:$C$102),0),15)=0),1,0))</f>
        <v>0</v>
      </c>
      <c r="F116">
        <f t="shared" si="1"/>
        <v>0</v>
      </c>
      <c r="G116">
        <f>INDEX('Thang 05-2026'!$A$3:$C$102,MATCH(A116,'Thang 05-2026'!$A$3:$A$102,0),3)</f>
        <v>15</v>
      </c>
    </row>
    <row r="117" spans="1:7" x14ac:dyDescent="0.2">
      <c r="A117" t="s">
        <v>71</v>
      </c>
      <c r="B117" t="s">
        <v>121</v>
      </c>
      <c r="C117">
        <v>1</v>
      </c>
      <c r="D117">
        <f t="array" ref="D117">IF(AND(INDEX('Thang 05-2026'!$A$3:$Q$102,MATCH(1,($A117='Thang 05-2026'!$A$3:$A$102)*($G117='Thang 05-2026'!$C$3:$C$102),0),11)=1,$B117="Triều Xuống"),1,IF(AND(INDEX('Thang 05-2026'!$A$3:$Q$102,MATCH(1,($A117='Thang 05-2026'!$A$3:$A$102)*($G117='Thang 05-2026'!$C$3:$C$102),0),10)=1,$B117="Triều Lên",INDEX('Thang 05-2026'!$A$3:$Q$102,MATCH(1,($A117='Thang 05-2026'!$A$3:$A$102)*($G117='Thang 05-2026'!$C$3:$C$102),0),11)=0),1,0))</f>
        <v>0</v>
      </c>
      <c r="E117">
        <f t="array" ref="E117">IF(AND(INDEX('Thang 05-2026'!$A$3:$Q$102,MATCH(1,($A117='Thang 05-2026'!$A$3:$A$102)*($G117='Thang 05-2026'!$C$3:$C$102),0),15)=1,$B117="Triều Xuống"),1,IF(AND(INDEX('Thang 05-2026'!$A$3:$Q$102,MATCH(1,($A117='Thang 05-2026'!$A$3:$A$102)*($G117='Thang 05-2026'!$C$3:$C$102),0),14)=1,$B117="Triều Lên",INDEX('Thang 05-2026'!$A$3:$Q$102,MATCH(1,($A117='Thang 05-2026'!$A$3:$A$102)*($G117='Thang 05-2026'!$C$3:$C$102),0),15)=0),1,0))</f>
        <v>0</v>
      </c>
      <c r="F117">
        <f t="shared" si="1"/>
        <v>0</v>
      </c>
      <c r="G117">
        <f>INDEX('Thang 05-2026'!$A$3:$C$102,MATCH(A117,'Thang 05-2026'!$A$3:$A$102,0),3)</f>
        <v>15</v>
      </c>
    </row>
    <row r="118" spans="1:7" x14ac:dyDescent="0.2">
      <c r="A118" t="s">
        <v>129</v>
      </c>
      <c r="B118" t="s">
        <v>118</v>
      </c>
      <c r="C118">
        <v>1</v>
      </c>
      <c r="D118">
        <f t="array" ref="D118">IF(AND(INDEX('Thang 05-2026'!$A$3:$Q$102,MATCH(1,($A118='Thang 05-2026'!$A$3:$A$102)*($G118='Thang 05-2026'!$C$3:$C$102),0),11)=1,$B118="Triều Xuống"),1,IF(AND(INDEX('Thang 05-2026'!$A$3:$Q$102,MATCH(1,($A118='Thang 05-2026'!$A$3:$A$102)*($G118='Thang 05-2026'!$C$3:$C$102),0),10)=1,$B118="Triều Lên",INDEX('Thang 05-2026'!$A$3:$Q$102,MATCH(1,($A118='Thang 05-2026'!$A$3:$A$102)*($G118='Thang 05-2026'!$C$3:$C$102),0),11)=0),1,0))</f>
        <v>0</v>
      </c>
      <c r="E118">
        <f t="array" ref="E118">IF(AND(INDEX('Thang 05-2026'!$A$3:$Q$102,MATCH(1,($A118='Thang 05-2026'!$A$3:$A$102)*($G118='Thang 05-2026'!$C$3:$C$102),0),15)=1,$B118="Triều Xuống"),1,IF(AND(INDEX('Thang 05-2026'!$A$3:$Q$102,MATCH(1,($A118='Thang 05-2026'!$A$3:$A$102)*($G118='Thang 05-2026'!$C$3:$C$102),0),14)=1,$B118="Triều Lên",INDEX('Thang 05-2026'!$A$3:$Q$102,MATCH(1,($A118='Thang 05-2026'!$A$3:$A$102)*($G118='Thang 05-2026'!$C$3:$C$102),0),15)=0),1,0))</f>
        <v>0</v>
      </c>
      <c r="F118">
        <f t="shared" si="1"/>
        <v>0</v>
      </c>
      <c r="G118">
        <f>INDEX('Thang 05-2026'!$A$3:$C$102,MATCH(A118,'Thang 05-2026'!$A$3:$A$102,0),3)</f>
        <v>19</v>
      </c>
    </row>
    <row r="119" spans="1:7" x14ac:dyDescent="0.2">
      <c r="A119" t="s">
        <v>130</v>
      </c>
      <c r="B119" t="s">
        <v>118</v>
      </c>
      <c r="C119">
        <v>1</v>
      </c>
      <c r="D119">
        <f t="array" ref="D119">IF(AND(INDEX('Thang 05-2026'!$A$3:$Q$102,MATCH(1,($A119='Thang 05-2026'!$A$3:$A$102)*($G119='Thang 05-2026'!$C$3:$C$102),0),11)=1,$B119="Triều Xuống"),1,IF(AND(INDEX('Thang 05-2026'!$A$3:$Q$102,MATCH(1,($A119='Thang 05-2026'!$A$3:$A$102)*($G119='Thang 05-2026'!$C$3:$C$102),0),10)=1,$B119="Triều Lên",INDEX('Thang 05-2026'!$A$3:$Q$102,MATCH(1,($A119='Thang 05-2026'!$A$3:$A$102)*($G119='Thang 05-2026'!$C$3:$C$102),0),11)=0),1,0))</f>
        <v>0</v>
      </c>
      <c r="E119">
        <f t="array" ref="E119">IF(AND(INDEX('Thang 05-2026'!$A$3:$Q$102,MATCH(1,($A119='Thang 05-2026'!$A$3:$A$102)*($G119='Thang 05-2026'!$C$3:$C$102),0),15)=1,$B119="Triều Xuống"),1,IF(AND(INDEX('Thang 05-2026'!$A$3:$Q$102,MATCH(1,($A119='Thang 05-2026'!$A$3:$A$102)*($G119='Thang 05-2026'!$C$3:$C$102),0),14)=1,$B119="Triều Lên",INDEX('Thang 05-2026'!$A$3:$Q$102,MATCH(1,($A119='Thang 05-2026'!$A$3:$A$102)*($G119='Thang 05-2026'!$C$3:$C$102),0),15)=0),1,0))</f>
        <v>0</v>
      </c>
      <c r="F119">
        <f t="shared" si="1"/>
        <v>0</v>
      </c>
      <c r="G119">
        <f>INDEX('Thang 05-2026'!$A$3:$C$102,MATCH(A119,'Thang 05-2026'!$A$3:$A$102,0),3)</f>
        <v>19</v>
      </c>
    </row>
    <row r="120" spans="1:7" x14ac:dyDescent="0.2">
      <c r="A120" t="s">
        <v>73</v>
      </c>
      <c r="B120" t="s">
        <v>118</v>
      </c>
      <c r="C120">
        <v>1</v>
      </c>
      <c r="D120">
        <f t="array" ref="D120">IF(AND(INDEX('Thang 05-2026'!$A$3:$Q$102,MATCH(1,($A120='Thang 05-2026'!$A$3:$A$102)*($G120='Thang 05-2026'!$C$3:$C$102),0),11)=1,$B120="Triều Xuống"),1,IF(AND(INDEX('Thang 05-2026'!$A$3:$Q$102,MATCH(1,($A120='Thang 05-2026'!$A$3:$A$102)*($G120='Thang 05-2026'!$C$3:$C$102),0),10)=1,$B120="Triều Lên",INDEX('Thang 05-2026'!$A$3:$Q$102,MATCH(1,($A120='Thang 05-2026'!$A$3:$A$102)*($G120='Thang 05-2026'!$C$3:$C$102),0),11)=0),1,0))</f>
        <v>0</v>
      </c>
      <c r="E120">
        <f t="array" ref="E120">IF(AND(INDEX('Thang 05-2026'!$A$3:$Q$102,MATCH(1,($A120='Thang 05-2026'!$A$3:$A$102)*($G120='Thang 05-2026'!$C$3:$C$102),0),15)=1,$B120="Triều Xuống"),1,IF(AND(INDEX('Thang 05-2026'!$A$3:$Q$102,MATCH(1,($A120='Thang 05-2026'!$A$3:$A$102)*($G120='Thang 05-2026'!$C$3:$C$102),0),14)=1,$B120="Triều Lên",INDEX('Thang 05-2026'!$A$3:$Q$102,MATCH(1,($A120='Thang 05-2026'!$A$3:$A$102)*($G120='Thang 05-2026'!$C$3:$C$102),0),15)=0),1,0))</f>
        <v>0</v>
      </c>
      <c r="F120">
        <f t="shared" si="1"/>
        <v>0</v>
      </c>
      <c r="G120">
        <f>INDEX('Thang 05-2026'!$A$3:$C$102,MATCH(A120,'Thang 05-2026'!$A$3:$A$102,0),3)</f>
        <v>19</v>
      </c>
    </row>
    <row r="121" spans="1:7" x14ac:dyDescent="0.2">
      <c r="A121" t="s">
        <v>74</v>
      </c>
      <c r="B121" t="s">
        <v>118</v>
      </c>
      <c r="C121">
        <v>1</v>
      </c>
      <c r="D121">
        <f t="array" ref="D121">IF(AND(INDEX('Thang 05-2026'!$A$3:$Q$102,MATCH(1,($A121='Thang 05-2026'!$A$3:$A$102)*($G121='Thang 05-2026'!$C$3:$C$102),0),11)=1,$B121="Triều Xuống"),1,IF(AND(INDEX('Thang 05-2026'!$A$3:$Q$102,MATCH(1,($A121='Thang 05-2026'!$A$3:$A$102)*($G121='Thang 05-2026'!$C$3:$C$102),0),10)=1,$B121="Triều Lên",INDEX('Thang 05-2026'!$A$3:$Q$102,MATCH(1,($A121='Thang 05-2026'!$A$3:$A$102)*($G121='Thang 05-2026'!$C$3:$C$102),0),11)=0),1,0))</f>
        <v>0</v>
      </c>
      <c r="E121">
        <f t="array" ref="E121">IF(AND(INDEX('Thang 05-2026'!$A$3:$Q$102,MATCH(1,($A121='Thang 05-2026'!$A$3:$A$102)*($G121='Thang 05-2026'!$C$3:$C$102),0),15)=1,$B121="Triều Xuống"),1,IF(AND(INDEX('Thang 05-2026'!$A$3:$Q$102,MATCH(1,($A121='Thang 05-2026'!$A$3:$A$102)*($G121='Thang 05-2026'!$C$3:$C$102),0),14)=1,$B121="Triều Lên",INDEX('Thang 05-2026'!$A$3:$Q$102,MATCH(1,($A121='Thang 05-2026'!$A$3:$A$102)*($G121='Thang 05-2026'!$C$3:$C$102),0),15)=0),1,0))</f>
        <v>0</v>
      </c>
      <c r="F121">
        <f t="shared" si="1"/>
        <v>0</v>
      </c>
      <c r="G121">
        <f>INDEX('Thang 05-2026'!$A$3:$C$102,MATCH(A121,'Thang 05-2026'!$A$3:$A$102,0),3)</f>
        <v>19</v>
      </c>
    </row>
    <row r="122" spans="1:7" x14ac:dyDescent="0.2">
      <c r="A122" t="s">
        <v>75</v>
      </c>
      <c r="B122" t="s">
        <v>118</v>
      </c>
      <c r="C122">
        <v>1</v>
      </c>
      <c r="D122">
        <f t="array" ref="D122">IF(AND(INDEX('Thang 05-2026'!$A$3:$Q$102,MATCH(1,($A122='Thang 05-2026'!$A$3:$A$102)*($G122='Thang 05-2026'!$C$3:$C$102),0),11)=1,$B122="Triều Xuống"),1,IF(AND(INDEX('Thang 05-2026'!$A$3:$Q$102,MATCH(1,($A122='Thang 05-2026'!$A$3:$A$102)*($G122='Thang 05-2026'!$C$3:$C$102),0),10)=1,$B122="Triều Lên",INDEX('Thang 05-2026'!$A$3:$Q$102,MATCH(1,($A122='Thang 05-2026'!$A$3:$A$102)*($G122='Thang 05-2026'!$C$3:$C$102),0),11)=0),1,0))</f>
        <v>0</v>
      </c>
      <c r="E122">
        <f t="array" ref="E122">IF(AND(INDEX('Thang 05-2026'!$A$3:$Q$102,MATCH(1,($A122='Thang 05-2026'!$A$3:$A$102)*($G122='Thang 05-2026'!$C$3:$C$102),0),15)=1,$B122="Triều Xuống"),1,IF(AND(INDEX('Thang 05-2026'!$A$3:$Q$102,MATCH(1,($A122='Thang 05-2026'!$A$3:$A$102)*($G122='Thang 05-2026'!$C$3:$C$102),0),14)=1,$B122="Triều Lên",INDEX('Thang 05-2026'!$A$3:$Q$102,MATCH(1,($A122='Thang 05-2026'!$A$3:$A$102)*($G122='Thang 05-2026'!$C$3:$C$102),0),15)=0),1,0))</f>
        <v>0</v>
      </c>
      <c r="F122">
        <f t="shared" si="1"/>
        <v>0</v>
      </c>
      <c r="G122">
        <f>INDEX('Thang 05-2026'!$A$3:$C$102,MATCH(A122,'Thang 05-2026'!$A$3:$A$102,0),3)</f>
        <v>19</v>
      </c>
    </row>
    <row r="123" spans="1:7" x14ac:dyDescent="0.2">
      <c r="A123" t="s">
        <v>129</v>
      </c>
      <c r="B123" t="s">
        <v>121</v>
      </c>
      <c r="C123">
        <v>1</v>
      </c>
      <c r="D123">
        <f t="array" ref="D123">IF(AND(INDEX('Thang 05-2026'!$A$3:$Q$102,MATCH(1,($A123='Thang 05-2026'!$A$3:$A$102)*($G123='Thang 05-2026'!$C$3:$C$102),0),11)=1,$B123="Triều Xuống"),1,IF(AND(INDEX('Thang 05-2026'!$A$3:$Q$102,MATCH(1,($A123='Thang 05-2026'!$A$3:$A$102)*($G123='Thang 05-2026'!$C$3:$C$102),0),10)=1,$B123="Triều Lên",INDEX('Thang 05-2026'!$A$3:$Q$102,MATCH(1,($A123='Thang 05-2026'!$A$3:$A$102)*($G123='Thang 05-2026'!$C$3:$C$102),0),11)=0),1,0))</f>
        <v>0</v>
      </c>
      <c r="E123">
        <f t="array" ref="E123">IF(AND(INDEX('Thang 05-2026'!$A$3:$Q$102,MATCH(1,($A123='Thang 05-2026'!$A$3:$A$102)*($G123='Thang 05-2026'!$C$3:$C$102),0),15)=1,$B123="Triều Xuống"),1,IF(AND(INDEX('Thang 05-2026'!$A$3:$Q$102,MATCH(1,($A123='Thang 05-2026'!$A$3:$A$102)*($G123='Thang 05-2026'!$C$3:$C$102),0),14)=1,$B123="Triều Lên",INDEX('Thang 05-2026'!$A$3:$Q$102,MATCH(1,($A123='Thang 05-2026'!$A$3:$A$102)*($G123='Thang 05-2026'!$C$3:$C$102),0),15)=0),1,0))</f>
        <v>0</v>
      </c>
      <c r="F123">
        <f t="shared" si="1"/>
        <v>0</v>
      </c>
      <c r="G123">
        <f>INDEX('Thang 05-2026'!$A$3:$C$102,MATCH(A123,'Thang 05-2026'!$A$3:$A$102,0),3)</f>
        <v>19</v>
      </c>
    </row>
    <row r="124" spans="1:7" x14ac:dyDescent="0.2">
      <c r="A124" t="s">
        <v>130</v>
      </c>
      <c r="B124" t="s">
        <v>121</v>
      </c>
      <c r="C124">
        <v>1</v>
      </c>
      <c r="D124">
        <f t="array" ref="D124">IF(AND(INDEX('Thang 05-2026'!$A$3:$Q$102,MATCH(1,($A124='Thang 05-2026'!$A$3:$A$102)*($G124='Thang 05-2026'!$C$3:$C$102),0),11)=1,$B124="Triều Xuống"),1,IF(AND(INDEX('Thang 05-2026'!$A$3:$Q$102,MATCH(1,($A124='Thang 05-2026'!$A$3:$A$102)*($G124='Thang 05-2026'!$C$3:$C$102),0),10)=1,$B124="Triều Lên",INDEX('Thang 05-2026'!$A$3:$Q$102,MATCH(1,($A124='Thang 05-2026'!$A$3:$A$102)*($G124='Thang 05-2026'!$C$3:$C$102),0),11)=0),1,0))</f>
        <v>0</v>
      </c>
      <c r="E124">
        <f t="array" ref="E124">IF(AND(INDEX('Thang 05-2026'!$A$3:$Q$102,MATCH(1,($A124='Thang 05-2026'!$A$3:$A$102)*($G124='Thang 05-2026'!$C$3:$C$102),0),15)=1,$B124="Triều Xuống"),1,IF(AND(INDEX('Thang 05-2026'!$A$3:$Q$102,MATCH(1,($A124='Thang 05-2026'!$A$3:$A$102)*($G124='Thang 05-2026'!$C$3:$C$102),0),14)=1,$B124="Triều Lên",INDEX('Thang 05-2026'!$A$3:$Q$102,MATCH(1,($A124='Thang 05-2026'!$A$3:$A$102)*($G124='Thang 05-2026'!$C$3:$C$102),0),15)=0),1,0))</f>
        <v>0</v>
      </c>
      <c r="F124">
        <f t="shared" si="1"/>
        <v>0</v>
      </c>
      <c r="G124">
        <f>INDEX('Thang 05-2026'!$A$3:$C$102,MATCH(A124,'Thang 05-2026'!$A$3:$A$102,0),3)</f>
        <v>19</v>
      </c>
    </row>
    <row r="125" spans="1:7" x14ac:dyDescent="0.2">
      <c r="A125" t="s">
        <v>73</v>
      </c>
      <c r="B125" t="s">
        <v>121</v>
      </c>
      <c r="C125">
        <v>1</v>
      </c>
      <c r="D125">
        <f t="array" ref="D125">IF(AND(INDEX('Thang 05-2026'!$A$3:$Q$102,MATCH(1,($A125='Thang 05-2026'!$A$3:$A$102)*($G125='Thang 05-2026'!$C$3:$C$102),0),11)=1,$B125="Triều Xuống"),1,IF(AND(INDEX('Thang 05-2026'!$A$3:$Q$102,MATCH(1,($A125='Thang 05-2026'!$A$3:$A$102)*($G125='Thang 05-2026'!$C$3:$C$102),0),10)=1,$B125="Triều Lên",INDEX('Thang 05-2026'!$A$3:$Q$102,MATCH(1,($A125='Thang 05-2026'!$A$3:$A$102)*($G125='Thang 05-2026'!$C$3:$C$102),0),11)=0),1,0))</f>
        <v>0</v>
      </c>
      <c r="E125">
        <f t="array" ref="E125">IF(AND(INDEX('Thang 05-2026'!$A$3:$Q$102,MATCH(1,($A125='Thang 05-2026'!$A$3:$A$102)*($G125='Thang 05-2026'!$C$3:$C$102),0),15)=1,$B125="Triều Xuống"),1,IF(AND(INDEX('Thang 05-2026'!$A$3:$Q$102,MATCH(1,($A125='Thang 05-2026'!$A$3:$A$102)*($G125='Thang 05-2026'!$C$3:$C$102),0),14)=1,$B125="Triều Lên",INDEX('Thang 05-2026'!$A$3:$Q$102,MATCH(1,($A125='Thang 05-2026'!$A$3:$A$102)*($G125='Thang 05-2026'!$C$3:$C$102),0),15)=0),1,0))</f>
        <v>0</v>
      </c>
      <c r="F125">
        <f t="shared" si="1"/>
        <v>0</v>
      </c>
      <c r="G125">
        <f>INDEX('Thang 05-2026'!$A$3:$C$102,MATCH(A125,'Thang 05-2026'!$A$3:$A$102,0),3)</f>
        <v>19</v>
      </c>
    </row>
    <row r="126" spans="1:7" x14ac:dyDescent="0.2">
      <c r="A126" t="s">
        <v>74</v>
      </c>
      <c r="B126" t="s">
        <v>121</v>
      </c>
      <c r="C126">
        <v>1</v>
      </c>
      <c r="D126">
        <f t="array" ref="D126">IF(AND(INDEX('Thang 05-2026'!$A$3:$Q$102,MATCH(1,($A126='Thang 05-2026'!$A$3:$A$102)*($G126='Thang 05-2026'!$C$3:$C$102),0),11)=1,$B126="Triều Xuống"),1,IF(AND(INDEX('Thang 05-2026'!$A$3:$Q$102,MATCH(1,($A126='Thang 05-2026'!$A$3:$A$102)*($G126='Thang 05-2026'!$C$3:$C$102),0),10)=1,$B126="Triều Lên",INDEX('Thang 05-2026'!$A$3:$Q$102,MATCH(1,($A126='Thang 05-2026'!$A$3:$A$102)*($G126='Thang 05-2026'!$C$3:$C$102),0),11)=0),1,0))</f>
        <v>0</v>
      </c>
      <c r="E126">
        <f t="array" ref="E126">IF(AND(INDEX('Thang 05-2026'!$A$3:$Q$102,MATCH(1,($A126='Thang 05-2026'!$A$3:$A$102)*($G126='Thang 05-2026'!$C$3:$C$102),0),15)=1,$B126="Triều Xuống"),1,IF(AND(INDEX('Thang 05-2026'!$A$3:$Q$102,MATCH(1,($A126='Thang 05-2026'!$A$3:$A$102)*($G126='Thang 05-2026'!$C$3:$C$102),0),14)=1,$B126="Triều Lên",INDEX('Thang 05-2026'!$A$3:$Q$102,MATCH(1,($A126='Thang 05-2026'!$A$3:$A$102)*($G126='Thang 05-2026'!$C$3:$C$102),0),15)=0),1,0))</f>
        <v>0</v>
      </c>
      <c r="F126">
        <f t="shared" si="1"/>
        <v>0</v>
      </c>
      <c r="G126">
        <f>INDEX('Thang 05-2026'!$A$3:$C$102,MATCH(A126,'Thang 05-2026'!$A$3:$A$102,0),3)</f>
        <v>19</v>
      </c>
    </row>
    <row r="127" spans="1:7" x14ac:dyDescent="0.2">
      <c r="A127" t="s">
        <v>75</v>
      </c>
      <c r="B127" t="s">
        <v>121</v>
      </c>
      <c r="C127">
        <v>1</v>
      </c>
      <c r="D127">
        <f t="array" ref="D127">IF(AND(INDEX('Thang 05-2026'!$A$3:$Q$102,MATCH(1,($A127='Thang 05-2026'!$A$3:$A$102)*($G127='Thang 05-2026'!$C$3:$C$102),0),11)=1,$B127="Triều Xuống"),1,IF(AND(INDEX('Thang 05-2026'!$A$3:$Q$102,MATCH(1,($A127='Thang 05-2026'!$A$3:$A$102)*($G127='Thang 05-2026'!$C$3:$C$102),0),10)=1,$B127="Triều Lên",INDEX('Thang 05-2026'!$A$3:$Q$102,MATCH(1,($A127='Thang 05-2026'!$A$3:$A$102)*($G127='Thang 05-2026'!$C$3:$C$102),0),11)=0),1,0))</f>
        <v>0</v>
      </c>
      <c r="E127">
        <f t="array" ref="E127">IF(AND(INDEX('Thang 05-2026'!$A$3:$Q$102,MATCH(1,($A127='Thang 05-2026'!$A$3:$A$102)*($G127='Thang 05-2026'!$C$3:$C$102),0),15)=1,$B127="Triều Xuống"),1,IF(AND(INDEX('Thang 05-2026'!$A$3:$Q$102,MATCH(1,($A127='Thang 05-2026'!$A$3:$A$102)*($G127='Thang 05-2026'!$C$3:$C$102),0),14)=1,$B127="Triều Lên",INDEX('Thang 05-2026'!$A$3:$Q$102,MATCH(1,($A127='Thang 05-2026'!$A$3:$A$102)*($G127='Thang 05-2026'!$C$3:$C$102),0),15)=0),1,0))</f>
        <v>0</v>
      </c>
      <c r="F127">
        <f t="shared" si="1"/>
        <v>0</v>
      </c>
      <c r="G127">
        <f>INDEX('Thang 05-2026'!$A$3:$C$102,MATCH(A127,'Thang 05-2026'!$A$3:$A$102,0),3)</f>
        <v>19</v>
      </c>
    </row>
    <row r="128" spans="1:7" x14ac:dyDescent="0.2">
      <c r="A128" t="s">
        <v>76</v>
      </c>
      <c r="B128" t="s">
        <v>118</v>
      </c>
      <c r="C128">
        <v>1</v>
      </c>
      <c r="D128">
        <f t="array" ref="D128">IF(AND(INDEX('Thang 05-2026'!$A$3:$Q$102,MATCH(1,($A128='Thang 05-2026'!$A$3:$A$102)*($G128='Thang 05-2026'!$C$3:$C$102),0),11)=1,$B128="Triều Xuống"),1,IF(AND(INDEX('Thang 05-2026'!$A$3:$Q$102,MATCH(1,($A128='Thang 05-2026'!$A$3:$A$102)*($G128='Thang 05-2026'!$C$3:$C$102),0),10)=1,$B128="Triều Lên",INDEX('Thang 05-2026'!$A$3:$Q$102,MATCH(1,($A128='Thang 05-2026'!$A$3:$A$102)*($G128='Thang 05-2026'!$C$3:$C$102),0),11)=0),1,0))</f>
        <v>0</v>
      </c>
      <c r="E128">
        <f t="array" ref="E128">IF(AND(INDEX('Thang 05-2026'!$A$3:$Q$102,MATCH(1,($A128='Thang 05-2026'!$A$3:$A$102)*($G128='Thang 05-2026'!$C$3:$C$102),0),15)=1,$B128="Triều Xuống"),1,IF(AND(INDEX('Thang 05-2026'!$A$3:$Q$102,MATCH(1,($A128='Thang 05-2026'!$A$3:$A$102)*($G128='Thang 05-2026'!$C$3:$C$102),0),14)=1,$B128="Triều Lên",INDEX('Thang 05-2026'!$A$3:$Q$102,MATCH(1,($A128='Thang 05-2026'!$A$3:$A$102)*($G128='Thang 05-2026'!$C$3:$C$102),0),15)=0),1,0))</f>
        <v>0</v>
      </c>
      <c r="F128">
        <f t="shared" si="1"/>
        <v>0</v>
      </c>
      <c r="G128">
        <f>INDEX('Thang 05-2026'!$A$3:$C$102,MATCH(A128,'Thang 05-2026'!$A$3:$A$102,0),3)</f>
        <v>20</v>
      </c>
    </row>
    <row r="129" spans="1:7" x14ac:dyDescent="0.2">
      <c r="A129" t="s">
        <v>78</v>
      </c>
      <c r="B129" t="s">
        <v>118</v>
      </c>
      <c r="C129">
        <v>1</v>
      </c>
      <c r="D129">
        <f t="array" ref="D129">IF(AND(INDEX('Thang 05-2026'!$A$3:$Q$102,MATCH(1,($A129='Thang 05-2026'!$A$3:$A$102)*($G129='Thang 05-2026'!$C$3:$C$102),0),11)=1,$B129="Triều Xuống"),1,IF(AND(INDEX('Thang 05-2026'!$A$3:$Q$102,MATCH(1,($A129='Thang 05-2026'!$A$3:$A$102)*($G129='Thang 05-2026'!$C$3:$C$102),0),10)=1,$B129="Triều Lên",INDEX('Thang 05-2026'!$A$3:$Q$102,MATCH(1,($A129='Thang 05-2026'!$A$3:$A$102)*($G129='Thang 05-2026'!$C$3:$C$102),0),11)=0),1,0))</f>
        <v>0</v>
      </c>
      <c r="E129">
        <f t="array" ref="E129">IF(AND(INDEX('Thang 05-2026'!$A$3:$Q$102,MATCH(1,($A129='Thang 05-2026'!$A$3:$A$102)*($G129='Thang 05-2026'!$C$3:$C$102),0),15)=1,$B129="Triều Xuống"),1,IF(AND(INDEX('Thang 05-2026'!$A$3:$Q$102,MATCH(1,($A129='Thang 05-2026'!$A$3:$A$102)*($G129='Thang 05-2026'!$C$3:$C$102),0),14)=1,$B129="Triều Lên",INDEX('Thang 05-2026'!$A$3:$Q$102,MATCH(1,($A129='Thang 05-2026'!$A$3:$A$102)*($G129='Thang 05-2026'!$C$3:$C$102),0),15)=0),1,0))</f>
        <v>0</v>
      </c>
      <c r="F129">
        <f t="shared" si="1"/>
        <v>0</v>
      </c>
      <c r="G129">
        <f>INDEX('Thang 05-2026'!$A$3:$C$102,MATCH(A129,'Thang 05-2026'!$A$3:$A$102,0),3)</f>
        <v>20</v>
      </c>
    </row>
    <row r="130" spans="1:7" x14ac:dyDescent="0.2">
      <c r="A130" t="s">
        <v>79</v>
      </c>
      <c r="B130" t="s">
        <v>118</v>
      </c>
      <c r="C130">
        <v>1</v>
      </c>
      <c r="D130">
        <f t="array" ref="D130">IF(AND(INDEX('Thang 05-2026'!$A$3:$Q$102,MATCH(1,($A130='Thang 05-2026'!$A$3:$A$102)*($G130='Thang 05-2026'!$C$3:$C$102),0),11)=1,$B130="Triều Xuống"),1,IF(AND(INDEX('Thang 05-2026'!$A$3:$Q$102,MATCH(1,($A130='Thang 05-2026'!$A$3:$A$102)*($G130='Thang 05-2026'!$C$3:$C$102),0),10)=1,$B130="Triều Lên",INDEX('Thang 05-2026'!$A$3:$Q$102,MATCH(1,($A130='Thang 05-2026'!$A$3:$A$102)*($G130='Thang 05-2026'!$C$3:$C$102),0),11)=0),1,0))</f>
        <v>0</v>
      </c>
      <c r="E130">
        <f t="array" ref="E130">IF(AND(INDEX('Thang 05-2026'!$A$3:$Q$102,MATCH(1,($A130='Thang 05-2026'!$A$3:$A$102)*($G130='Thang 05-2026'!$C$3:$C$102),0),15)=1,$B130="Triều Xuống"),1,IF(AND(INDEX('Thang 05-2026'!$A$3:$Q$102,MATCH(1,($A130='Thang 05-2026'!$A$3:$A$102)*($G130='Thang 05-2026'!$C$3:$C$102),0),14)=1,$B130="Triều Lên",INDEX('Thang 05-2026'!$A$3:$Q$102,MATCH(1,($A130='Thang 05-2026'!$A$3:$A$102)*($G130='Thang 05-2026'!$C$3:$C$102),0),15)=0),1,0))</f>
        <v>0</v>
      </c>
      <c r="F130">
        <f t="shared" si="1"/>
        <v>0</v>
      </c>
      <c r="G130">
        <f>INDEX('Thang 05-2026'!$A$3:$C$102,MATCH(A130,'Thang 05-2026'!$A$3:$A$102,0),3)</f>
        <v>20</v>
      </c>
    </row>
    <row r="131" spans="1:7" x14ac:dyDescent="0.2">
      <c r="A131" t="s">
        <v>80</v>
      </c>
      <c r="B131" t="s">
        <v>118</v>
      </c>
      <c r="C131">
        <v>1</v>
      </c>
      <c r="D131">
        <f t="array" ref="D131">IF(AND(INDEX('Thang 05-2026'!$A$3:$Q$102,MATCH(1,($A131='Thang 05-2026'!$A$3:$A$102)*($G131='Thang 05-2026'!$C$3:$C$102),0),11)=1,$B131="Triều Xuống"),1,IF(AND(INDEX('Thang 05-2026'!$A$3:$Q$102,MATCH(1,($A131='Thang 05-2026'!$A$3:$A$102)*($G131='Thang 05-2026'!$C$3:$C$102),0),10)=1,$B131="Triều Lên",INDEX('Thang 05-2026'!$A$3:$Q$102,MATCH(1,($A131='Thang 05-2026'!$A$3:$A$102)*($G131='Thang 05-2026'!$C$3:$C$102),0),11)=0),1,0))</f>
        <v>0</v>
      </c>
      <c r="E131">
        <f t="array" ref="E131">IF(AND(INDEX('Thang 05-2026'!$A$3:$Q$102,MATCH(1,($A131='Thang 05-2026'!$A$3:$A$102)*($G131='Thang 05-2026'!$C$3:$C$102),0),15)=1,$B131="Triều Xuống"),1,IF(AND(INDEX('Thang 05-2026'!$A$3:$Q$102,MATCH(1,($A131='Thang 05-2026'!$A$3:$A$102)*($G131='Thang 05-2026'!$C$3:$C$102),0),14)=1,$B131="Triều Lên",INDEX('Thang 05-2026'!$A$3:$Q$102,MATCH(1,($A131='Thang 05-2026'!$A$3:$A$102)*($G131='Thang 05-2026'!$C$3:$C$102),0),15)=0),1,0))</f>
        <v>0</v>
      </c>
      <c r="F131">
        <f t="shared" ref="F131:F173" si="2">D131+E131</f>
        <v>0</v>
      </c>
      <c r="G131">
        <f>INDEX('Thang 05-2026'!$A$3:$C$102,MATCH(A131,'Thang 05-2026'!$A$3:$A$102,0),3)</f>
        <v>20</v>
      </c>
    </row>
    <row r="132" spans="1:7" x14ac:dyDescent="0.2">
      <c r="A132" t="s">
        <v>81</v>
      </c>
      <c r="B132" t="s">
        <v>118</v>
      </c>
      <c r="C132">
        <v>1</v>
      </c>
      <c r="D132">
        <f t="array" ref="D132">IF(AND(INDEX('Thang 05-2026'!$A$3:$Q$102,MATCH(1,($A132='Thang 05-2026'!$A$3:$A$102)*($G132='Thang 05-2026'!$C$3:$C$102),0),11)=1,$B132="Triều Xuống"),1,IF(AND(INDEX('Thang 05-2026'!$A$3:$Q$102,MATCH(1,($A132='Thang 05-2026'!$A$3:$A$102)*($G132='Thang 05-2026'!$C$3:$C$102),0),10)=1,$B132="Triều Lên",INDEX('Thang 05-2026'!$A$3:$Q$102,MATCH(1,($A132='Thang 05-2026'!$A$3:$A$102)*($G132='Thang 05-2026'!$C$3:$C$102),0),11)=0),1,0))</f>
        <v>1</v>
      </c>
      <c r="E132">
        <f t="array" ref="E132">IF(AND(INDEX('Thang 05-2026'!$A$3:$Q$102,MATCH(1,($A132='Thang 05-2026'!$A$3:$A$102)*($G132='Thang 05-2026'!$C$3:$C$102),0),15)=1,$B132="Triều Xuống"),1,IF(AND(INDEX('Thang 05-2026'!$A$3:$Q$102,MATCH(1,($A132='Thang 05-2026'!$A$3:$A$102)*($G132='Thang 05-2026'!$C$3:$C$102),0),14)=1,$B132="Triều Lên",INDEX('Thang 05-2026'!$A$3:$Q$102,MATCH(1,($A132='Thang 05-2026'!$A$3:$A$102)*($G132='Thang 05-2026'!$C$3:$C$102),0),15)=0),1,0))</f>
        <v>0</v>
      </c>
      <c r="F132">
        <f t="shared" si="2"/>
        <v>1</v>
      </c>
      <c r="G132">
        <f>INDEX('Thang 05-2026'!$A$3:$C$102,MATCH(A132,'Thang 05-2026'!$A$3:$A$102,0),3)</f>
        <v>20</v>
      </c>
    </row>
    <row r="133" spans="1:7" x14ac:dyDescent="0.2">
      <c r="A133" t="s">
        <v>76</v>
      </c>
      <c r="B133" t="s">
        <v>121</v>
      </c>
      <c r="C133">
        <v>1</v>
      </c>
      <c r="D133">
        <f t="array" ref="D133">IF(AND(INDEX('Thang 05-2026'!$A$3:$Q$102,MATCH(1,($A133='Thang 05-2026'!$A$3:$A$102)*($G133='Thang 05-2026'!$C$3:$C$102),0),11)=1,$B133="Triều Xuống"),1,IF(AND(INDEX('Thang 05-2026'!$A$3:$Q$102,MATCH(1,($A133='Thang 05-2026'!$A$3:$A$102)*($G133='Thang 05-2026'!$C$3:$C$102),0),10)=1,$B133="Triều Lên",INDEX('Thang 05-2026'!$A$3:$Q$102,MATCH(1,($A133='Thang 05-2026'!$A$3:$A$102)*($G133='Thang 05-2026'!$C$3:$C$102),0),11)=0),1,0))</f>
        <v>0</v>
      </c>
      <c r="E133">
        <f t="array" ref="E133">IF(AND(INDEX('Thang 05-2026'!$A$3:$Q$102,MATCH(1,($A133='Thang 05-2026'!$A$3:$A$102)*($G133='Thang 05-2026'!$C$3:$C$102),0),15)=1,$B133="Triều Xuống"),1,IF(AND(INDEX('Thang 05-2026'!$A$3:$Q$102,MATCH(1,($A133='Thang 05-2026'!$A$3:$A$102)*($G133='Thang 05-2026'!$C$3:$C$102),0),14)=1,$B133="Triều Lên",INDEX('Thang 05-2026'!$A$3:$Q$102,MATCH(1,($A133='Thang 05-2026'!$A$3:$A$102)*($G133='Thang 05-2026'!$C$3:$C$102),0),15)=0),1,0))</f>
        <v>0</v>
      </c>
      <c r="F133">
        <f t="shared" si="2"/>
        <v>0</v>
      </c>
      <c r="G133">
        <f>INDEX('Thang 05-2026'!$A$3:$C$102,MATCH(A133,'Thang 05-2026'!$A$3:$A$102,0),3)</f>
        <v>20</v>
      </c>
    </row>
    <row r="134" spans="1:7" x14ac:dyDescent="0.2">
      <c r="A134" t="s">
        <v>78</v>
      </c>
      <c r="B134" t="s">
        <v>121</v>
      </c>
      <c r="C134">
        <v>1</v>
      </c>
      <c r="D134">
        <f t="array" ref="D134">IF(AND(INDEX('Thang 05-2026'!$A$3:$Q$102,MATCH(1,($A134='Thang 05-2026'!$A$3:$A$102)*($G134='Thang 05-2026'!$C$3:$C$102),0),11)=1,$B134="Triều Xuống"),1,IF(AND(INDEX('Thang 05-2026'!$A$3:$Q$102,MATCH(1,($A134='Thang 05-2026'!$A$3:$A$102)*($G134='Thang 05-2026'!$C$3:$C$102),0),10)=1,$B134="Triều Lên",INDEX('Thang 05-2026'!$A$3:$Q$102,MATCH(1,($A134='Thang 05-2026'!$A$3:$A$102)*($G134='Thang 05-2026'!$C$3:$C$102),0),11)=0),1,0))</f>
        <v>0</v>
      </c>
      <c r="E134">
        <f t="array" ref="E134">IF(AND(INDEX('Thang 05-2026'!$A$3:$Q$102,MATCH(1,($A134='Thang 05-2026'!$A$3:$A$102)*($G134='Thang 05-2026'!$C$3:$C$102),0),15)=1,$B134="Triều Xuống"),1,IF(AND(INDEX('Thang 05-2026'!$A$3:$Q$102,MATCH(1,($A134='Thang 05-2026'!$A$3:$A$102)*($G134='Thang 05-2026'!$C$3:$C$102),0),14)=1,$B134="Triều Lên",INDEX('Thang 05-2026'!$A$3:$Q$102,MATCH(1,($A134='Thang 05-2026'!$A$3:$A$102)*($G134='Thang 05-2026'!$C$3:$C$102),0),15)=0),1,0))</f>
        <v>0</v>
      </c>
      <c r="F134">
        <f t="shared" si="2"/>
        <v>0</v>
      </c>
      <c r="G134">
        <f>INDEX('Thang 05-2026'!$A$3:$C$102,MATCH(A134,'Thang 05-2026'!$A$3:$A$102,0),3)</f>
        <v>20</v>
      </c>
    </row>
    <row r="135" spans="1:7" x14ac:dyDescent="0.2">
      <c r="A135" t="s">
        <v>79</v>
      </c>
      <c r="B135" t="s">
        <v>121</v>
      </c>
      <c r="C135">
        <v>1</v>
      </c>
      <c r="D135">
        <f t="array" ref="D135">IF(AND(INDEX('Thang 05-2026'!$A$3:$Q$102,MATCH(1,($A135='Thang 05-2026'!$A$3:$A$102)*($G135='Thang 05-2026'!$C$3:$C$102),0),11)=1,$B135="Triều Xuống"),1,IF(AND(INDEX('Thang 05-2026'!$A$3:$Q$102,MATCH(1,($A135='Thang 05-2026'!$A$3:$A$102)*($G135='Thang 05-2026'!$C$3:$C$102),0),10)=1,$B135="Triều Lên",INDEX('Thang 05-2026'!$A$3:$Q$102,MATCH(1,($A135='Thang 05-2026'!$A$3:$A$102)*($G135='Thang 05-2026'!$C$3:$C$102),0),11)=0),1,0))</f>
        <v>0</v>
      </c>
      <c r="E135">
        <f t="array" ref="E135">IF(AND(INDEX('Thang 05-2026'!$A$3:$Q$102,MATCH(1,($A135='Thang 05-2026'!$A$3:$A$102)*($G135='Thang 05-2026'!$C$3:$C$102),0),15)=1,$B135="Triều Xuống"),1,IF(AND(INDEX('Thang 05-2026'!$A$3:$Q$102,MATCH(1,($A135='Thang 05-2026'!$A$3:$A$102)*($G135='Thang 05-2026'!$C$3:$C$102),0),14)=1,$B135="Triều Lên",INDEX('Thang 05-2026'!$A$3:$Q$102,MATCH(1,($A135='Thang 05-2026'!$A$3:$A$102)*($G135='Thang 05-2026'!$C$3:$C$102),0),15)=0),1,0))</f>
        <v>0</v>
      </c>
      <c r="F135">
        <f t="shared" si="2"/>
        <v>0</v>
      </c>
      <c r="G135">
        <f>INDEX('Thang 05-2026'!$A$3:$C$102,MATCH(A135,'Thang 05-2026'!$A$3:$A$102,0),3)</f>
        <v>20</v>
      </c>
    </row>
    <row r="136" spans="1:7" x14ac:dyDescent="0.2">
      <c r="A136" t="s">
        <v>80</v>
      </c>
      <c r="B136" t="s">
        <v>121</v>
      </c>
      <c r="C136">
        <v>1</v>
      </c>
      <c r="D136">
        <f t="array" ref="D136">IF(AND(INDEX('Thang 05-2026'!$A$3:$Q$102,MATCH(1,($A136='Thang 05-2026'!$A$3:$A$102)*($G136='Thang 05-2026'!$C$3:$C$102),0),11)=1,$B136="Triều Xuống"),1,IF(AND(INDEX('Thang 05-2026'!$A$3:$Q$102,MATCH(1,($A136='Thang 05-2026'!$A$3:$A$102)*($G136='Thang 05-2026'!$C$3:$C$102),0),10)=1,$B136="Triều Lên",INDEX('Thang 05-2026'!$A$3:$Q$102,MATCH(1,($A136='Thang 05-2026'!$A$3:$A$102)*($G136='Thang 05-2026'!$C$3:$C$102),0),11)=0),1,0))</f>
        <v>0</v>
      </c>
      <c r="E136">
        <f t="array" ref="E136">IF(AND(INDEX('Thang 05-2026'!$A$3:$Q$102,MATCH(1,($A136='Thang 05-2026'!$A$3:$A$102)*($G136='Thang 05-2026'!$C$3:$C$102),0),15)=1,$B136="Triều Xuống"),1,IF(AND(INDEX('Thang 05-2026'!$A$3:$Q$102,MATCH(1,($A136='Thang 05-2026'!$A$3:$A$102)*($G136='Thang 05-2026'!$C$3:$C$102),0),14)=1,$B136="Triều Lên",INDEX('Thang 05-2026'!$A$3:$Q$102,MATCH(1,($A136='Thang 05-2026'!$A$3:$A$102)*($G136='Thang 05-2026'!$C$3:$C$102),0),15)=0),1,0))</f>
        <v>0</v>
      </c>
      <c r="F136">
        <f t="shared" si="2"/>
        <v>0</v>
      </c>
      <c r="G136">
        <f>INDEX('Thang 05-2026'!$A$3:$C$102,MATCH(A136,'Thang 05-2026'!$A$3:$A$102,0),3)</f>
        <v>20</v>
      </c>
    </row>
    <row r="137" spans="1:7" x14ac:dyDescent="0.2">
      <c r="A137" t="s">
        <v>81</v>
      </c>
      <c r="B137" t="s">
        <v>121</v>
      </c>
      <c r="C137">
        <v>1</v>
      </c>
      <c r="D137">
        <f t="array" ref="D137">IF(AND(INDEX('Thang 05-2026'!$A$3:$Q$102,MATCH(1,($A137='Thang 05-2026'!$A$3:$A$102)*($G137='Thang 05-2026'!$C$3:$C$102),0),11)=1,$B137="Triều Xuống"),1,IF(AND(INDEX('Thang 05-2026'!$A$3:$Q$102,MATCH(1,($A137='Thang 05-2026'!$A$3:$A$102)*($G137='Thang 05-2026'!$C$3:$C$102),0),10)=1,$B137="Triều Lên",INDEX('Thang 05-2026'!$A$3:$Q$102,MATCH(1,($A137='Thang 05-2026'!$A$3:$A$102)*($G137='Thang 05-2026'!$C$3:$C$102),0),11)=0),1,0))</f>
        <v>0</v>
      </c>
      <c r="E137">
        <f t="array" ref="E137">IF(AND(INDEX('Thang 05-2026'!$A$3:$Q$102,MATCH(1,($A137='Thang 05-2026'!$A$3:$A$102)*($G137='Thang 05-2026'!$C$3:$C$102),0),15)=1,$B137="Triều Xuống"),1,IF(AND(INDEX('Thang 05-2026'!$A$3:$Q$102,MATCH(1,($A137='Thang 05-2026'!$A$3:$A$102)*($G137='Thang 05-2026'!$C$3:$C$102),0),14)=1,$B137="Triều Lên",INDEX('Thang 05-2026'!$A$3:$Q$102,MATCH(1,($A137='Thang 05-2026'!$A$3:$A$102)*($G137='Thang 05-2026'!$C$3:$C$102),0),15)=0),1,0))</f>
        <v>0</v>
      </c>
      <c r="F137">
        <f t="shared" si="2"/>
        <v>0</v>
      </c>
      <c r="G137">
        <f>INDEX('Thang 05-2026'!$A$3:$C$102,MATCH(A137,'Thang 05-2026'!$A$3:$A$102,0),3)</f>
        <v>20</v>
      </c>
    </row>
    <row r="138" spans="1:7" x14ac:dyDescent="0.2">
      <c r="A138" t="s">
        <v>82</v>
      </c>
      <c r="B138" t="s">
        <v>118</v>
      </c>
      <c r="C138">
        <v>1</v>
      </c>
      <c r="D138">
        <f t="array" ref="D138">IF(AND(INDEX('Thang 05-2026'!$A$3:$Q$102,MATCH(1,($A138='Thang 05-2026'!$A$3:$A$102)*($G138='Thang 05-2026'!$C$3:$C$102),0),11)=1,$B138="Triều Xuống"),1,IF(AND(INDEX('Thang 05-2026'!$A$3:$Q$102,MATCH(1,($A138='Thang 05-2026'!$A$3:$A$102)*($G138='Thang 05-2026'!$C$3:$C$102),0),10)=1,$B138="Triều Lên",INDEX('Thang 05-2026'!$A$3:$Q$102,MATCH(1,($A138='Thang 05-2026'!$A$3:$A$102)*($G138='Thang 05-2026'!$C$3:$C$102),0),11)=0),1,0))</f>
        <v>0</v>
      </c>
      <c r="E138">
        <f t="array" ref="E138">IF(AND(INDEX('Thang 05-2026'!$A$3:$Q$102,MATCH(1,($A138='Thang 05-2026'!$A$3:$A$102)*($G138='Thang 05-2026'!$C$3:$C$102),0),15)=1,$B138="Triều Xuống"),1,IF(AND(INDEX('Thang 05-2026'!$A$3:$Q$102,MATCH(1,($A138='Thang 05-2026'!$A$3:$A$102)*($G138='Thang 05-2026'!$C$3:$C$102),0),14)=1,$B138="Triều Lên",INDEX('Thang 05-2026'!$A$3:$Q$102,MATCH(1,($A138='Thang 05-2026'!$A$3:$A$102)*($G138='Thang 05-2026'!$C$3:$C$102),0),15)=0),1,0))</f>
        <v>0</v>
      </c>
      <c r="F138">
        <f t="shared" si="2"/>
        <v>0</v>
      </c>
      <c r="G138">
        <f>INDEX('Thang 05-2026'!$A$3:$C$102,MATCH(A138,'Thang 05-2026'!$A$3:$A$102,0),3)</f>
        <v>21</v>
      </c>
    </row>
    <row r="139" spans="1:7" x14ac:dyDescent="0.2">
      <c r="A139" t="s">
        <v>84</v>
      </c>
      <c r="B139" t="s">
        <v>118</v>
      </c>
      <c r="C139">
        <v>1</v>
      </c>
      <c r="D139">
        <f t="array" ref="D139">IF(AND(INDEX('Thang 05-2026'!$A$3:$Q$102,MATCH(1,($A139='Thang 05-2026'!$A$3:$A$102)*($G139='Thang 05-2026'!$C$3:$C$102),0),11)=1,$B139="Triều Xuống"),1,IF(AND(INDEX('Thang 05-2026'!$A$3:$Q$102,MATCH(1,($A139='Thang 05-2026'!$A$3:$A$102)*($G139='Thang 05-2026'!$C$3:$C$102),0),10)=1,$B139="Triều Lên",INDEX('Thang 05-2026'!$A$3:$Q$102,MATCH(1,($A139='Thang 05-2026'!$A$3:$A$102)*($G139='Thang 05-2026'!$C$3:$C$102),0),11)=0),1,0))</f>
        <v>0</v>
      </c>
      <c r="E139">
        <f t="array" ref="E139">IF(AND(INDEX('Thang 05-2026'!$A$3:$Q$102,MATCH(1,($A139='Thang 05-2026'!$A$3:$A$102)*($G139='Thang 05-2026'!$C$3:$C$102),0),15)=1,$B139="Triều Xuống"),1,IF(AND(INDEX('Thang 05-2026'!$A$3:$Q$102,MATCH(1,($A139='Thang 05-2026'!$A$3:$A$102)*($G139='Thang 05-2026'!$C$3:$C$102),0),14)=1,$B139="Triều Lên",INDEX('Thang 05-2026'!$A$3:$Q$102,MATCH(1,($A139='Thang 05-2026'!$A$3:$A$102)*($G139='Thang 05-2026'!$C$3:$C$102),0),15)=0),1,0))</f>
        <v>0</v>
      </c>
      <c r="F139">
        <f t="shared" si="2"/>
        <v>0</v>
      </c>
      <c r="G139">
        <f>INDEX('Thang 05-2026'!$A$3:$C$102,MATCH(A139,'Thang 05-2026'!$A$3:$A$102,0),3)</f>
        <v>21</v>
      </c>
    </row>
    <row r="140" spans="1:7" x14ac:dyDescent="0.2">
      <c r="A140" t="s">
        <v>85</v>
      </c>
      <c r="B140" t="s">
        <v>118</v>
      </c>
      <c r="C140">
        <v>1</v>
      </c>
      <c r="D140">
        <f t="array" ref="D140">IF(AND(INDEX('Thang 05-2026'!$A$3:$Q$102,MATCH(1,($A140='Thang 05-2026'!$A$3:$A$102)*($G140='Thang 05-2026'!$C$3:$C$102),0),11)=1,$B140="Triều Xuống"),1,IF(AND(INDEX('Thang 05-2026'!$A$3:$Q$102,MATCH(1,($A140='Thang 05-2026'!$A$3:$A$102)*($G140='Thang 05-2026'!$C$3:$C$102),0),10)=1,$B140="Triều Lên",INDEX('Thang 05-2026'!$A$3:$Q$102,MATCH(1,($A140='Thang 05-2026'!$A$3:$A$102)*($G140='Thang 05-2026'!$C$3:$C$102),0),11)=0),1,0))</f>
        <v>0</v>
      </c>
      <c r="E140">
        <f t="array" ref="E140">IF(AND(INDEX('Thang 05-2026'!$A$3:$Q$102,MATCH(1,($A140='Thang 05-2026'!$A$3:$A$102)*($G140='Thang 05-2026'!$C$3:$C$102),0),15)=1,$B140="Triều Xuống"),1,IF(AND(INDEX('Thang 05-2026'!$A$3:$Q$102,MATCH(1,($A140='Thang 05-2026'!$A$3:$A$102)*($G140='Thang 05-2026'!$C$3:$C$102),0),14)=1,$B140="Triều Lên",INDEX('Thang 05-2026'!$A$3:$Q$102,MATCH(1,($A140='Thang 05-2026'!$A$3:$A$102)*($G140='Thang 05-2026'!$C$3:$C$102),0),15)=0),1,0))</f>
        <v>0</v>
      </c>
      <c r="F140">
        <f t="shared" si="2"/>
        <v>0</v>
      </c>
      <c r="G140">
        <f>INDEX('Thang 05-2026'!$A$3:$C$102,MATCH(A140,'Thang 05-2026'!$A$3:$A$102,0),3)</f>
        <v>21</v>
      </c>
    </row>
    <row r="141" spans="1:7" x14ac:dyDescent="0.2">
      <c r="A141" t="s">
        <v>86</v>
      </c>
      <c r="B141" t="s">
        <v>118</v>
      </c>
      <c r="C141">
        <v>1</v>
      </c>
      <c r="D141">
        <f t="array" ref="D141">IF(AND(INDEX('Thang 05-2026'!$A$3:$Q$102,MATCH(1,($A141='Thang 05-2026'!$A$3:$A$102)*($G141='Thang 05-2026'!$C$3:$C$102),0),11)=1,$B141="Triều Xuống"),1,IF(AND(INDEX('Thang 05-2026'!$A$3:$Q$102,MATCH(1,($A141='Thang 05-2026'!$A$3:$A$102)*($G141='Thang 05-2026'!$C$3:$C$102),0),10)=1,$B141="Triều Lên",INDEX('Thang 05-2026'!$A$3:$Q$102,MATCH(1,($A141='Thang 05-2026'!$A$3:$A$102)*($G141='Thang 05-2026'!$C$3:$C$102),0),11)=0),1,0))</f>
        <v>0</v>
      </c>
      <c r="E141">
        <f t="array" ref="E141">IF(AND(INDEX('Thang 05-2026'!$A$3:$Q$102,MATCH(1,($A141='Thang 05-2026'!$A$3:$A$102)*($G141='Thang 05-2026'!$C$3:$C$102),0),15)=1,$B141="Triều Xuống"),1,IF(AND(INDEX('Thang 05-2026'!$A$3:$Q$102,MATCH(1,($A141='Thang 05-2026'!$A$3:$A$102)*($G141='Thang 05-2026'!$C$3:$C$102),0),14)=1,$B141="Triều Lên",INDEX('Thang 05-2026'!$A$3:$Q$102,MATCH(1,($A141='Thang 05-2026'!$A$3:$A$102)*($G141='Thang 05-2026'!$C$3:$C$102),0),15)=0),1,0))</f>
        <v>0</v>
      </c>
      <c r="F141">
        <f t="shared" si="2"/>
        <v>0</v>
      </c>
      <c r="G141">
        <f>INDEX('Thang 05-2026'!$A$3:$C$102,MATCH(A141,'Thang 05-2026'!$A$3:$A$102,0),3)</f>
        <v>21</v>
      </c>
    </row>
    <row r="142" spans="1:7" x14ac:dyDescent="0.2">
      <c r="A142" t="s">
        <v>82</v>
      </c>
      <c r="B142" t="s">
        <v>121</v>
      </c>
      <c r="C142">
        <v>1</v>
      </c>
      <c r="D142">
        <f t="array" ref="D142">IF(AND(INDEX('Thang 05-2026'!$A$3:$Q$102,MATCH(1,($A142='Thang 05-2026'!$A$3:$A$102)*($G142='Thang 05-2026'!$C$3:$C$102),0),11)=1,$B142="Triều Xuống"),1,IF(AND(INDEX('Thang 05-2026'!$A$3:$Q$102,MATCH(1,($A142='Thang 05-2026'!$A$3:$A$102)*($G142='Thang 05-2026'!$C$3:$C$102),0),10)=1,$B142="Triều Lên",INDEX('Thang 05-2026'!$A$3:$Q$102,MATCH(1,($A142='Thang 05-2026'!$A$3:$A$102)*($G142='Thang 05-2026'!$C$3:$C$102),0),11)=0),1,0))</f>
        <v>0</v>
      </c>
      <c r="E142">
        <f t="array" ref="E142">IF(AND(INDEX('Thang 05-2026'!$A$3:$Q$102,MATCH(1,($A142='Thang 05-2026'!$A$3:$A$102)*($G142='Thang 05-2026'!$C$3:$C$102),0),15)=1,$B142="Triều Xuống"),1,IF(AND(INDEX('Thang 05-2026'!$A$3:$Q$102,MATCH(1,($A142='Thang 05-2026'!$A$3:$A$102)*($G142='Thang 05-2026'!$C$3:$C$102),0),14)=1,$B142="Triều Lên",INDEX('Thang 05-2026'!$A$3:$Q$102,MATCH(1,($A142='Thang 05-2026'!$A$3:$A$102)*($G142='Thang 05-2026'!$C$3:$C$102),0),15)=0),1,0))</f>
        <v>1</v>
      </c>
      <c r="F142">
        <f t="shared" si="2"/>
        <v>1</v>
      </c>
      <c r="G142">
        <f>INDEX('Thang 05-2026'!$A$3:$C$102,MATCH(A142,'Thang 05-2026'!$A$3:$A$102,0),3)</f>
        <v>21</v>
      </c>
    </row>
    <row r="143" spans="1:7" x14ac:dyDescent="0.2">
      <c r="A143" t="s">
        <v>84</v>
      </c>
      <c r="B143" t="s">
        <v>121</v>
      </c>
      <c r="C143">
        <v>1</v>
      </c>
      <c r="D143">
        <f t="array" ref="D143">IF(AND(INDEX('Thang 05-2026'!$A$3:$Q$102,MATCH(1,($A143='Thang 05-2026'!$A$3:$A$102)*($G143='Thang 05-2026'!$C$3:$C$102),0),11)=1,$B143="Triều Xuống"),1,IF(AND(INDEX('Thang 05-2026'!$A$3:$Q$102,MATCH(1,($A143='Thang 05-2026'!$A$3:$A$102)*($G143='Thang 05-2026'!$C$3:$C$102),0),10)=1,$B143="Triều Lên",INDEX('Thang 05-2026'!$A$3:$Q$102,MATCH(1,($A143='Thang 05-2026'!$A$3:$A$102)*($G143='Thang 05-2026'!$C$3:$C$102),0),11)=0),1,0))</f>
        <v>0</v>
      </c>
      <c r="E143">
        <f t="array" ref="E143">IF(AND(INDEX('Thang 05-2026'!$A$3:$Q$102,MATCH(1,($A143='Thang 05-2026'!$A$3:$A$102)*($G143='Thang 05-2026'!$C$3:$C$102),0),15)=1,$B143="Triều Xuống"),1,IF(AND(INDEX('Thang 05-2026'!$A$3:$Q$102,MATCH(1,($A143='Thang 05-2026'!$A$3:$A$102)*($G143='Thang 05-2026'!$C$3:$C$102),0),14)=1,$B143="Triều Lên",INDEX('Thang 05-2026'!$A$3:$Q$102,MATCH(1,($A143='Thang 05-2026'!$A$3:$A$102)*($G143='Thang 05-2026'!$C$3:$C$102),0),15)=0),1,0))</f>
        <v>0</v>
      </c>
      <c r="F143">
        <f t="shared" si="2"/>
        <v>0</v>
      </c>
      <c r="G143">
        <f>INDEX('Thang 05-2026'!$A$3:$C$102,MATCH(A143,'Thang 05-2026'!$A$3:$A$102,0),3)</f>
        <v>21</v>
      </c>
    </row>
    <row r="144" spans="1:7" x14ac:dyDescent="0.2">
      <c r="A144" t="s">
        <v>85</v>
      </c>
      <c r="B144" t="s">
        <v>121</v>
      </c>
      <c r="C144">
        <v>1</v>
      </c>
      <c r="D144">
        <f t="array" ref="D144">IF(AND(INDEX('Thang 05-2026'!$A$3:$Q$102,MATCH(1,($A144='Thang 05-2026'!$A$3:$A$102)*($G144='Thang 05-2026'!$C$3:$C$102),0),11)=1,$B144="Triều Xuống"),1,IF(AND(INDEX('Thang 05-2026'!$A$3:$Q$102,MATCH(1,($A144='Thang 05-2026'!$A$3:$A$102)*($G144='Thang 05-2026'!$C$3:$C$102),0),10)=1,$B144="Triều Lên",INDEX('Thang 05-2026'!$A$3:$Q$102,MATCH(1,($A144='Thang 05-2026'!$A$3:$A$102)*($G144='Thang 05-2026'!$C$3:$C$102),0),11)=0),1,0))</f>
        <v>0</v>
      </c>
      <c r="E144">
        <f t="array" ref="E144">IF(AND(INDEX('Thang 05-2026'!$A$3:$Q$102,MATCH(1,($A144='Thang 05-2026'!$A$3:$A$102)*($G144='Thang 05-2026'!$C$3:$C$102),0),15)=1,$B144="Triều Xuống"),1,IF(AND(INDEX('Thang 05-2026'!$A$3:$Q$102,MATCH(1,($A144='Thang 05-2026'!$A$3:$A$102)*($G144='Thang 05-2026'!$C$3:$C$102),0),14)=1,$B144="Triều Lên",INDEX('Thang 05-2026'!$A$3:$Q$102,MATCH(1,($A144='Thang 05-2026'!$A$3:$A$102)*($G144='Thang 05-2026'!$C$3:$C$102),0),15)=0),1,0))</f>
        <v>0</v>
      </c>
      <c r="F144">
        <f t="shared" si="2"/>
        <v>0</v>
      </c>
      <c r="G144">
        <f>INDEX('Thang 05-2026'!$A$3:$C$102,MATCH(A144,'Thang 05-2026'!$A$3:$A$102,0),3)</f>
        <v>21</v>
      </c>
    </row>
    <row r="145" spans="1:7" x14ac:dyDescent="0.2">
      <c r="A145" t="s">
        <v>86</v>
      </c>
      <c r="B145" t="s">
        <v>121</v>
      </c>
      <c r="C145">
        <v>1</v>
      </c>
      <c r="D145">
        <f t="array" ref="D145">IF(AND(INDEX('Thang 05-2026'!$A$3:$Q$102,MATCH(1,($A145='Thang 05-2026'!$A$3:$A$102)*($G145='Thang 05-2026'!$C$3:$C$102),0),11)=1,$B145="Triều Xuống"),1,IF(AND(INDEX('Thang 05-2026'!$A$3:$Q$102,MATCH(1,($A145='Thang 05-2026'!$A$3:$A$102)*($G145='Thang 05-2026'!$C$3:$C$102),0),10)=1,$B145="Triều Lên",INDEX('Thang 05-2026'!$A$3:$Q$102,MATCH(1,($A145='Thang 05-2026'!$A$3:$A$102)*($G145='Thang 05-2026'!$C$3:$C$102),0),11)=0),1,0))</f>
        <v>0</v>
      </c>
      <c r="E145">
        <f t="array" ref="E145">IF(AND(INDEX('Thang 05-2026'!$A$3:$Q$102,MATCH(1,($A145='Thang 05-2026'!$A$3:$A$102)*($G145='Thang 05-2026'!$C$3:$C$102),0),15)=1,$B145="Triều Xuống"),1,IF(AND(INDEX('Thang 05-2026'!$A$3:$Q$102,MATCH(1,($A145='Thang 05-2026'!$A$3:$A$102)*($G145='Thang 05-2026'!$C$3:$C$102),0),14)=1,$B145="Triều Lên",INDEX('Thang 05-2026'!$A$3:$Q$102,MATCH(1,($A145='Thang 05-2026'!$A$3:$A$102)*($G145='Thang 05-2026'!$C$3:$C$102),0),15)=0),1,0))</f>
        <v>0</v>
      </c>
      <c r="F145">
        <f t="shared" si="2"/>
        <v>0</v>
      </c>
      <c r="G145">
        <f>INDEX('Thang 05-2026'!$A$3:$C$102,MATCH(A145,'Thang 05-2026'!$A$3:$A$102,0),3)</f>
        <v>21</v>
      </c>
    </row>
    <row r="146" spans="1:7" x14ac:dyDescent="0.2">
      <c r="A146" t="s">
        <v>125</v>
      </c>
      <c r="B146" t="s">
        <v>118</v>
      </c>
      <c r="C146">
        <v>1</v>
      </c>
      <c r="D146">
        <f t="array" ref="D146">IF(AND(INDEX('Thang 05-2026'!$A$3:$Q$102,MATCH(1,($A146='Thang 05-2026'!$A$3:$A$102)*($G146='Thang 05-2026'!$C$3:$C$102),0),11)=1,$B146="Triều Xuống"),1,IF(AND(INDEX('Thang 05-2026'!$A$3:$Q$102,MATCH(1,($A146='Thang 05-2026'!$A$3:$A$102)*($G146='Thang 05-2026'!$C$3:$C$102),0),10)=1,$B146="Triều Lên",INDEX('Thang 05-2026'!$A$3:$Q$102,MATCH(1,($A146='Thang 05-2026'!$A$3:$A$102)*($G146='Thang 05-2026'!$C$3:$C$102),0),11)=0),1,0))</f>
        <v>0</v>
      </c>
      <c r="E146">
        <f t="array" ref="E146">IF(AND(INDEX('Thang 05-2026'!$A$3:$Q$102,MATCH(1,($A146='Thang 05-2026'!$A$3:$A$102)*($G146='Thang 05-2026'!$C$3:$C$102),0),15)=1,$B146="Triều Xuống"),1,IF(AND(INDEX('Thang 05-2026'!$A$3:$Q$102,MATCH(1,($A146='Thang 05-2026'!$A$3:$A$102)*($G146='Thang 05-2026'!$C$3:$C$102),0),14)=1,$B146="Triều Lên",INDEX('Thang 05-2026'!$A$3:$Q$102,MATCH(1,($A146='Thang 05-2026'!$A$3:$A$102)*($G146='Thang 05-2026'!$C$3:$C$102),0),15)=0),1,0))</f>
        <v>0</v>
      </c>
      <c r="F146">
        <f t="shared" si="2"/>
        <v>0</v>
      </c>
      <c r="G146">
        <v>22</v>
      </c>
    </row>
    <row r="147" spans="1:7" x14ac:dyDescent="0.2">
      <c r="A147" t="s">
        <v>126</v>
      </c>
      <c r="B147" t="s">
        <v>118</v>
      </c>
      <c r="C147">
        <v>1</v>
      </c>
      <c r="D147">
        <f t="array" ref="D147">IF(AND(INDEX('Thang 05-2026'!$A$3:$Q$102,MATCH(1,($A147='Thang 05-2026'!$A$3:$A$102)*($G147='Thang 05-2026'!$C$3:$C$102),0),11)=1,$B147="Triều Xuống"),1,IF(AND(INDEX('Thang 05-2026'!$A$3:$Q$102,MATCH(1,($A147='Thang 05-2026'!$A$3:$A$102)*($G147='Thang 05-2026'!$C$3:$C$102),0),10)=1,$B147="Triều Lên",INDEX('Thang 05-2026'!$A$3:$Q$102,MATCH(1,($A147='Thang 05-2026'!$A$3:$A$102)*($G147='Thang 05-2026'!$C$3:$C$102),0),11)=0),1,0))</f>
        <v>0</v>
      </c>
      <c r="E147">
        <f t="array" ref="E147">IF(AND(INDEX('Thang 05-2026'!$A$3:$Q$102,MATCH(1,($A147='Thang 05-2026'!$A$3:$A$102)*($G147='Thang 05-2026'!$C$3:$C$102),0),15)=1,$B147="Triều Xuống"),1,IF(AND(INDEX('Thang 05-2026'!$A$3:$Q$102,MATCH(1,($A147='Thang 05-2026'!$A$3:$A$102)*($G147='Thang 05-2026'!$C$3:$C$102),0),14)=1,$B147="Triều Lên",INDEX('Thang 05-2026'!$A$3:$Q$102,MATCH(1,($A147='Thang 05-2026'!$A$3:$A$102)*($G147='Thang 05-2026'!$C$3:$C$102),0),15)=0),1,0))</f>
        <v>0</v>
      </c>
      <c r="F147">
        <f t="shared" si="2"/>
        <v>0</v>
      </c>
      <c r="G147">
        <v>22</v>
      </c>
    </row>
    <row r="148" spans="1:7" x14ac:dyDescent="0.2">
      <c r="A148" t="s">
        <v>127</v>
      </c>
      <c r="B148" t="s">
        <v>118</v>
      </c>
      <c r="C148">
        <v>1</v>
      </c>
      <c r="D148">
        <f t="array" ref="D148">IF(AND(INDEX('Thang 05-2026'!$A$3:$Q$102,MATCH(1,($A148='Thang 05-2026'!$A$3:$A$102)*($G148='Thang 05-2026'!$C$3:$C$102),0),11)=1,$B148="Triều Xuống"),1,IF(AND(INDEX('Thang 05-2026'!$A$3:$Q$102,MATCH(1,($A148='Thang 05-2026'!$A$3:$A$102)*($G148='Thang 05-2026'!$C$3:$C$102),0),10)=1,$B148="Triều Lên",INDEX('Thang 05-2026'!$A$3:$Q$102,MATCH(1,($A148='Thang 05-2026'!$A$3:$A$102)*($G148='Thang 05-2026'!$C$3:$C$102),0),11)=0),1,0))</f>
        <v>0</v>
      </c>
      <c r="E148">
        <f t="array" ref="E148">IF(AND(INDEX('Thang 05-2026'!$A$3:$Q$102,MATCH(1,($A148='Thang 05-2026'!$A$3:$A$102)*($G148='Thang 05-2026'!$C$3:$C$102),0),15)=1,$B148="Triều Xuống"),1,IF(AND(INDEX('Thang 05-2026'!$A$3:$Q$102,MATCH(1,($A148='Thang 05-2026'!$A$3:$A$102)*($G148='Thang 05-2026'!$C$3:$C$102),0),14)=1,$B148="Triều Lên",INDEX('Thang 05-2026'!$A$3:$Q$102,MATCH(1,($A148='Thang 05-2026'!$A$3:$A$102)*($G148='Thang 05-2026'!$C$3:$C$102),0),15)=0),1,0))</f>
        <v>0</v>
      </c>
      <c r="F148">
        <f t="shared" si="2"/>
        <v>0</v>
      </c>
      <c r="G148">
        <v>22</v>
      </c>
    </row>
    <row r="149" spans="1:7" x14ac:dyDescent="0.2">
      <c r="A149" t="s">
        <v>128</v>
      </c>
      <c r="B149" t="s">
        <v>118</v>
      </c>
      <c r="C149">
        <v>1</v>
      </c>
      <c r="D149">
        <f t="array" ref="D149">IF(AND(INDEX('Thang 05-2026'!$A$3:$Q$102,MATCH(1,($A149='Thang 05-2026'!$A$3:$A$102)*($G149='Thang 05-2026'!$C$3:$C$102),0),11)=1,$B149="Triều Xuống"),1,IF(AND(INDEX('Thang 05-2026'!$A$3:$Q$102,MATCH(1,($A149='Thang 05-2026'!$A$3:$A$102)*($G149='Thang 05-2026'!$C$3:$C$102),0),10)=1,$B149="Triều Lên",INDEX('Thang 05-2026'!$A$3:$Q$102,MATCH(1,($A149='Thang 05-2026'!$A$3:$A$102)*($G149='Thang 05-2026'!$C$3:$C$102),0),11)=0),1,0))</f>
        <v>0</v>
      </c>
      <c r="E149">
        <f t="array" ref="E149">IF(AND(INDEX('Thang 05-2026'!$A$3:$Q$102,MATCH(1,($A149='Thang 05-2026'!$A$3:$A$102)*($G149='Thang 05-2026'!$C$3:$C$102),0),15)=1,$B149="Triều Xuống"),1,IF(AND(INDEX('Thang 05-2026'!$A$3:$Q$102,MATCH(1,($A149='Thang 05-2026'!$A$3:$A$102)*($G149='Thang 05-2026'!$C$3:$C$102),0),14)=1,$B149="Triều Lên",INDEX('Thang 05-2026'!$A$3:$Q$102,MATCH(1,($A149='Thang 05-2026'!$A$3:$A$102)*($G149='Thang 05-2026'!$C$3:$C$102),0),15)=0),1,0))</f>
        <v>0</v>
      </c>
      <c r="F149">
        <f t="shared" si="2"/>
        <v>0</v>
      </c>
      <c r="G149">
        <v>22</v>
      </c>
    </row>
    <row r="150" spans="1:7" x14ac:dyDescent="0.2">
      <c r="A150" t="s">
        <v>125</v>
      </c>
      <c r="B150" t="s">
        <v>121</v>
      </c>
      <c r="C150">
        <v>1</v>
      </c>
      <c r="D150">
        <f t="array" ref="D150">IF(AND(INDEX('Thang 05-2026'!$A$3:$Q$102,MATCH(1,($A150='Thang 05-2026'!$A$3:$A$102)*($G150='Thang 05-2026'!$C$3:$C$102),0),11)=1,$B150="Triều Xuống"),1,IF(AND(INDEX('Thang 05-2026'!$A$3:$Q$102,MATCH(1,($A150='Thang 05-2026'!$A$3:$A$102)*($G150='Thang 05-2026'!$C$3:$C$102),0),10)=1,$B150="Triều Lên",INDEX('Thang 05-2026'!$A$3:$Q$102,MATCH(1,($A150='Thang 05-2026'!$A$3:$A$102)*($G150='Thang 05-2026'!$C$3:$C$102),0),11)=0),1,0))</f>
        <v>0</v>
      </c>
      <c r="E150">
        <f t="array" ref="E150">IF(AND(INDEX('Thang 05-2026'!$A$3:$Q$102,MATCH(1,($A150='Thang 05-2026'!$A$3:$A$102)*($G150='Thang 05-2026'!$C$3:$C$102),0),15)=1,$B150="Triều Xuống"),1,IF(AND(INDEX('Thang 05-2026'!$A$3:$Q$102,MATCH(1,($A150='Thang 05-2026'!$A$3:$A$102)*($G150='Thang 05-2026'!$C$3:$C$102),0),14)=1,$B150="Triều Lên",INDEX('Thang 05-2026'!$A$3:$Q$102,MATCH(1,($A150='Thang 05-2026'!$A$3:$A$102)*($G150='Thang 05-2026'!$C$3:$C$102),0),15)=0),1,0))</f>
        <v>0</v>
      </c>
      <c r="F150">
        <f t="shared" si="2"/>
        <v>0</v>
      </c>
      <c r="G150">
        <v>22</v>
      </c>
    </row>
    <row r="151" spans="1:7" x14ac:dyDescent="0.2">
      <c r="A151" t="s">
        <v>126</v>
      </c>
      <c r="B151" t="s">
        <v>121</v>
      </c>
      <c r="C151">
        <v>1</v>
      </c>
      <c r="D151">
        <f t="array" ref="D151">IF(AND(INDEX('Thang 05-2026'!$A$3:$Q$102,MATCH(1,($A151='Thang 05-2026'!$A$3:$A$102)*($G151='Thang 05-2026'!$C$3:$C$102),0),11)=1,$B151="Triều Xuống"),1,IF(AND(INDEX('Thang 05-2026'!$A$3:$Q$102,MATCH(1,($A151='Thang 05-2026'!$A$3:$A$102)*($G151='Thang 05-2026'!$C$3:$C$102),0),10)=1,$B151="Triều Lên",INDEX('Thang 05-2026'!$A$3:$Q$102,MATCH(1,($A151='Thang 05-2026'!$A$3:$A$102)*($G151='Thang 05-2026'!$C$3:$C$102),0),11)=0),1,0))</f>
        <v>0</v>
      </c>
      <c r="E151">
        <f t="array" ref="E151">IF(AND(INDEX('Thang 05-2026'!$A$3:$Q$102,MATCH(1,($A151='Thang 05-2026'!$A$3:$A$102)*($G151='Thang 05-2026'!$C$3:$C$102),0),15)=1,$B151="Triều Xuống"),1,IF(AND(INDEX('Thang 05-2026'!$A$3:$Q$102,MATCH(1,($A151='Thang 05-2026'!$A$3:$A$102)*($G151='Thang 05-2026'!$C$3:$C$102),0),14)=1,$B151="Triều Lên",INDEX('Thang 05-2026'!$A$3:$Q$102,MATCH(1,($A151='Thang 05-2026'!$A$3:$A$102)*($G151='Thang 05-2026'!$C$3:$C$102),0),15)=0),1,0))</f>
        <v>0</v>
      </c>
      <c r="F151">
        <f t="shared" si="2"/>
        <v>0</v>
      </c>
      <c r="G151">
        <v>22</v>
      </c>
    </row>
    <row r="152" spans="1:7" x14ac:dyDescent="0.2">
      <c r="A152" t="s">
        <v>127</v>
      </c>
      <c r="B152" t="s">
        <v>121</v>
      </c>
      <c r="C152">
        <v>1</v>
      </c>
      <c r="D152">
        <f t="array" ref="D152">IF(AND(INDEX('Thang 05-2026'!$A$3:$Q$102,MATCH(1,($A152='Thang 05-2026'!$A$3:$A$102)*($G152='Thang 05-2026'!$C$3:$C$102),0),11)=1,$B152="Triều Xuống"),1,IF(AND(INDEX('Thang 05-2026'!$A$3:$Q$102,MATCH(1,($A152='Thang 05-2026'!$A$3:$A$102)*($G152='Thang 05-2026'!$C$3:$C$102),0),10)=1,$B152="Triều Lên",INDEX('Thang 05-2026'!$A$3:$Q$102,MATCH(1,($A152='Thang 05-2026'!$A$3:$A$102)*($G152='Thang 05-2026'!$C$3:$C$102),0),11)=0),1,0))</f>
        <v>0</v>
      </c>
      <c r="E152">
        <f t="array" ref="E152">IF(AND(INDEX('Thang 05-2026'!$A$3:$Q$102,MATCH(1,($A152='Thang 05-2026'!$A$3:$A$102)*($G152='Thang 05-2026'!$C$3:$C$102),0),15)=1,$B152="Triều Xuống"),1,IF(AND(INDEX('Thang 05-2026'!$A$3:$Q$102,MATCH(1,($A152='Thang 05-2026'!$A$3:$A$102)*($G152='Thang 05-2026'!$C$3:$C$102),0),14)=1,$B152="Triều Lên",INDEX('Thang 05-2026'!$A$3:$Q$102,MATCH(1,($A152='Thang 05-2026'!$A$3:$A$102)*($G152='Thang 05-2026'!$C$3:$C$102),0),15)=0),1,0))</f>
        <v>0</v>
      </c>
      <c r="F152">
        <f t="shared" si="2"/>
        <v>0</v>
      </c>
      <c r="G152">
        <v>22</v>
      </c>
    </row>
    <row r="153" spans="1:7" x14ac:dyDescent="0.2">
      <c r="A153" t="s">
        <v>128</v>
      </c>
      <c r="B153" t="s">
        <v>121</v>
      </c>
      <c r="C153">
        <v>1</v>
      </c>
      <c r="D153">
        <f t="array" ref="D153">IF(AND(INDEX('Thang 05-2026'!$A$3:$Q$102,MATCH(1,($A153='Thang 05-2026'!$A$3:$A$102)*($G153='Thang 05-2026'!$C$3:$C$102),0),11)=1,$B153="Triều Xuống"),1,IF(AND(INDEX('Thang 05-2026'!$A$3:$Q$102,MATCH(1,($A153='Thang 05-2026'!$A$3:$A$102)*($G153='Thang 05-2026'!$C$3:$C$102),0),10)=1,$B153="Triều Lên",INDEX('Thang 05-2026'!$A$3:$Q$102,MATCH(1,($A153='Thang 05-2026'!$A$3:$A$102)*($G153='Thang 05-2026'!$C$3:$C$102),0),11)=0),1,0))</f>
        <v>0</v>
      </c>
      <c r="E153">
        <f t="array" ref="E153">IF(AND(INDEX('Thang 05-2026'!$A$3:$Q$102,MATCH(1,($A153='Thang 05-2026'!$A$3:$A$102)*($G153='Thang 05-2026'!$C$3:$C$102),0),15)=1,$B153="Triều Xuống"),1,IF(AND(INDEX('Thang 05-2026'!$A$3:$Q$102,MATCH(1,($A153='Thang 05-2026'!$A$3:$A$102)*($G153='Thang 05-2026'!$C$3:$C$102),0),14)=1,$B153="Triều Lên",INDEX('Thang 05-2026'!$A$3:$Q$102,MATCH(1,($A153='Thang 05-2026'!$A$3:$A$102)*($G153='Thang 05-2026'!$C$3:$C$102),0),15)=0),1,0))</f>
        <v>0</v>
      </c>
      <c r="F153">
        <f t="shared" si="2"/>
        <v>0</v>
      </c>
      <c r="G153">
        <v>22</v>
      </c>
    </row>
    <row r="154" spans="1:7" x14ac:dyDescent="0.2">
      <c r="A154" t="s">
        <v>102</v>
      </c>
      <c r="B154" t="s">
        <v>118</v>
      </c>
      <c r="C154">
        <v>1</v>
      </c>
      <c r="D154">
        <f t="array" ref="D154">IF(AND(INDEX('Thang 05-2026'!$A$3:$Q$102,MATCH(1,($A154='Thang 05-2026'!$A$3:$A$102)*($G154='Thang 05-2026'!$C$3:$C$102),0),11)=1,$B154="Triều Xuống"),1,IF(AND(INDEX('Thang 05-2026'!$A$3:$Q$102,MATCH(1,($A154='Thang 05-2026'!$A$3:$A$102)*($G154='Thang 05-2026'!$C$3:$C$102),0),10)=1,$B154="Triều Lên",INDEX('Thang 05-2026'!$A$3:$Q$102,MATCH(1,($A154='Thang 05-2026'!$A$3:$A$102)*($G154='Thang 05-2026'!$C$3:$C$102),0),11)=0),1,0))</f>
        <v>0</v>
      </c>
      <c r="E154">
        <f t="array" ref="E154">IF(AND(INDEX('Thang 05-2026'!$A$3:$Q$102,MATCH(1,($A154='Thang 05-2026'!$A$3:$A$102)*($G154='Thang 05-2026'!$C$3:$C$102),0),15)=1,$B154="Triều Xuống"),1,IF(AND(INDEX('Thang 05-2026'!$A$3:$Q$102,MATCH(1,($A154='Thang 05-2026'!$A$3:$A$102)*($G154='Thang 05-2026'!$C$3:$C$102),0),14)=1,$B154="Triều Lên",INDEX('Thang 05-2026'!$A$3:$Q$102,MATCH(1,($A154='Thang 05-2026'!$A$3:$A$102)*($G154='Thang 05-2026'!$C$3:$C$102),0),15)=0),1,0))</f>
        <v>0</v>
      </c>
      <c r="F154">
        <f t="shared" si="2"/>
        <v>0</v>
      </c>
      <c r="G154">
        <f>INDEX('Thang 05-2026'!$A$3:$C$102,MATCH(A154,'Thang 05-2026'!$A$3:$A$102,0),3)</f>
        <v>26</v>
      </c>
    </row>
    <row r="155" spans="1:7" x14ac:dyDescent="0.2">
      <c r="A155" t="s">
        <v>102</v>
      </c>
      <c r="B155" t="s">
        <v>121</v>
      </c>
      <c r="C155">
        <v>1</v>
      </c>
      <c r="D155">
        <f t="array" ref="D155">IF(AND(INDEX('Thang 05-2026'!$A$3:$Q$102,MATCH(1,($A155='Thang 05-2026'!$A$3:$A$102)*($G155='Thang 05-2026'!$C$3:$C$102),0),11)=1,$B155="Triều Xuống"),1,IF(AND(INDEX('Thang 05-2026'!$A$3:$Q$102,MATCH(1,($A155='Thang 05-2026'!$A$3:$A$102)*($G155='Thang 05-2026'!$C$3:$C$102),0),10)=1,$B155="Triều Lên",INDEX('Thang 05-2026'!$A$3:$Q$102,MATCH(1,($A155='Thang 05-2026'!$A$3:$A$102)*($G155='Thang 05-2026'!$C$3:$C$102),0),11)=0),1,0))</f>
        <v>0</v>
      </c>
      <c r="E155">
        <f t="array" ref="E155">IF(AND(INDEX('Thang 05-2026'!$A$3:$Q$102,MATCH(1,($A155='Thang 05-2026'!$A$3:$A$102)*($G155='Thang 05-2026'!$C$3:$C$102),0),15)=1,$B155="Triều Xuống"),1,IF(AND(INDEX('Thang 05-2026'!$A$3:$Q$102,MATCH(1,($A155='Thang 05-2026'!$A$3:$A$102)*($G155='Thang 05-2026'!$C$3:$C$102),0),14)=1,$B155="Triều Lên",INDEX('Thang 05-2026'!$A$3:$Q$102,MATCH(1,($A155='Thang 05-2026'!$A$3:$A$102)*($G155='Thang 05-2026'!$C$3:$C$102),0),15)=0),1,0))</f>
        <v>0</v>
      </c>
      <c r="F155">
        <f t="shared" si="2"/>
        <v>0</v>
      </c>
      <c r="G155">
        <f>INDEX('Thang 05-2026'!$A$3:$C$102,MATCH(A155,'Thang 05-2026'!$A$3:$A$102,0),3)</f>
        <v>26</v>
      </c>
    </row>
    <row r="156" spans="1:7" x14ac:dyDescent="0.2">
      <c r="A156" t="s">
        <v>103</v>
      </c>
      <c r="B156" t="s">
        <v>118</v>
      </c>
      <c r="C156">
        <v>1</v>
      </c>
      <c r="D156">
        <f t="array" ref="D156">IF(AND(INDEX('Thang 05-2026'!$A$3:$Q$102,MATCH(1,($A156='Thang 05-2026'!$A$3:$A$102)*($G156='Thang 05-2026'!$C$3:$C$102),0),11)=1,$B156="Triều Xuống"),1,IF(AND(INDEX('Thang 05-2026'!$A$3:$Q$102,MATCH(1,($A156='Thang 05-2026'!$A$3:$A$102)*($G156='Thang 05-2026'!$C$3:$C$102),0),10)=1,$B156="Triều Lên",INDEX('Thang 05-2026'!$A$3:$Q$102,MATCH(1,($A156='Thang 05-2026'!$A$3:$A$102)*($G156='Thang 05-2026'!$C$3:$C$102),0),11)=0),1,0))</f>
        <v>0</v>
      </c>
      <c r="E156">
        <f t="array" ref="E156">IF(AND(INDEX('Thang 05-2026'!$A$3:$Q$102,MATCH(1,($A156='Thang 05-2026'!$A$3:$A$102)*($G156='Thang 05-2026'!$C$3:$C$102),0),15)=1,$B156="Triều Xuống"),1,IF(AND(INDEX('Thang 05-2026'!$A$3:$Q$102,MATCH(1,($A156='Thang 05-2026'!$A$3:$A$102)*($G156='Thang 05-2026'!$C$3:$C$102),0),14)=1,$B156="Triều Lên",INDEX('Thang 05-2026'!$A$3:$Q$102,MATCH(1,($A156='Thang 05-2026'!$A$3:$A$102)*($G156='Thang 05-2026'!$C$3:$C$102),0),15)=0),1,0))</f>
        <v>0</v>
      </c>
      <c r="F156">
        <f t="shared" si="2"/>
        <v>0</v>
      </c>
      <c r="G156">
        <f>INDEX('Thang 05-2026'!$A$3:$C$102,MATCH(A156,'Thang 05-2026'!$A$3:$A$102,0),3)</f>
        <v>27</v>
      </c>
    </row>
    <row r="157" spans="1:7" x14ac:dyDescent="0.2">
      <c r="A157" t="s">
        <v>105</v>
      </c>
      <c r="B157" t="s">
        <v>118</v>
      </c>
      <c r="C157">
        <v>1</v>
      </c>
      <c r="D157">
        <f t="array" ref="D157">IF(AND(INDEX('Thang 05-2026'!$A$3:$Q$102,MATCH(1,($A157='Thang 05-2026'!$A$3:$A$102)*($G157='Thang 05-2026'!$C$3:$C$102),0),11)=1,$B157="Triều Xuống"),1,IF(AND(INDEX('Thang 05-2026'!$A$3:$Q$102,MATCH(1,($A157='Thang 05-2026'!$A$3:$A$102)*($G157='Thang 05-2026'!$C$3:$C$102),0),10)=1,$B157="Triều Lên",INDEX('Thang 05-2026'!$A$3:$Q$102,MATCH(1,($A157='Thang 05-2026'!$A$3:$A$102)*($G157='Thang 05-2026'!$C$3:$C$102),0),11)=0),1,0))</f>
        <v>0</v>
      </c>
      <c r="E157">
        <f t="array" ref="E157">IF(AND(INDEX('Thang 05-2026'!$A$3:$Q$102,MATCH(1,($A157='Thang 05-2026'!$A$3:$A$102)*($G157='Thang 05-2026'!$C$3:$C$102),0),15)=1,$B157="Triều Xuống"),1,IF(AND(INDEX('Thang 05-2026'!$A$3:$Q$102,MATCH(1,($A157='Thang 05-2026'!$A$3:$A$102)*($G157='Thang 05-2026'!$C$3:$C$102),0),14)=1,$B157="Triều Lên",INDEX('Thang 05-2026'!$A$3:$Q$102,MATCH(1,($A157='Thang 05-2026'!$A$3:$A$102)*($G157='Thang 05-2026'!$C$3:$C$102),0),15)=0),1,0))</f>
        <v>0</v>
      </c>
      <c r="F157">
        <f t="shared" si="2"/>
        <v>0</v>
      </c>
      <c r="G157">
        <f>INDEX('Thang 05-2026'!$A$3:$C$102,MATCH(A157,'Thang 05-2026'!$A$3:$A$102,0),3)</f>
        <v>27</v>
      </c>
    </row>
    <row r="158" spans="1:7" x14ac:dyDescent="0.2">
      <c r="A158" t="s">
        <v>106</v>
      </c>
      <c r="B158" t="s">
        <v>118</v>
      </c>
      <c r="C158">
        <v>1</v>
      </c>
      <c r="D158">
        <f t="array" ref="D158">IF(AND(INDEX('Thang 05-2026'!$A$3:$Q$102,MATCH(1,($A158='Thang 05-2026'!$A$3:$A$102)*($G158='Thang 05-2026'!$C$3:$C$102),0),11)=1,$B158="Triều Xuống"),1,IF(AND(INDEX('Thang 05-2026'!$A$3:$Q$102,MATCH(1,($A158='Thang 05-2026'!$A$3:$A$102)*($G158='Thang 05-2026'!$C$3:$C$102),0),10)=1,$B158="Triều Lên",INDEX('Thang 05-2026'!$A$3:$Q$102,MATCH(1,($A158='Thang 05-2026'!$A$3:$A$102)*($G158='Thang 05-2026'!$C$3:$C$102),0),11)=0),1,0))</f>
        <v>0</v>
      </c>
      <c r="E158">
        <f t="array" ref="E158">IF(AND(INDEX('Thang 05-2026'!$A$3:$Q$102,MATCH(1,($A158='Thang 05-2026'!$A$3:$A$102)*($G158='Thang 05-2026'!$C$3:$C$102),0),15)=1,$B158="Triều Xuống"),1,IF(AND(INDEX('Thang 05-2026'!$A$3:$Q$102,MATCH(1,($A158='Thang 05-2026'!$A$3:$A$102)*($G158='Thang 05-2026'!$C$3:$C$102),0),14)=1,$B158="Triều Lên",INDEX('Thang 05-2026'!$A$3:$Q$102,MATCH(1,($A158='Thang 05-2026'!$A$3:$A$102)*($G158='Thang 05-2026'!$C$3:$C$102),0),15)=0),1,0))</f>
        <v>0</v>
      </c>
      <c r="F158">
        <f t="shared" si="2"/>
        <v>0</v>
      </c>
      <c r="G158">
        <f>INDEX('Thang 05-2026'!$A$3:$C$102,MATCH(A158,'Thang 05-2026'!$A$3:$A$102,0),3)</f>
        <v>27</v>
      </c>
    </row>
    <row r="159" spans="1:7" x14ac:dyDescent="0.2">
      <c r="A159" t="s">
        <v>103</v>
      </c>
      <c r="B159" t="s">
        <v>121</v>
      </c>
      <c r="C159">
        <v>1</v>
      </c>
      <c r="D159">
        <f t="array" ref="D159">IF(AND(INDEX('Thang 05-2026'!$A$3:$Q$102,MATCH(1,($A159='Thang 05-2026'!$A$3:$A$102)*($G159='Thang 05-2026'!$C$3:$C$102),0),11)=1,$B159="Triều Xuống"),1,IF(AND(INDEX('Thang 05-2026'!$A$3:$Q$102,MATCH(1,($A159='Thang 05-2026'!$A$3:$A$102)*($G159='Thang 05-2026'!$C$3:$C$102),0),10)=1,$B159="Triều Lên",INDEX('Thang 05-2026'!$A$3:$Q$102,MATCH(1,($A159='Thang 05-2026'!$A$3:$A$102)*($G159='Thang 05-2026'!$C$3:$C$102),0),11)=0),1,0))</f>
        <v>0</v>
      </c>
      <c r="E159">
        <f t="array" ref="E159">IF(AND(INDEX('Thang 05-2026'!$A$3:$Q$102,MATCH(1,($A159='Thang 05-2026'!$A$3:$A$102)*($G159='Thang 05-2026'!$C$3:$C$102),0),15)=1,$B159="Triều Xuống"),1,IF(AND(INDEX('Thang 05-2026'!$A$3:$Q$102,MATCH(1,($A159='Thang 05-2026'!$A$3:$A$102)*($G159='Thang 05-2026'!$C$3:$C$102),0),14)=1,$B159="Triều Lên",INDEX('Thang 05-2026'!$A$3:$Q$102,MATCH(1,($A159='Thang 05-2026'!$A$3:$A$102)*($G159='Thang 05-2026'!$C$3:$C$102),0),15)=0),1,0))</f>
        <v>0</v>
      </c>
      <c r="F159">
        <f t="shared" si="2"/>
        <v>0</v>
      </c>
      <c r="G159">
        <f>INDEX('Thang 05-2026'!$A$3:$C$102,MATCH(A159,'Thang 05-2026'!$A$3:$A$102,0),3)</f>
        <v>27</v>
      </c>
    </row>
    <row r="160" spans="1:7" x14ac:dyDescent="0.2">
      <c r="A160" t="s">
        <v>105</v>
      </c>
      <c r="B160" t="s">
        <v>121</v>
      </c>
      <c r="C160">
        <v>1</v>
      </c>
      <c r="D160">
        <f t="array" ref="D160">IF(AND(INDEX('Thang 05-2026'!$A$3:$Q$102,MATCH(1,($A160='Thang 05-2026'!$A$3:$A$102)*($G160='Thang 05-2026'!$C$3:$C$102),0),11)=1,$B160="Triều Xuống"),1,IF(AND(INDEX('Thang 05-2026'!$A$3:$Q$102,MATCH(1,($A160='Thang 05-2026'!$A$3:$A$102)*($G160='Thang 05-2026'!$C$3:$C$102),0),10)=1,$B160="Triều Lên",INDEX('Thang 05-2026'!$A$3:$Q$102,MATCH(1,($A160='Thang 05-2026'!$A$3:$A$102)*($G160='Thang 05-2026'!$C$3:$C$102),0),11)=0),1,0))</f>
        <v>0</v>
      </c>
      <c r="E160">
        <f t="array" ref="E160">IF(AND(INDEX('Thang 05-2026'!$A$3:$Q$102,MATCH(1,($A160='Thang 05-2026'!$A$3:$A$102)*($G160='Thang 05-2026'!$C$3:$C$102),0),15)=1,$B160="Triều Xuống"),1,IF(AND(INDEX('Thang 05-2026'!$A$3:$Q$102,MATCH(1,($A160='Thang 05-2026'!$A$3:$A$102)*($G160='Thang 05-2026'!$C$3:$C$102),0),14)=1,$B160="Triều Lên",INDEX('Thang 05-2026'!$A$3:$Q$102,MATCH(1,($A160='Thang 05-2026'!$A$3:$A$102)*($G160='Thang 05-2026'!$C$3:$C$102),0),15)=0),1,0))</f>
        <v>0</v>
      </c>
      <c r="F160">
        <f t="shared" si="2"/>
        <v>0</v>
      </c>
      <c r="G160">
        <f>INDEX('Thang 05-2026'!$A$3:$C$102,MATCH(A160,'Thang 05-2026'!$A$3:$A$102,0),3)</f>
        <v>27</v>
      </c>
    </row>
    <row r="161" spans="1:7" x14ac:dyDescent="0.2">
      <c r="A161" t="s">
        <v>106</v>
      </c>
      <c r="B161" t="s">
        <v>121</v>
      </c>
      <c r="C161">
        <v>1</v>
      </c>
      <c r="D161">
        <f t="array" ref="D161">IF(AND(INDEX('Thang 05-2026'!$A$3:$Q$102,MATCH(1,($A161='Thang 05-2026'!$A$3:$A$102)*($G161='Thang 05-2026'!$C$3:$C$102),0),11)=1,$B161="Triều Xuống"),1,IF(AND(INDEX('Thang 05-2026'!$A$3:$Q$102,MATCH(1,($A161='Thang 05-2026'!$A$3:$A$102)*($G161='Thang 05-2026'!$C$3:$C$102),0),10)=1,$B161="Triều Lên",INDEX('Thang 05-2026'!$A$3:$Q$102,MATCH(1,($A161='Thang 05-2026'!$A$3:$A$102)*($G161='Thang 05-2026'!$C$3:$C$102),0),11)=0),1,0))</f>
        <v>0</v>
      </c>
      <c r="E161">
        <f t="array" ref="E161">IF(AND(INDEX('Thang 05-2026'!$A$3:$Q$102,MATCH(1,($A161='Thang 05-2026'!$A$3:$A$102)*($G161='Thang 05-2026'!$C$3:$C$102),0),15)=1,$B161="Triều Xuống"),1,IF(AND(INDEX('Thang 05-2026'!$A$3:$Q$102,MATCH(1,($A161='Thang 05-2026'!$A$3:$A$102)*($G161='Thang 05-2026'!$C$3:$C$102),0),14)=1,$B161="Triều Lên",INDEX('Thang 05-2026'!$A$3:$Q$102,MATCH(1,($A161='Thang 05-2026'!$A$3:$A$102)*($G161='Thang 05-2026'!$C$3:$C$102),0),15)=0),1,0))</f>
        <v>0</v>
      </c>
      <c r="F161">
        <f t="shared" si="2"/>
        <v>0</v>
      </c>
      <c r="G161">
        <f>INDEX('Thang 05-2026'!$A$3:$C$102,MATCH(A161,'Thang 05-2026'!$A$3:$A$102,0),3)</f>
        <v>27</v>
      </c>
    </row>
    <row r="162" spans="1:7" x14ac:dyDescent="0.2">
      <c r="A162" t="s">
        <v>117</v>
      </c>
      <c r="B162" t="s">
        <v>118</v>
      </c>
      <c r="C162">
        <v>1</v>
      </c>
      <c r="D162">
        <f t="array" ref="D162">IF(AND(INDEX('Thang 05-2026'!$A$3:$Q$102,MATCH(1,($A162='Thang 05-2026'!$A$3:$A$102)*($G162='Thang 05-2026'!$C$3:$C$102),0),11)=1,$B162="Triều Xuống"),1,IF(AND(INDEX('Thang 05-2026'!$A$3:$Q$102,MATCH(1,($A162='Thang 05-2026'!$A$3:$A$102)*($G162='Thang 05-2026'!$C$3:$C$102),0),10)=1,$B162="Triều Lên",INDEX('Thang 05-2026'!$A$3:$Q$102,MATCH(1,($A162='Thang 05-2026'!$A$3:$A$102)*($G162='Thang 05-2026'!$C$3:$C$102),0),11)=0),1,0))</f>
        <v>0</v>
      </c>
      <c r="E162">
        <f t="array" ref="E162">IF(AND(INDEX('Thang 05-2026'!$A$3:$Q$102,MATCH(1,($A162='Thang 05-2026'!$A$3:$A$102)*($G162='Thang 05-2026'!$C$3:$C$102),0),15)=1,$B162="Triều Xuống"),1,IF(AND(INDEX('Thang 05-2026'!$A$3:$Q$102,MATCH(1,($A162='Thang 05-2026'!$A$3:$A$102)*($G162='Thang 05-2026'!$C$3:$C$102),0),14)=1,$B162="Triều Lên",INDEX('Thang 05-2026'!$A$3:$Q$102,MATCH(1,($A162='Thang 05-2026'!$A$3:$A$102)*($G162='Thang 05-2026'!$C$3:$C$102),0),15)=0),1,0))</f>
        <v>0</v>
      </c>
      <c r="F162">
        <f t="shared" si="2"/>
        <v>0</v>
      </c>
      <c r="G162">
        <v>28</v>
      </c>
    </row>
    <row r="163" spans="1:7" x14ac:dyDescent="0.2">
      <c r="A163" t="s">
        <v>119</v>
      </c>
      <c r="B163" t="s">
        <v>118</v>
      </c>
      <c r="C163">
        <v>1</v>
      </c>
      <c r="D163">
        <f t="array" ref="D163">IF(AND(INDEX('Thang 05-2026'!$A$3:$Q$102,MATCH(1,($A163='Thang 05-2026'!$A$3:$A$102)*($G163='Thang 05-2026'!$C$3:$C$102),0),11)=1,$B163="Triều Xuống"),1,IF(AND(INDEX('Thang 05-2026'!$A$3:$Q$102,MATCH(1,($A163='Thang 05-2026'!$A$3:$A$102)*($G163='Thang 05-2026'!$C$3:$C$102),0),10)=1,$B163="Triều Lên",INDEX('Thang 05-2026'!$A$3:$Q$102,MATCH(1,($A163='Thang 05-2026'!$A$3:$A$102)*($G163='Thang 05-2026'!$C$3:$C$102),0),11)=0),1,0))</f>
        <v>0</v>
      </c>
      <c r="E163">
        <f t="array" ref="E163">IF(AND(INDEX('Thang 05-2026'!$A$3:$Q$102,MATCH(1,($A163='Thang 05-2026'!$A$3:$A$102)*($G163='Thang 05-2026'!$C$3:$C$102),0),15)=1,$B163="Triều Xuống"),1,IF(AND(INDEX('Thang 05-2026'!$A$3:$Q$102,MATCH(1,($A163='Thang 05-2026'!$A$3:$A$102)*($G163='Thang 05-2026'!$C$3:$C$102),0),14)=1,$B163="Triều Lên",INDEX('Thang 05-2026'!$A$3:$Q$102,MATCH(1,($A163='Thang 05-2026'!$A$3:$A$102)*($G163='Thang 05-2026'!$C$3:$C$102),0),15)=0),1,0))</f>
        <v>0</v>
      </c>
      <c r="F163">
        <f t="shared" si="2"/>
        <v>0</v>
      </c>
      <c r="G163">
        <v>28</v>
      </c>
    </row>
    <row r="164" spans="1:7" x14ac:dyDescent="0.2">
      <c r="A164" t="s">
        <v>120</v>
      </c>
      <c r="B164" t="s">
        <v>118</v>
      </c>
      <c r="C164">
        <v>1</v>
      </c>
      <c r="D164">
        <f t="array" ref="D164">IF(AND(INDEX('Thang 05-2026'!$A$3:$Q$102,MATCH(1,($A164='Thang 05-2026'!$A$3:$A$102)*($G164='Thang 05-2026'!$C$3:$C$102),0),11)=1,$B164="Triều Xuống"),1,IF(AND(INDEX('Thang 05-2026'!$A$3:$Q$102,MATCH(1,($A164='Thang 05-2026'!$A$3:$A$102)*($G164='Thang 05-2026'!$C$3:$C$102),0),10)=1,$B164="Triều Lên",INDEX('Thang 05-2026'!$A$3:$Q$102,MATCH(1,($A164='Thang 05-2026'!$A$3:$A$102)*($G164='Thang 05-2026'!$C$3:$C$102),0),11)=0),1,0))</f>
        <v>0</v>
      </c>
      <c r="E164">
        <f t="array" ref="E164">IF(AND(INDEX('Thang 05-2026'!$A$3:$Q$102,MATCH(1,($A164='Thang 05-2026'!$A$3:$A$102)*($G164='Thang 05-2026'!$C$3:$C$102),0),15)=1,$B164="Triều Xuống"),1,IF(AND(INDEX('Thang 05-2026'!$A$3:$Q$102,MATCH(1,($A164='Thang 05-2026'!$A$3:$A$102)*($G164='Thang 05-2026'!$C$3:$C$102),0),14)=1,$B164="Triều Lên",INDEX('Thang 05-2026'!$A$3:$Q$102,MATCH(1,($A164='Thang 05-2026'!$A$3:$A$102)*($G164='Thang 05-2026'!$C$3:$C$102),0),15)=0),1,0))</f>
        <v>0</v>
      </c>
      <c r="F164">
        <f t="shared" si="2"/>
        <v>0</v>
      </c>
      <c r="G164">
        <v>28</v>
      </c>
    </row>
    <row r="165" spans="1:7" x14ac:dyDescent="0.2">
      <c r="A165" t="s">
        <v>122</v>
      </c>
      <c r="B165" t="s">
        <v>118</v>
      </c>
      <c r="C165">
        <v>1</v>
      </c>
      <c r="D165">
        <f t="array" ref="D165">IF(AND(INDEX('Thang 05-2026'!$A$3:$Q$102,MATCH(1,($A165='Thang 05-2026'!$A$3:$A$102)*($G165='Thang 05-2026'!$C$3:$C$102),0),11)=1,$B165="Triều Xuống"),1,IF(AND(INDEX('Thang 05-2026'!$A$3:$Q$102,MATCH(1,($A165='Thang 05-2026'!$A$3:$A$102)*($G165='Thang 05-2026'!$C$3:$C$102),0),10)=1,$B165="Triều Lên",INDEX('Thang 05-2026'!$A$3:$Q$102,MATCH(1,($A165='Thang 05-2026'!$A$3:$A$102)*($G165='Thang 05-2026'!$C$3:$C$102),0),11)=0),1,0))</f>
        <v>1</v>
      </c>
      <c r="E165">
        <f t="array" ref="E165">IF(AND(INDEX('Thang 05-2026'!$A$3:$Q$102,MATCH(1,($A165='Thang 05-2026'!$A$3:$A$102)*($G165='Thang 05-2026'!$C$3:$C$102),0),15)=1,$B165="Triều Xuống"),1,IF(AND(INDEX('Thang 05-2026'!$A$3:$Q$102,MATCH(1,($A165='Thang 05-2026'!$A$3:$A$102)*($G165='Thang 05-2026'!$C$3:$C$102),0),14)=1,$B165="Triều Lên",INDEX('Thang 05-2026'!$A$3:$Q$102,MATCH(1,($A165='Thang 05-2026'!$A$3:$A$102)*($G165='Thang 05-2026'!$C$3:$C$102),0),15)=0),1,0))</f>
        <v>0</v>
      </c>
      <c r="F165">
        <f t="shared" si="2"/>
        <v>1</v>
      </c>
      <c r="G165">
        <v>28</v>
      </c>
    </row>
    <row r="166" spans="1:7" x14ac:dyDescent="0.2">
      <c r="A166" t="s">
        <v>123</v>
      </c>
      <c r="B166" t="s">
        <v>118</v>
      </c>
      <c r="C166">
        <v>1</v>
      </c>
      <c r="D166">
        <f t="array" ref="D166">IF(AND(INDEX('Thang 05-2026'!$A$3:$Q$102,MATCH(1,($A166='Thang 05-2026'!$A$3:$A$102)*($G166='Thang 05-2026'!$C$3:$C$102),0),11)=1,$B166="Triều Xuống"),1,IF(AND(INDEX('Thang 05-2026'!$A$3:$Q$102,MATCH(1,($A166='Thang 05-2026'!$A$3:$A$102)*($G166='Thang 05-2026'!$C$3:$C$102),0),10)=1,$B166="Triều Lên",INDEX('Thang 05-2026'!$A$3:$Q$102,MATCH(1,($A166='Thang 05-2026'!$A$3:$A$102)*($G166='Thang 05-2026'!$C$3:$C$102),0),11)=0),1,0))</f>
        <v>0</v>
      </c>
      <c r="E166">
        <f t="array" ref="E166">IF(AND(INDEX('Thang 05-2026'!$A$3:$Q$102,MATCH(1,($A166='Thang 05-2026'!$A$3:$A$102)*($G166='Thang 05-2026'!$C$3:$C$102),0),15)=1,$B166="Triều Xuống"),1,IF(AND(INDEX('Thang 05-2026'!$A$3:$Q$102,MATCH(1,($A166='Thang 05-2026'!$A$3:$A$102)*($G166='Thang 05-2026'!$C$3:$C$102),0),14)=1,$B166="Triều Lên",INDEX('Thang 05-2026'!$A$3:$Q$102,MATCH(1,($A166='Thang 05-2026'!$A$3:$A$102)*($G166='Thang 05-2026'!$C$3:$C$102),0),15)=0),1,0))</f>
        <v>0</v>
      </c>
      <c r="F166">
        <f t="shared" si="2"/>
        <v>0</v>
      </c>
      <c r="G166">
        <v>28</v>
      </c>
    </row>
    <row r="167" spans="1:7" x14ac:dyDescent="0.2">
      <c r="A167" t="s">
        <v>124</v>
      </c>
      <c r="B167" t="s">
        <v>118</v>
      </c>
      <c r="C167">
        <v>1</v>
      </c>
      <c r="D167">
        <f t="array" ref="D167">IF(AND(INDEX('Thang 05-2026'!$A$3:$Q$102,MATCH(1,($A167='Thang 05-2026'!$A$3:$A$102)*($G167='Thang 05-2026'!$C$3:$C$102),0),11)=1,$B167="Triều Xuống"),1,IF(AND(INDEX('Thang 05-2026'!$A$3:$Q$102,MATCH(1,($A167='Thang 05-2026'!$A$3:$A$102)*($G167='Thang 05-2026'!$C$3:$C$102),0),10)=1,$B167="Triều Lên",INDEX('Thang 05-2026'!$A$3:$Q$102,MATCH(1,($A167='Thang 05-2026'!$A$3:$A$102)*($G167='Thang 05-2026'!$C$3:$C$102),0),11)=0),1,0))</f>
        <v>0</v>
      </c>
      <c r="E167">
        <f t="array" ref="E167">IF(AND(INDEX('Thang 05-2026'!$A$3:$Q$102,MATCH(1,($A167='Thang 05-2026'!$A$3:$A$102)*($G167='Thang 05-2026'!$C$3:$C$102),0),15)=1,$B167="Triều Xuống"),1,IF(AND(INDEX('Thang 05-2026'!$A$3:$Q$102,MATCH(1,($A167='Thang 05-2026'!$A$3:$A$102)*($G167='Thang 05-2026'!$C$3:$C$102),0),14)=1,$B167="Triều Lên",INDEX('Thang 05-2026'!$A$3:$Q$102,MATCH(1,($A167='Thang 05-2026'!$A$3:$A$102)*($G167='Thang 05-2026'!$C$3:$C$102),0),15)=0),1,0))</f>
        <v>0</v>
      </c>
      <c r="F167">
        <f t="shared" si="2"/>
        <v>0</v>
      </c>
      <c r="G167">
        <v>28</v>
      </c>
    </row>
    <row r="168" spans="1:7" x14ac:dyDescent="0.2">
      <c r="A168" t="s">
        <v>117</v>
      </c>
      <c r="B168" t="s">
        <v>121</v>
      </c>
      <c r="C168">
        <v>1</v>
      </c>
      <c r="D168">
        <f t="array" ref="D168">IF(AND(INDEX('Thang 05-2026'!$A$3:$Q$102,MATCH(1,($A168='Thang 05-2026'!$A$3:$A$102)*($G168='Thang 05-2026'!$C$3:$C$102),0),11)=1,$B168="Triều Xuống"),1,IF(AND(INDEX('Thang 05-2026'!$A$3:$Q$102,MATCH(1,($A168='Thang 05-2026'!$A$3:$A$102)*($G168='Thang 05-2026'!$C$3:$C$102),0),10)=1,$B168="Triều Lên",INDEX('Thang 05-2026'!$A$3:$Q$102,MATCH(1,($A168='Thang 05-2026'!$A$3:$A$102)*($G168='Thang 05-2026'!$C$3:$C$102),0),11)=0),1,0))</f>
        <v>0</v>
      </c>
      <c r="E168">
        <f t="array" ref="E168">IF(AND(INDEX('Thang 05-2026'!$A$3:$Q$102,MATCH(1,($A168='Thang 05-2026'!$A$3:$A$102)*($G168='Thang 05-2026'!$C$3:$C$102),0),15)=1,$B168="Triều Xuống"),1,IF(AND(INDEX('Thang 05-2026'!$A$3:$Q$102,MATCH(1,($A168='Thang 05-2026'!$A$3:$A$102)*($G168='Thang 05-2026'!$C$3:$C$102),0),14)=1,$B168="Triều Lên",INDEX('Thang 05-2026'!$A$3:$Q$102,MATCH(1,($A168='Thang 05-2026'!$A$3:$A$102)*($G168='Thang 05-2026'!$C$3:$C$102),0),15)=0),1,0))</f>
        <v>1</v>
      </c>
      <c r="F168">
        <f t="shared" si="2"/>
        <v>1</v>
      </c>
      <c r="G168">
        <v>28</v>
      </c>
    </row>
    <row r="169" spans="1:7" x14ac:dyDescent="0.2">
      <c r="A169" t="s">
        <v>119</v>
      </c>
      <c r="B169" t="s">
        <v>121</v>
      </c>
      <c r="C169">
        <v>1</v>
      </c>
      <c r="D169">
        <f t="array" ref="D169">IF(AND(INDEX('Thang 05-2026'!$A$3:$Q$102,MATCH(1,($A169='Thang 05-2026'!$A$3:$A$102)*($G169='Thang 05-2026'!$C$3:$C$102),0),11)=1,$B169="Triều Xuống"),1,IF(AND(INDEX('Thang 05-2026'!$A$3:$Q$102,MATCH(1,($A169='Thang 05-2026'!$A$3:$A$102)*($G169='Thang 05-2026'!$C$3:$C$102),0),10)=1,$B169="Triều Lên",INDEX('Thang 05-2026'!$A$3:$Q$102,MATCH(1,($A169='Thang 05-2026'!$A$3:$A$102)*($G169='Thang 05-2026'!$C$3:$C$102),0),11)=0),1,0))</f>
        <v>0</v>
      </c>
      <c r="E169">
        <f t="array" ref="E169">IF(AND(INDEX('Thang 05-2026'!$A$3:$Q$102,MATCH(1,($A169='Thang 05-2026'!$A$3:$A$102)*($G169='Thang 05-2026'!$C$3:$C$102),0),15)=1,$B169="Triều Xuống"),1,IF(AND(INDEX('Thang 05-2026'!$A$3:$Q$102,MATCH(1,($A169='Thang 05-2026'!$A$3:$A$102)*($G169='Thang 05-2026'!$C$3:$C$102),0),14)=1,$B169="Triều Lên",INDEX('Thang 05-2026'!$A$3:$Q$102,MATCH(1,($A169='Thang 05-2026'!$A$3:$A$102)*($G169='Thang 05-2026'!$C$3:$C$102),0),15)=0),1,0))</f>
        <v>0</v>
      </c>
      <c r="F169">
        <f t="shared" si="2"/>
        <v>0</v>
      </c>
      <c r="G169">
        <v>28</v>
      </c>
    </row>
    <row r="170" spans="1:7" x14ac:dyDescent="0.2">
      <c r="A170" t="s">
        <v>120</v>
      </c>
      <c r="B170" t="s">
        <v>121</v>
      </c>
      <c r="C170">
        <v>1</v>
      </c>
      <c r="D170">
        <f t="array" ref="D170">IF(AND(INDEX('Thang 05-2026'!$A$3:$Q$102,MATCH(1,($A170='Thang 05-2026'!$A$3:$A$102)*($G170='Thang 05-2026'!$C$3:$C$102),0),11)=1,$B170="Triều Xuống"),1,IF(AND(INDEX('Thang 05-2026'!$A$3:$Q$102,MATCH(1,($A170='Thang 05-2026'!$A$3:$A$102)*($G170='Thang 05-2026'!$C$3:$C$102),0),10)=1,$B170="Triều Lên",INDEX('Thang 05-2026'!$A$3:$Q$102,MATCH(1,($A170='Thang 05-2026'!$A$3:$A$102)*($G170='Thang 05-2026'!$C$3:$C$102),0),11)=0),1,0))</f>
        <v>0</v>
      </c>
      <c r="E170">
        <f t="array" ref="E170">IF(AND(INDEX('Thang 05-2026'!$A$3:$Q$102,MATCH(1,($A170='Thang 05-2026'!$A$3:$A$102)*($G170='Thang 05-2026'!$C$3:$C$102),0),15)=1,$B170="Triều Xuống"),1,IF(AND(INDEX('Thang 05-2026'!$A$3:$Q$102,MATCH(1,($A170='Thang 05-2026'!$A$3:$A$102)*($G170='Thang 05-2026'!$C$3:$C$102),0),14)=1,$B170="Triều Lên",INDEX('Thang 05-2026'!$A$3:$Q$102,MATCH(1,($A170='Thang 05-2026'!$A$3:$A$102)*($G170='Thang 05-2026'!$C$3:$C$102),0),15)=0),1,0))</f>
        <v>0</v>
      </c>
      <c r="F170">
        <f t="shared" si="2"/>
        <v>0</v>
      </c>
      <c r="G170">
        <v>28</v>
      </c>
    </row>
    <row r="171" spans="1:7" x14ac:dyDescent="0.2">
      <c r="A171" t="s">
        <v>122</v>
      </c>
      <c r="B171" t="s">
        <v>121</v>
      </c>
      <c r="C171">
        <v>1</v>
      </c>
      <c r="D171">
        <f t="array" ref="D171">IF(AND(INDEX('Thang 05-2026'!$A$3:$Q$102,MATCH(1,($A171='Thang 05-2026'!$A$3:$A$102)*($G171='Thang 05-2026'!$C$3:$C$102),0),11)=1,$B171="Triều Xuống"),1,IF(AND(INDEX('Thang 05-2026'!$A$3:$Q$102,MATCH(1,($A171='Thang 05-2026'!$A$3:$A$102)*($G171='Thang 05-2026'!$C$3:$C$102),0),10)=1,$B171="Triều Lên",INDEX('Thang 05-2026'!$A$3:$Q$102,MATCH(1,($A171='Thang 05-2026'!$A$3:$A$102)*($G171='Thang 05-2026'!$C$3:$C$102),0),11)=0),1,0))</f>
        <v>0</v>
      </c>
      <c r="E171">
        <f t="array" ref="E171">IF(AND(INDEX('Thang 05-2026'!$A$3:$Q$102,MATCH(1,($A171='Thang 05-2026'!$A$3:$A$102)*($G171='Thang 05-2026'!$C$3:$C$102),0),15)=1,$B171="Triều Xuống"),1,IF(AND(INDEX('Thang 05-2026'!$A$3:$Q$102,MATCH(1,($A171='Thang 05-2026'!$A$3:$A$102)*($G171='Thang 05-2026'!$C$3:$C$102),0),14)=1,$B171="Triều Lên",INDEX('Thang 05-2026'!$A$3:$Q$102,MATCH(1,($A171='Thang 05-2026'!$A$3:$A$102)*($G171='Thang 05-2026'!$C$3:$C$102),0),15)=0),1,0))</f>
        <v>0</v>
      </c>
      <c r="F171">
        <f t="shared" si="2"/>
        <v>0</v>
      </c>
      <c r="G171">
        <v>28</v>
      </c>
    </row>
    <row r="172" spans="1:7" x14ac:dyDescent="0.2">
      <c r="A172" t="s">
        <v>123</v>
      </c>
      <c r="B172" t="s">
        <v>121</v>
      </c>
      <c r="C172">
        <v>1</v>
      </c>
      <c r="D172">
        <f t="array" ref="D172">IF(AND(INDEX('Thang 05-2026'!$A$3:$Q$102,MATCH(1,($A172='Thang 05-2026'!$A$3:$A$102)*($G172='Thang 05-2026'!$C$3:$C$102),0),11)=1,$B172="Triều Xuống"),1,IF(AND(INDEX('Thang 05-2026'!$A$3:$Q$102,MATCH(1,($A172='Thang 05-2026'!$A$3:$A$102)*($G172='Thang 05-2026'!$C$3:$C$102),0),10)=1,$B172="Triều Lên",INDEX('Thang 05-2026'!$A$3:$Q$102,MATCH(1,($A172='Thang 05-2026'!$A$3:$A$102)*($G172='Thang 05-2026'!$C$3:$C$102),0),11)=0),1,0))</f>
        <v>0</v>
      </c>
      <c r="E172">
        <f t="array" ref="E172">IF(AND(INDEX('Thang 05-2026'!$A$3:$Q$102,MATCH(1,($A172='Thang 05-2026'!$A$3:$A$102)*($G172='Thang 05-2026'!$C$3:$C$102),0),15)=1,$B172="Triều Xuống"),1,IF(AND(INDEX('Thang 05-2026'!$A$3:$Q$102,MATCH(1,($A172='Thang 05-2026'!$A$3:$A$102)*($G172='Thang 05-2026'!$C$3:$C$102),0),14)=1,$B172="Triều Lên",INDEX('Thang 05-2026'!$A$3:$Q$102,MATCH(1,($A172='Thang 05-2026'!$A$3:$A$102)*($G172='Thang 05-2026'!$C$3:$C$102),0),15)=0),1,0))</f>
        <v>0</v>
      </c>
      <c r="F172">
        <f t="shared" si="2"/>
        <v>0</v>
      </c>
      <c r="G172">
        <v>28</v>
      </c>
    </row>
    <row r="173" spans="1:7" x14ac:dyDescent="0.2">
      <c r="A173" t="s">
        <v>124</v>
      </c>
      <c r="B173" t="s">
        <v>121</v>
      </c>
      <c r="C173">
        <v>1</v>
      </c>
      <c r="D173">
        <f t="array" ref="D173">IF(AND(INDEX('Thang 05-2026'!$A$3:$Q$102,MATCH(1,($A173='Thang 05-2026'!$A$3:$A$102)*($G173='Thang 05-2026'!$C$3:$C$102),0),11)=1,$B173="Triều Xuống"),1,IF(AND(INDEX('Thang 05-2026'!$A$3:$Q$102,MATCH(1,($A173='Thang 05-2026'!$A$3:$A$102)*($G173='Thang 05-2026'!$C$3:$C$102),0),10)=1,$B173="Triều Lên",INDEX('Thang 05-2026'!$A$3:$Q$102,MATCH(1,($A173='Thang 05-2026'!$A$3:$A$102)*($G173='Thang 05-2026'!$C$3:$C$102),0),11)=0),1,0))</f>
        <v>0</v>
      </c>
      <c r="E173">
        <f t="array" ref="E173">IF(AND(INDEX('Thang 05-2026'!$A$3:$Q$102,MATCH(1,($A173='Thang 05-2026'!$A$3:$A$102)*($G173='Thang 05-2026'!$C$3:$C$102),0),15)=1,$B173="Triều Xuống"),1,IF(AND(INDEX('Thang 05-2026'!$A$3:$Q$102,MATCH(1,($A173='Thang 05-2026'!$A$3:$A$102)*($G173='Thang 05-2026'!$C$3:$C$102),0),14)=1,$B173="Triều Lên",INDEX('Thang 05-2026'!$A$3:$Q$102,MATCH(1,($A173='Thang 05-2026'!$A$3:$A$102)*($G173='Thang 05-2026'!$C$3:$C$102),0),15)=0),1,0))</f>
        <v>0</v>
      </c>
      <c r="F173">
        <f t="shared" si="2"/>
        <v>0</v>
      </c>
      <c r="G173">
        <v>28</v>
      </c>
    </row>
  </sheetData>
  <autoFilter ref="A1:G1" xr:uid="{9150B87F-781C-4E45-B9D8-6C0362F7D8BF}">
    <sortState xmlns:xlrd2="http://schemas.microsoft.com/office/spreadsheetml/2017/richdata2" ref="A2:G173">
      <sortCondition ref="G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3CD1-6B66-488C-B2E6-0B1BF6DB2AA2}">
  <dimension ref="A1:G29"/>
  <sheetViews>
    <sheetView tabSelected="1" workbookViewId="0">
      <selection activeCell="F1" sqref="F1:G29"/>
    </sheetView>
  </sheetViews>
  <sheetFormatPr defaultRowHeight="14.25" x14ac:dyDescent="0.2"/>
  <sheetData>
    <row r="1" spans="1:7" x14ac:dyDescent="0.2">
      <c r="A1" t="s">
        <v>112</v>
      </c>
      <c r="B1" t="s">
        <v>113</v>
      </c>
      <c r="C1" t="s">
        <v>114</v>
      </c>
      <c r="D1" t="s">
        <v>131</v>
      </c>
      <c r="E1" t="s">
        <v>132</v>
      </c>
      <c r="F1" t="s">
        <v>115</v>
      </c>
      <c r="G1" t="s">
        <v>116</v>
      </c>
    </row>
    <row r="2" spans="1:7" x14ac:dyDescent="0.2">
      <c r="A2" t="s">
        <v>88</v>
      </c>
      <c r="B2" t="s">
        <v>118</v>
      </c>
      <c r="C2">
        <v>1</v>
      </c>
      <c r="D2">
        <f t="array" ref="D2">IF(AND(INDEX('Thang 05-2026'!$A$3:$Q$102,MATCH(1,($A2='Thang 05-2026'!$A$3:$A$102)*($G2='Thang 05-2026'!$C$3:$C$102),0),11)=1,$B2="Triều Xuống"),1,IF(AND(INDEX('Thang 05-2026'!$A$3:$Q$102,MATCH(1,($A2='Thang 05-2026'!$A$3:$A$102)*($G2='Thang 05-2026'!$C$3:$C$102),0),10)=1,$B2="Triều Lên",INDEX('Thang 05-2026'!$A$3:$Q$102,MATCH(1,($A2='Thang 05-2026'!$A$3:$A$102)*($G2='Thang 05-2026'!$C$3:$C$102),0),11)=0),1,0))</f>
        <v>0</v>
      </c>
      <c r="E2">
        <f t="array" ref="E2">IF(AND(INDEX('Thang 05-2026'!$A$3:$Q$102,MATCH(1,($A2='Thang 05-2026'!$A$3:$A$102)*($G2='Thang 05-2026'!$C$3:$C$102),0),15)=1,$B2="Triều Xuống"),1,IF(AND(INDEX('Thang 05-2026'!$A$3:$Q$102,MATCH(1,($A2='Thang 05-2026'!$A$3:$A$102)*($G2='Thang 05-2026'!$C$3:$C$102),0),14)=1,$B2="Triều Lên",INDEX('Thang 05-2026'!$A$3:$Q$102,MATCH(1,($A2='Thang 05-2026'!$A$3:$A$102)*($G2='Thang 05-2026'!$C$3:$C$102),0),15)=0),1,0))</f>
        <v>0</v>
      </c>
      <c r="F2">
        <f t="shared" ref="F2:F29" si="0">D2+E2</f>
        <v>0</v>
      </c>
      <c r="G2">
        <f>INDEX('Thang 05-2026'!$A$3:$C$102,MATCH(A2,'Thang 05-2026'!$A$3:$A$102,0),3)</f>
        <v>25</v>
      </c>
    </row>
    <row r="3" spans="1:7" x14ac:dyDescent="0.2">
      <c r="A3" t="s">
        <v>91</v>
      </c>
      <c r="B3" t="s">
        <v>118</v>
      </c>
      <c r="C3">
        <v>1</v>
      </c>
      <c r="D3">
        <f t="array" ref="D3">IF(AND(INDEX('Thang 05-2026'!$A$3:$Q$102,MATCH(1,($A3='Thang 05-2026'!$A$3:$A$102)*($G3='Thang 05-2026'!$C$3:$C$102),0),11)=1,$B3="Triều Xuống"),1,IF(AND(INDEX('Thang 05-2026'!$A$3:$Q$102,MATCH(1,($A3='Thang 05-2026'!$A$3:$A$102)*($G3='Thang 05-2026'!$C$3:$C$102),0),10)=1,$B3="Triều Lên",INDEX('Thang 05-2026'!$A$3:$Q$102,MATCH(1,($A3='Thang 05-2026'!$A$3:$A$102)*($G3='Thang 05-2026'!$C$3:$C$102),0),11)=0),1,0))</f>
        <v>0</v>
      </c>
      <c r="E3">
        <f t="array" ref="E3">IF(AND(INDEX('Thang 05-2026'!$A$3:$Q$102,MATCH(1,($A3='Thang 05-2026'!$A$3:$A$102)*($G3='Thang 05-2026'!$C$3:$C$102),0),15)=1,$B3="Triều Xuống"),1,IF(AND(INDEX('Thang 05-2026'!$A$3:$Q$102,MATCH(1,($A3='Thang 05-2026'!$A$3:$A$102)*($G3='Thang 05-2026'!$C$3:$C$102),0),14)=1,$B3="Triều Lên",INDEX('Thang 05-2026'!$A$3:$Q$102,MATCH(1,($A3='Thang 05-2026'!$A$3:$A$102)*($G3='Thang 05-2026'!$C$3:$C$102),0),15)=0),1,0))</f>
        <v>0</v>
      </c>
      <c r="F3">
        <f t="shared" si="0"/>
        <v>0</v>
      </c>
      <c r="G3">
        <f>INDEX('Thang 05-2026'!$A$3:$C$102,MATCH(A3,'Thang 05-2026'!$A$3:$A$102,0),3)</f>
        <v>25</v>
      </c>
    </row>
    <row r="4" spans="1:7" x14ac:dyDescent="0.2">
      <c r="A4" t="s">
        <v>92</v>
      </c>
      <c r="B4" t="s">
        <v>118</v>
      </c>
      <c r="C4">
        <v>1</v>
      </c>
      <c r="D4">
        <f t="array" ref="D4">IF(AND(INDEX('Thang 05-2026'!$A$3:$Q$102,MATCH(1,($A4='Thang 05-2026'!$A$3:$A$102)*($G4='Thang 05-2026'!$C$3:$C$102),0),11)=1,$B4="Triều Xuống"),1,IF(AND(INDEX('Thang 05-2026'!$A$3:$Q$102,MATCH(1,($A4='Thang 05-2026'!$A$3:$A$102)*($G4='Thang 05-2026'!$C$3:$C$102),0),10)=1,$B4="Triều Lên",INDEX('Thang 05-2026'!$A$3:$Q$102,MATCH(1,($A4='Thang 05-2026'!$A$3:$A$102)*($G4='Thang 05-2026'!$C$3:$C$102),0),11)=0),1,0))</f>
        <v>0</v>
      </c>
      <c r="E4">
        <f t="array" ref="E4">IF(AND(INDEX('Thang 05-2026'!$A$3:$Q$102,MATCH(1,($A4='Thang 05-2026'!$A$3:$A$102)*($G4='Thang 05-2026'!$C$3:$C$102),0),15)=1,$B4="Triều Xuống"),1,IF(AND(INDEX('Thang 05-2026'!$A$3:$Q$102,MATCH(1,($A4='Thang 05-2026'!$A$3:$A$102)*($G4='Thang 05-2026'!$C$3:$C$102),0),14)=1,$B4="Triều Lên",INDEX('Thang 05-2026'!$A$3:$Q$102,MATCH(1,($A4='Thang 05-2026'!$A$3:$A$102)*($G4='Thang 05-2026'!$C$3:$C$102),0),15)=0),1,0))</f>
        <v>0</v>
      </c>
      <c r="F4">
        <f t="shared" si="0"/>
        <v>0</v>
      </c>
      <c r="G4">
        <f>INDEX('Thang 05-2026'!$A$3:$C$102,MATCH(A4,'Thang 05-2026'!$A$3:$A$102,0),3)</f>
        <v>25</v>
      </c>
    </row>
    <row r="5" spans="1:7" x14ac:dyDescent="0.2">
      <c r="A5" t="s">
        <v>93</v>
      </c>
      <c r="B5" t="s">
        <v>118</v>
      </c>
      <c r="C5">
        <v>1</v>
      </c>
      <c r="D5">
        <f t="array" ref="D5">IF(AND(INDEX('Thang 05-2026'!$A$3:$Q$102,MATCH(1,($A5='Thang 05-2026'!$A$3:$A$102)*($G5='Thang 05-2026'!$C$3:$C$102),0),11)=1,$B5="Triều Xuống"),1,IF(AND(INDEX('Thang 05-2026'!$A$3:$Q$102,MATCH(1,($A5='Thang 05-2026'!$A$3:$A$102)*($G5='Thang 05-2026'!$C$3:$C$102),0),10)=1,$B5="Triều Lên",INDEX('Thang 05-2026'!$A$3:$Q$102,MATCH(1,($A5='Thang 05-2026'!$A$3:$A$102)*($G5='Thang 05-2026'!$C$3:$C$102),0),11)=0),1,0))</f>
        <v>0</v>
      </c>
      <c r="E5">
        <f t="array" ref="E5">IF(AND(INDEX('Thang 05-2026'!$A$3:$Q$102,MATCH(1,($A5='Thang 05-2026'!$A$3:$A$102)*($G5='Thang 05-2026'!$C$3:$C$102),0),15)=1,$B5="Triều Xuống"),1,IF(AND(INDEX('Thang 05-2026'!$A$3:$Q$102,MATCH(1,($A5='Thang 05-2026'!$A$3:$A$102)*($G5='Thang 05-2026'!$C$3:$C$102),0),14)=1,$B5="Triều Lên",INDEX('Thang 05-2026'!$A$3:$Q$102,MATCH(1,($A5='Thang 05-2026'!$A$3:$A$102)*($G5='Thang 05-2026'!$C$3:$C$102),0),15)=0),1,0))</f>
        <v>0</v>
      </c>
      <c r="F5">
        <f t="shared" si="0"/>
        <v>0</v>
      </c>
      <c r="G5">
        <f>INDEX('Thang 05-2026'!$A$3:$C$102,MATCH(A5,'Thang 05-2026'!$A$3:$A$102,0),3)</f>
        <v>25</v>
      </c>
    </row>
    <row r="6" spans="1:7" x14ac:dyDescent="0.2">
      <c r="A6" t="s">
        <v>88</v>
      </c>
      <c r="B6" t="s">
        <v>121</v>
      </c>
      <c r="C6">
        <v>1</v>
      </c>
      <c r="D6">
        <f t="array" ref="D6">IF(AND(INDEX('Thang 05-2026'!$A$3:$Q$102,MATCH(1,($A6='Thang 05-2026'!$A$3:$A$102)*($G6='Thang 05-2026'!$C$3:$C$102),0),11)=1,$B6="Triều Xuống"),1,IF(AND(INDEX('Thang 05-2026'!$A$3:$Q$102,MATCH(1,($A6='Thang 05-2026'!$A$3:$A$102)*($G6='Thang 05-2026'!$C$3:$C$102),0),10)=1,$B6="Triều Lên",INDEX('Thang 05-2026'!$A$3:$Q$102,MATCH(1,($A6='Thang 05-2026'!$A$3:$A$102)*($G6='Thang 05-2026'!$C$3:$C$102),0),11)=0),1,0))</f>
        <v>0</v>
      </c>
      <c r="E6">
        <f t="array" ref="E6">IF(AND(INDEX('Thang 05-2026'!$A$3:$Q$102,MATCH(1,($A6='Thang 05-2026'!$A$3:$A$102)*($G6='Thang 05-2026'!$C$3:$C$102),0),15)=1,$B6="Triều Xuống"),1,IF(AND(INDEX('Thang 05-2026'!$A$3:$Q$102,MATCH(1,($A6='Thang 05-2026'!$A$3:$A$102)*($G6='Thang 05-2026'!$C$3:$C$102),0),14)=1,$B6="Triều Lên",INDEX('Thang 05-2026'!$A$3:$Q$102,MATCH(1,($A6='Thang 05-2026'!$A$3:$A$102)*($G6='Thang 05-2026'!$C$3:$C$102),0),15)=0),1,0))</f>
        <v>0</v>
      </c>
      <c r="F6">
        <f t="shared" si="0"/>
        <v>0</v>
      </c>
      <c r="G6">
        <f>INDEX('Thang 05-2026'!$A$3:$C$102,MATCH(A6,'Thang 05-2026'!$A$3:$A$102,0),3)</f>
        <v>25</v>
      </c>
    </row>
    <row r="7" spans="1:7" x14ac:dyDescent="0.2">
      <c r="A7" t="s">
        <v>91</v>
      </c>
      <c r="B7" t="s">
        <v>121</v>
      </c>
      <c r="C7">
        <v>1</v>
      </c>
      <c r="D7">
        <f t="array" ref="D7">IF(AND(INDEX('Thang 05-2026'!$A$3:$Q$102,MATCH(1,($A7='Thang 05-2026'!$A$3:$A$102)*($G7='Thang 05-2026'!$C$3:$C$102),0),11)=1,$B7="Triều Xuống"),1,IF(AND(INDEX('Thang 05-2026'!$A$3:$Q$102,MATCH(1,($A7='Thang 05-2026'!$A$3:$A$102)*($G7='Thang 05-2026'!$C$3:$C$102),0),10)=1,$B7="Triều Lên",INDEX('Thang 05-2026'!$A$3:$Q$102,MATCH(1,($A7='Thang 05-2026'!$A$3:$A$102)*($G7='Thang 05-2026'!$C$3:$C$102),0),11)=0),1,0))</f>
        <v>0</v>
      </c>
      <c r="E7">
        <f t="array" ref="E7">IF(AND(INDEX('Thang 05-2026'!$A$3:$Q$102,MATCH(1,($A7='Thang 05-2026'!$A$3:$A$102)*($G7='Thang 05-2026'!$C$3:$C$102),0),15)=1,$B7="Triều Xuống"),1,IF(AND(INDEX('Thang 05-2026'!$A$3:$Q$102,MATCH(1,($A7='Thang 05-2026'!$A$3:$A$102)*($G7='Thang 05-2026'!$C$3:$C$102),0),14)=1,$B7="Triều Lên",INDEX('Thang 05-2026'!$A$3:$Q$102,MATCH(1,($A7='Thang 05-2026'!$A$3:$A$102)*($G7='Thang 05-2026'!$C$3:$C$102),0),15)=0),1,0))</f>
        <v>0</v>
      </c>
      <c r="F7">
        <f t="shared" si="0"/>
        <v>0</v>
      </c>
      <c r="G7">
        <f>INDEX('Thang 05-2026'!$A$3:$C$102,MATCH(A7,'Thang 05-2026'!$A$3:$A$102,0),3)</f>
        <v>25</v>
      </c>
    </row>
    <row r="8" spans="1:7" x14ac:dyDescent="0.2">
      <c r="A8" t="s">
        <v>92</v>
      </c>
      <c r="B8" t="s">
        <v>121</v>
      </c>
      <c r="C8">
        <v>1</v>
      </c>
      <c r="D8">
        <f t="array" ref="D8">IF(AND(INDEX('Thang 05-2026'!$A$3:$Q$102,MATCH(1,($A8='Thang 05-2026'!$A$3:$A$102)*($G8='Thang 05-2026'!$C$3:$C$102),0),11)=1,$B8="Triều Xuống"),1,IF(AND(INDEX('Thang 05-2026'!$A$3:$Q$102,MATCH(1,($A8='Thang 05-2026'!$A$3:$A$102)*($G8='Thang 05-2026'!$C$3:$C$102),0),10)=1,$B8="Triều Lên",INDEX('Thang 05-2026'!$A$3:$Q$102,MATCH(1,($A8='Thang 05-2026'!$A$3:$A$102)*($G8='Thang 05-2026'!$C$3:$C$102),0),11)=0),1,0))</f>
        <v>0</v>
      </c>
      <c r="E8">
        <f t="array" ref="E8">IF(AND(INDEX('Thang 05-2026'!$A$3:$Q$102,MATCH(1,($A8='Thang 05-2026'!$A$3:$A$102)*($G8='Thang 05-2026'!$C$3:$C$102),0),15)=1,$B8="Triều Xuống"),1,IF(AND(INDEX('Thang 05-2026'!$A$3:$Q$102,MATCH(1,($A8='Thang 05-2026'!$A$3:$A$102)*($G8='Thang 05-2026'!$C$3:$C$102),0),14)=1,$B8="Triều Lên",INDEX('Thang 05-2026'!$A$3:$Q$102,MATCH(1,($A8='Thang 05-2026'!$A$3:$A$102)*($G8='Thang 05-2026'!$C$3:$C$102),0),15)=0),1,0))</f>
        <v>0</v>
      </c>
      <c r="F8">
        <f t="shared" si="0"/>
        <v>0</v>
      </c>
      <c r="G8">
        <f>INDEX('Thang 05-2026'!$A$3:$C$102,MATCH(A8,'Thang 05-2026'!$A$3:$A$102,0),3)</f>
        <v>25</v>
      </c>
    </row>
    <row r="9" spans="1:7" x14ac:dyDescent="0.2">
      <c r="A9" t="s">
        <v>93</v>
      </c>
      <c r="B9" t="s">
        <v>121</v>
      </c>
      <c r="C9">
        <v>1</v>
      </c>
      <c r="D9">
        <f t="array" ref="D9">IF(AND(INDEX('Thang 05-2026'!$A$3:$Q$102,MATCH(1,($A9='Thang 05-2026'!$A$3:$A$102)*($G9='Thang 05-2026'!$C$3:$C$102),0),11)=1,$B9="Triều Xuống"),1,IF(AND(INDEX('Thang 05-2026'!$A$3:$Q$102,MATCH(1,($A9='Thang 05-2026'!$A$3:$A$102)*($G9='Thang 05-2026'!$C$3:$C$102),0),10)=1,$B9="Triều Lên",INDEX('Thang 05-2026'!$A$3:$Q$102,MATCH(1,($A9='Thang 05-2026'!$A$3:$A$102)*($G9='Thang 05-2026'!$C$3:$C$102),0),11)=0),1,0))</f>
        <v>0</v>
      </c>
      <c r="E9">
        <f t="array" ref="E9">IF(AND(INDEX('Thang 05-2026'!$A$3:$Q$102,MATCH(1,($A9='Thang 05-2026'!$A$3:$A$102)*($G9='Thang 05-2026'!$C$3:$C$102),0),15)=1,$B9="Triều Xuống"),1,IF(AND(INDEX('Thang 05-2026'!$A$3:$Q$102,MATCH(1,($A9='Thang 05-2026'!$A$3:$A$102)*($G9='Thang 05-2026'!$C$3:$C$102),0),14)=1,$B9="Triều Lên",INDEX('Thang 05-2026'!$A$3:$Q$102,MATCH(1,($A9='Thang 05-2026'!$A$3:$A$102)*($G9='Thang 05-2026'!$C$3:$C$102),0),15)=0),1,0))</f>
        <v>0</v>
      </c>
      <c r="F9">
        <f t="shared" si="0"/>
        <v>0</v>
      </c>
      <c r="G9">
        <f>INDEX('Thang 05-2026'!$A$3:$C$102,MATCH(A9,'Thang 05-2026'!$A$3:$A$102,0),3)</f>
        <v>25</v>
      </c>
    </row>
    <row r="10" spans="1:7" x14ac:dyDescent="0.2">
      <c r="A10" t="s">
        <v>94</v>
      </c>
      <c r="B10" t="s">
        <v>118</v>
      </c>
      <c r="C10">
        <v>1</v>
      </c>
      <c r="D10">
        <f t="array" ref="D10">IF(AND(INDEX('Thang 05-2026'!$A$3:$Q$102,MATCH(1,($A10='Thang 05-2026'!$A$3:$A$102)*($G10='Thang 05-2026'!$C$3:$C$102),0),11)=1,$B10="Triều Xuống"),1,IF(AND(INDEX('Thang 05-2026'!$A$3:$Q$102,MATCH(1,($A10='Thang 05-2026'!$A$3:$A$102)*($G10='Thang 05-2026'!$C$3:$C$102),0),10)=1,$B10="Triều Lên",INDEX('Thang 05-2026'!$A$3:$Q$102,MATCH(1,($A10='Thang 05-2026'!$A$3:$A$102)*($G10='Thang 05-2026'!$C$3:$C$102),0),11)=0),1,0))</f>
        <v>0</v>
      </c>
      <c r="E10">
        <f t="array" ref="E10">IF(AND(INDEX('Thang 05-2026'!$A$3:$Q$102,MATCH(1,($A10='Thang 05-2026'!$A$3:$A$102)*($G10='Thang 05-2026'!$C$3:$C$102),0),15)=1,$B10="Triều Xuống"),1,IF(AND(INDEX('Thang 05-2026'!$A$3:$Q$102,MATCH(1,($A10='Thang 05-2026'!$A$3:$A$102)*($G10='Thang 05-2026'!$C$3:$C$102),0),14)=1,$B10="Triều Lên",INDEX('Thang 05-2026'!$A$3:$Q$102,MATCH(1,($A10='Thang 05-2026'!$A$3:$A$102)*($G10='Thang 05-2026'!$C$3:$C$102),0),15)=0),1,0))</f>
        <v>0</v>
      </c>
      <c r="F10">
        <f t="shared" si="0"/>
        <v>0</v>
      </c>
      <c r="G10">
        <f>INDEX('Thang 05-2026'!$A$3:$C$102,MATCH(A10,'Thang 05-2026'!$A$3:$A$102,0),3)</f>
        <v>25</v>
      </c>
    </row>
    <row r="11" spans="1:7" x14ac:dyDescent="0.2">
      <c r="A11" t="s">
        <v>95</v>
      </c>
      <c r="B11" t="s">
        <v>118</v>
      </c>
      <c r="C11">
        <v>1</v>
      </c>
      <c r="D11">
        <f t="array" ref="D11">IF(AND(INDEX('Thang 05-2026'!$A$3:$Q$102,MATCH(1,($A11='Thang 05-2026'!$A$3:$A$102)*($G11='Thang 05-2026'!$C$3:$C$102),0),11)=1,$B11="Triều Xuống"),1,IF(AND(INDEX('Thang 05-2026'!$A$3:$Q$102,MATCH(1,($A11='Thang 05-2026'!$A$3:$A$102)*($G11='Thang 05-2026'!$C$3:$C$102),0),10)=1,$B11="Triều Lên",INDEX('Thang 05-2026'!$A$3:$Q$102,MATCH(1,($A11='Thang 05-2026'!$A$3:$A$102)*($G11='Thang 05-2026'!$C$3:$C$102),0),11)=0),1,0))</f>
        <v>0</v>
      </c>
      <c r="E11">
        <f t="array" ref="E11">IF(AND(INDEX('Thang 05-2026'!$A$3:$Q$102,MATCH(1,($A11='Thang 05-2026'!$A$3:$A$102)*($G11='Thang 05-2026'!$C$3:$C$102),0),15)=1,$B11="Triều Xuống"),1,IF(AND(INDEX('Thang 05-2026'!$A$3:$Q$102,MATCH(1,($A11='Thang 05-2026'!$A$3:$A$102)*($G11='Thang 05-2026'!$C$3:$C$102),0),14)=1,$B11="Triều Lên",INDEX('Thang 05-2026'!$A$3:$Q$102,MATCH(1,($A11='Thang 05-2026'!$A$3:$A$102)*($G11='Thang 05-2026'!$C$3:$C$102),0),15)=0),1,0))</f>
        <v>0</v>
      </c>
      <c r="F11">
        <f t="shared" si="0"/>
        <v>0</v>
      </c>
      <c r="G11">
        <f>INDEX('Thang 05-2026'!$A$3:$C$102,MATCH(A11,'Thang 05-2026'!$A$3:$A$102,0),3)</f>
        <v>25</v>
      </c>
    </row>
    <row r="12" spans="1:7" x14ac:dyDescent="0.2">
      <c r="A12" t="s">
        <v>94</v>
      </c>
      <c r="B12" t="s">
        <v>121</v>
      </c>
      <c r="C12">
        <v>1</v>
      </c>
      <c r="D12">
        <f t="array" ref="D12">IF(AND(INDEX('Thang 05-2026'!$A$3:$Q$102,MATCH(1,($A12='Thang 05-2026'!$A$3:$A$102)*($G12='Thang 05-2026'!$C$3:$C$102),0),11)=1,$B12="Triều Xuống"),1,IF(AND(INDEX('Thang 05-2026'!$A$3:$Q$102,MATCH(1,($A12='Thang 05-2026'!$A$3:$A$102)*($G12='Thang 05-2026'!$C$3:$C$102),0),10)=1,$B12="Triều Lên",INDEX('Thang 05-2026'!$A$3:$Q$102,MATCH(1,($A12='Thang 05-2026'!$A$3:$A$102)*($G12='Thang 05-2026'!$C$3:$C$102),0),11)=0),1,0))</f>
        <v>0</v>
      </c>
      <c r="E12">
        <f t="array" ref="E12">IF(AND(INDEX('Thang 05-2026'!$A$3:$Q$102,MATCH(1,($A12='Thang 05-2026'!$A$3:$A$102)*($G12='Thang 05-2026'!$C$3:$C$102),0),15)=1,$B12="Triều Xuống"),1,IF(AND(INDEX('Thang 05-2026'!$A$3:$Q$102,MATCH(1,($A12='Thang 05-2026'!$A$3:$A$102)*($G12='Thang 05-2026'!$C$3:$C$102),0),14)=1,$B12="Triều Lên",INDEX('Thang 05-2026'!$A$3:$Q$102,MATCH(1,($A12='Thang 05-2026'!$A$3:$A$102)*($G12='Thang 05-2026'!$C$3:$C$102),0),15)=0),1,0))</f>
        <v>0</v>
      </c>
      <c r="F12">
        <f t="shared" si="0"/>
        <v>0</v>
      </c>
      <c r="G12">
        <f>INDEX('Thang 05-2026'!$A$3:$C$102,MATCH(A12,'Thang 05-2026'!$A$3:$A$102,0),3)</f>
        <v>25</v>
      </c>
    </row>
    <row r="13" spans="1:7" x14ac:dyDescent="0.2">
      <c r="A13" t="s">
        <v>95</v>
      </c>
      <c r="B13" t="s">
        <v>121</v>
      </c>
      <c r="C13">
        <v>1</v>
      </c>
      <c r="D13">
        <f t="array" ref="D13">IF(AND(INDEX('Thang 05-2026'!$A$3:$Q$102,MATCH(1,($A13='Thang 05-2026'!$A$3:$A$102)*($G13='Thang 05-2026'!$C$3:$C$102),0),11)=1,$B13="Triều Xuống"),1,IF(AND(INDEX('Thang 05-2026'!$A$3:$Q$102,MATCH(1,($A13='Thang 05-2026'!$A$3:$A$102)*($G13='Thang 05-2026'!$C$3:$C$102),0),10)=1,$B13="Triều Lên",INDEX('Thang 05-2026'!$A$3:$Q$102,MATCH(1,($A13='Thang 05-2026'!$A$3:$A$102)*($G13='Thang 05-2026'!$C$3:$C$102),0),11)=0),1,0))</f>
        <v>0</v>
      </c>
      <c r="E13">
        <f t="array" ref="E13">IF(AND(INDEX('Thang 05-2026'!$A$3:$Q$102,MATCH(1,($A13='Thang 05-2026'!$A$3:$A$102)*($G13='Thang 05-2026'!$C$3:$C$102),0),15)=1,$B13="Triều Xuống"),1,IF(AND(INDEX('Thang 05-2026'!$A$3:$Q$102,MATCH(1,($A13='Thang 05-2026'!$A$3:$A$102)*($G13='Thang 05-2026'!$C$3:$C$102),0),14)=1,$B13="Triều Lên",INDEX('Thang 05-2026'!$A$3:$Q$102,MATCH(1,($A13='Thang 05-2026'!$A$3:$A$102)*($G13='Thang 05-2026'!$C$3:$C$102),0),15)=0),1,0))</f>
        <v>1</v>
      </c>
      <c r="F13">
        <f t="shared" si="0"/>
        <v>1</v>
      </c>
      <c r="G13">
        <f>INDEX('Thang 05-2026'!$A$3:$C$102,MATCH(A13,'Thang 05-2026'!$A$3:$A$102,0),3)</f>
        <v>25</v>
      </c>
    </row>
    <row r="14" spans="1:7" x14ac:dyDescent="0.2">
      <c r="A14" t="s">
        <v>96</v>
      </c>
      <c r="B14" t="s">
        <v>118</v>
      </c>
      <c r="C14">
        <v>1</v>
      </c>
      <c r="D14">
        <f t="array" ref="D14">IF(AND(INDEX('Thang 05-2026'!$A$3:$Q$102,MATCH(1,($A14='Thang 05-2026'!$A$3:$A$102)*($G14='Thang 05-2026'!$C$3:$C$102),0),11)=1,$B14="Triều Xuống"),1,IF(AND(INDEX('Thang 05-2026'!$A$3:$Q$102,MATCH(1,($A14='Thang 05-2026'!$A$3:$A$102)*($G14='Thang 05-2026'!$C$3:$C$102),0),10)=1,$B14="Triều Lên",INDEX('Thang 05-2026'!$A$3:$Q$102,MATCH(1,($A14='Thang 05-2026'!$A$3:$A$102)*($G14='Thang 05-2026'!$C$3:$C$102),0),11)=0),1,0))</f>
        <v>0</v>
      </c>
      <c r="E14">
        <f t="array" ref="E14">IF(AND(INDEX('Thang 05-2026'!$A$3:$Q$102,MATCH(1,($A14='Thang 05-2026'!$A$3:$A$102)*($G14='Thang 05-2026'!$C$3:$C$102),0),15)=1,$B14="Triều Xuống"),1,IF(AND(INDEX('Thang 05-2026'!$A$3:$Q$102,MATCH(1,($A14='Thang 05-2026'!$A$3:$A$102)*($G14='Thang 05-2026'!$C$3:$C$102),0),14)=1,$B14="Triều Lên",INDEX('Thang 05-2026'!$A$3:$Q$102,MATCH(1,($A14='Thang 05-2026'!$A$3:$A$102)*($G14='Thang 05-2026'!$C$3:$C$102),0),15)=0),1,0))</f>
        <v>0</v>
      </c>
      <c r="F14">
        <f t="shared" si="0"/>
        <v>0</v>
      </c>
      <c r="G14">
        <f>INDEX('Thang 05-2026'!$A$3:$C$102,MATCH(A14,'Thang 05-2026'!$A$3:$A$102,0),3)</f>
        <v>26</v>
      </c>
    </row>
    <row r="15" spans="1:7" x14ac:dyDescent="0.2">
      <c r="A15" t="s">
        <v>98</v>
      </c>
      <c r="B15" t="s">
        <v>118</v>
      </c>
      <c r="C15">
        <v>1</v>
      </c>
      <c r="D15">
        <f t="array" ref="D15">IF(AND(INDEX('Thang 05-2026'!$A$3:$Q$102,MATCH(1,($A15='Thang 05-2026'!$A$3:$A$102)*($G15='Thang 05-2026'!$C$3:$C$102),0),11)=1,$B15="Triều Xuống"),1,IF(AND(INDEX('Thang 05-2026'!$A$3:$Q$102,MATCH(1,($A15='Thang 05-2026'!$A$3:$A$102)*($G15='Thang 05-2026'!$C$3:$C$102),0),10)=1,$B15="Triều Lên",INDEX('Thang 05-2026'!$A$3:$Q$102,MATCH(1,($A15='Thang 05-2026'!$A$3:$A$102)*($G15='Thang 05-2026'!$C$3:$C$102),0),11)=0),1,0))</f>
        <v>0</v>
      </c>
      <c r="E15">
        <f t="array" ref="E15">IF(AND(INDEX('Thang 05-2026'!$A$3:$Q$102,MATCH(1,($A15='Thang 05-2026'!$A$3:$A$102)*($G15='Thang 05-2026'!$C$3:$C$102),0),15)=1,$B15="Triều Xuống"),1,IF(AND(INDEX('Thang 05-2026'!$A$3:$Q$102,MATCH(1,($A15='Thang 05-2026'!$A$3:$A$102)*($G15='Thang 05-2026'!$C$3:$C$102),0),14)=1,$B15="Triều Lên",INDEX('Thang 05-2026'!$A$3:$Q$102,MATCH(1,($A15='Thang 05-2026'!$A$3:$A$102)*($G15='Thang 05-2026'!$C$3:$C$102),0),15)=0),1,0))</f>
        <v>0</v>
      </c>
      <c r="F15">
        <f t="shared" si="0"/>
        <v>0</v>
      </c>
      <c r="G15">
        <f>INDEX('Thang 05-2026'!$A$3:$C$102,MATCH(A15,'Thang 05-2026'!$A$3:$A$102,0),3)</f>
        <v>26</v>
      </c>
    </row>
    <row r="16" spans="1:7" x14ac:dyDescent="0.2">
      <c r="A16" t="s">
        <v>99</v>
      </c>
      <c r="B16" t="s">
        <v>118</v>
      </c>
      <c r="C16">
        <v>1</v>
      </c>
      <c r="D16">
        <f t="array" ref="D16">IF(AND(INDEX('Thang 05-2026'!$A$3:$Q$102,MATCH(1,($A16='Thang 05-2026'!$A$3:$A$102)*($G16='Thang 05-2026'!$C$3:$C$102),0),11)=1,$B16="Triều Xuống"),1,IF(AND(INDEX('Thang 05-2026'!$A$3:$Q$102,MATCH(1,($A16='Thang 05-2026'!$A$3:$A$102)*($G16='Thang 05-2026'!$C$3:$C$102),0),10)=1,$B16="Triều Lên",INDEX('Thang 05-2026'!$A$3:$Q$102,MATCH(1,($A16='Thang 05-2026'!$A$3:$A$102)*($G16='Thang 05-2026'!$C$3:$C$102),0),11)=0),1,0))</f>
        <v>0</v>
      </c>
      <c r="E16">
        <f t="array" ref="E16">IF(AND(INDEX('Thang 05-2026'!$A$3:$Q$102,MATCH(1,($A16='Thang 05-2026'!$A$3:$A$102)*($G16='Thang 05-2026'!$C$3:$C$102),0),15)=1,$B16="Triều Xuống"),1,IF(AND(INDEX('Thang 05-2026'!$A$3:$Q$102,MATCH(1,($A16='Thang 05-2026'!$A$3:$A$102)*($G16='Thang 05-2026'!$C$3:$C$102),0),14)=1,$B16="Triều Lên",INDEX('Thang 05-2026'!$A$3:$Q$102,MATCH(1,($A16='Thang 05-2026'!$A$3:$A$102)*($G16='Thang 05-2026'!$C$3:$C$102),0),15)=0),1,0))</f>
        <v>0</v>
      </c>
      <c r="F16">
        <f t="shared" si="0"/>
        <v>0</v>
      </c>
      <c r="G16">
        <f>INDEX('Thang 05-2026'!$A$3:$C$102,MATCH(A16,'Thang 05-2026'!$A$3:$A$102,0),3)</f>
        <v>26</v>
      </c>
    </row>
    <row r="17" spans="1:7" x14ac:dyDescent="0.2">
      <c r="A17" t="s">
        <v>96</v>
      </c>
      <c r="B17" t="s">
        <v>121</v>
      </c>
      <c r="C17">
        <v>1</v>
      </c>
      <c r="D17">
        <f t="array" ref="D17">IF(AND(INDEX('Thang 05-2026'!$A$3:$Q$102,MATCH(1,($A17='Thang 05-2026'!$A$3:$A$102)*($G17='Thang 05-2026'!$C$3:$C$102),0),11)=1,$B17="Triều Xuống"),1,IF(AND(INDEX('Thang 05-2026'!$A$3:$Q$102,MATCH(1,($A17='Thang 05-2026'!$A$3:$A$102)*($G17='Thang 05-2026'!$C$3:$C$102),0),10)=1,$B17="Triều Lên",INDEX('Thang 05-2026'!$A$3:$Q$102,MATCH(1,($A17='Thang 05-2026'!$A$3:$A$102)*($G17='Thang 05-2026'!$C$3:$C$102),0),11)=0),1,0))</f>
        <v>0</v>
      </c>
      <c r="E17">
        <f t="array" ref="E17">IF(AND(INDEX('Thang 05-2026'!$A$3:$Q$102,MATCH(1,($A17='Thang 05-2026'!$A$3:$A$102)*($G17='Thang 05-2026'!$C$3:$C$102),0),15)=1,$B17="Triều Xuống"),1,IF(AND(INDEX('Thang 05-2026'!$A$3:$Q$102,MATCH(1,($A17='Thang 05-2026'!$A$3:$A$102)*($G17='Thang 05-2026'!$C$3:$C$102),0),14)=1,$B17="Triều Lên",INDEX('Thang 05-2026'!$A$3:$Q$102,MATCH(1,($A17='Thang 05-2026'!$A$3:$A$102)*($G17='Thang 05-2026'!$C$3:$C$102),0),15)=0),1,0))</f>
        <v>0</v>
      </c>
      <c r="F17">
        <f t="shared" si="0"/>
        <v>0</v>
      </c>
      <c r="G17">
        <f>INDEX('Thang 05-2026'!$A$3:$C$102,MATCH(A17,'Thang 05-2026'!$A$3:$A$102,0),3)</f>
        <v>26</v>
      </c>
    </row>
    <row r="18" spans="1:7" x14ac:dyDescent="0.2">
      <c r="A18" t="s">
        <v>98</v>
      </c>
      <c r="B18" t="s">
        <v>121</v>
      </c>
      <c r="C18">
        <v>1</v>
      </c>
      <c r="D18">
        <f t="array" ref="D18">IF(AND(INDEX('Thang 05-2026'!$A$3:$Q$102,MATCH(1,($A18='Thang 05-2026'!$A$3:$A$102)*($G18='Thang 05-2026'!$C$3:$C$102),0),11)=1,$B18="Triều Xuống"),1,IF(AND(INDEX('Thang 05-2026'!$A$3:$Q$102,MATCH(1,($A18='Thang 05-2026'!$A$3:$A$102)*($G18='Thang 05-2026'!$C$3:$C$102),0),10)=1,$B18="Triều Lên",INDEX('Thang 05-2026'!$A$3:$Q$102,MATCH(1,($A18='Thang 05-2026'!$A$3:$A$102)*($G18='Thang 05-2026'!$C$3:$C$102),0),11)=0),1,0))</f>
        <v>0</v>
      </c>
      <c r="E18">
        <f t="array" ref="E18">IF(AND(INDEX('Thang 05-2026'!$A$3:$Q$102,MATCH(1,($A18='Thang 05-2026'!$A$3:$A$102)*($G18='Thang 05-2026'!$C$3:$C$102),0),15)=1,$B18="Triều Xuống"),1,IF(AND(INDEX('Thang 05-2026'!$A$3:$Q$102,MATCH(1,($A18='Thang 05-2026'!$A$3:$A$102)*($G18='Thang 05-2026'!$C$3:$C$102),0),14)=1,$B18="Triều Lên",INDEX('Thang 05-2026'!$A$3:$Q$102,MATCH(1,($A18='Thang 05-2026'!$A$3:$A$102)*($G18='Thang 05-2026'!$C$3:$C$102),0),15)=0),1,0))</f>
        <v>0</v>
      </c>
      <c r="F18">
        <f t="shared" si="0"/>
        <v>0</v>
      </c>
      <c r="G18">
        <f>INDEX('Thang 05-2026'!$A$3:$C$102,MATCH(A18,'Thang 05-2026'!$A$3:$A$102,0),3)</f>
        <v>26</v>
      </c>
    </row>
    <row r="19" spans="1:7" x14ac:dyDescent="0.2">
      <c r="A19" t="s">
        <v>99</v>
      </c>
      <c r="B19" t="s">
        <v>121</v>
      </c>
      <c r="C19">
        <v>1</v>
      </c>
      <c r="D19">
        <f t="array" ref="D19">IF(AND(INDEX('Thang 05-2026'!$A$3:$Q$102,MATCH(1,($A19='Thang 05-2026'!$A$3:$A$102)*($G19='Thang 05-2026'!$C$3:$C$102),0),11)=1,$B19="Triều Xuống"),1,IF(AND(INDEX('Thang 05-2026'!$A$3:$Q$102,MATCH(1,($A19='Thang 05-2026'!$A$3:$A$102)*($G19='Thang 05-2026'!$C$3:$C$102),0),10)=1,$B19="Triều Lên",INDEX('Thang 05-2026'!$A$3:$Q$102,MATCH(1,($A19='Thang 05-2026'!$A$3:$A$102)*($G19='Thang 05-2026'!$C$3:$C$102),0),11)=0),1,0))</f>
        <v>0</v>
      </c>
      <c r="E19">
        <f t="array" ref="E19">IF(AND(INDEX('Thang 05-2026'!$A$3:$Q$102,MATCH(1,($A19='Thang 05-2026'!$A$3:$A$102)*($G19='Thang 05-2026'!$C$3:$C$102),0),15)=1,$B19="Triều Xuống"),1,IF(AND(INDEX('Thang 05-2026'!$A$3:$Q$102,MATCH(1,($A19='Thang 05-2026'!$A$3:$A$102)*($G19='Thang 05-2026'!$C$3:$C$102),0),14)=1,$B19="Triều Lên",INDEX('Thang 05-2026'!$A$3:$Q$102,MATCH(1,($A19='Thang 05-2026'!$A$3:$A$102)*($G19='Thang 05-2026'!$C$3:$C$102),0),15)=0),1,0))</f>
        <v>0</v>
      </c>
      <c r="F19">
        <f t="shared" si="0"/>
        <v>0</v>
      </c>
      <c r="G19">
        <f>INDEX('Thang 05-2026'!$A$3:$C$102,MATCH(A19,'Thang 05-2026'!$A$3:$A$102,0),3)</f>
        <v>26</v>
      </c>
    </row>
    <row r="20" spans="1:7" x14ac:dyDescent="0.2">
      <c r="A20" t="s">
        <v>100</v>
      </c>
      <c r="B20" t="s">
        <v>118</v>
      </c>
      <c r="C20">
        <v>1</v>
      </c>
      <c r="D20">
        <f t="array" ref="D20">IF(AND(INDEX('Thang 05-2026'!$A$3:$Q$102,MATCH(1,($A20='Thang 05-2026'!$A$3:$A$102)*($G20='Thang 05-2026'!$C$3:$C$102),0),11)=1,$B20="Triều Xuống"),1,IF(AND(INDEX('Thang 05-2026'!$A$3:$Q$102,MATCH(1,($A20='Thang 05-2026'!$A$3:$A$102)*($G20='Thang 05-2026'!$C$3:$C$102),0),10)=1,$B20="Triều Lên",INDEX('Thang 05-2026'!$A$3:$Q$102,MATCH(1,($A20='Thang 05-2026'!$A$3:$A$102)*($G20='Thang 05-2026'!$C$3:$C$102),0),11)=0),1,0))</f>
        <v>0</v>
      </c>
      <c r="E20">
        <f t="array" ref="E20">IF(AND(INDEX('Thang 05-2026'!$A$3:$Q$102,MATCH(1,($A20='Thang 05-2026'!$A$3:$A$102)*($G20='Thang 05-2026'!$C$3:$C$102),0),15)=1,$B20="Triều Xuống"),1,IF(AND(INDEX('Thang 05-2026'!$A$3:$Q$102,MATCH(1,($A20='Thang 05-2026'!$A$3:$A$102)*($G20='Thang 05-2026'!$C$3:$C$102),0),14)=1,$B20="Triều Lên",INDEX('Thang 05-2026'!$A$3:$Q$102,MATCH(1,($A20='Thang 05-2026'!$A$3:$A$102)*($G20='Thang 05-2026'!$C$3:$C$102),0),15)=0),1,0))</f>
        <v>0</v>
      </c>
      <c r="F20">
        <f t="shared" si="0"/>
        <v>0</v>
      </c>
      <c r="G20">
        <f>INDEX('Thang 05-2026'!$A$3:$C$102,MATCH(A20,'Thang 05-2026'!$A$3:$A$102,0),3)</f>
        <v>26</v>
      </c>
    </row>
    <row r="21" spans="1:7" x14ac:dyDescent="0.2">
      <c r="A21" t="s">
        <v>101</v>
      </c>
      <c r="B21" t="s">
        <v>118</v>
      </c>
      <c r="C21">
        <v>1</v>
      </c>
      <c r="D21">
        <f t="array" ref="D21">IF(AND(INDEX('Thang 05-2026'!$A$3:$Q$102,MATCH(1,($A21='Thang 05-2026'!$A$3:$A$102)*($G21='Thang 05-2026'!$C$3:$C$102),0),11)=1,$B21="Triều Xuống"),1,IF(AND(INDEX('Thang 05-2026'!$A$3:$Q$102,MATCH(1,($A21='Thang 05-2026'!$A$3:$A$102)*($G21='Thang 05-2026'!$C$3:$C$102),0),10)=1,$B21="Triều Lên",INDEX('Thang 05-2026'!$A$3:$Q$102,MATCH(1,($A21='Thang 05-2026'!$A$3:$A$102)*($G21='Thang 05-2026'!$C$3:$C$102),0),11)=0),1,0))</f>
        <v>0</v>
      </c>
      <c r="E21">
        <f t="array" ref="E21">IF(AND(INDEX('Thang 05-2026'!$A$3:$Q$102,MATCH(1,($A21='Thang 05-2026'!$A$3:$A$102)*($G21='Thang 05-2026'!$C$3:$C$102),0),15)=1,$B21="Triều Xuống"),1,IF(AND(INDEX('Thang 05-2026'!$A$3:$Q$102,MATCH(1,($A21='Thang 05-2026'!$A$3:$A$102)*($G21='Thang 05-2026'!$C$3:$C$102),0),14)=1,$B21="Triều Lên",INDEX('Thang 05-2026'!$A$3:$Q$102,MATCH(1,($A21='Thang 05-2026'!$A$3:$A$102)*($G21='Thang 05-2026'!$C$3:$C$102),0),15)=0),1,0))</f>
        <v>0</v>
      </c>
      <c r="F21">
        <f t="shared" si="0"/>
        <v>0</v>
      </c>
      <c r="G21">
        <f>INDEX('Thang 05-2026'!$A$3:$C$102,MATCH(A21,'Thang 05-2026'!$A$3:$A$102,0),3)</f>
        <v>26</v>
      </c>
    </row>
    <row r="22" spans="1:7" x14ac:dyDescent="0.2">
      <c r="A22" t="s">
        <v>100</v>
      </c>
      <c r="B22" t="s">
        <v>121</v>
      </c>
      <c r="C22">
        <v>1</v>
      </c>
      <c r="D22">
        <f t="array" ref="D22">IF(AND(INDEX('Thang 05-2026'!$A$3:$Q$102,MATCH(1,($A22='Thang 05-2026'!$A$3:$A$102)*($G22='Thang 05-2026'!$C$3:$C$102),0),11)=1,$B22="Triều Xuống"),1,IF(AND(INDEX('Thang 05-2026'!$A$3:$Q$102,MATCH(1,($A22='Thang 05-2026'!$A$3:$A$102)*($G22='Thang 05-2026'!$C$3:$C$102),0),10)=1,$B22="Triều Lên",INDEX('Thang 05-2026'!$A$3:$Q$102,MATCH(1,($A22='Thang 05-2026'!$A$3:$A$102)*($G22='Thang 05-2026'!$C$3:$C$102),0),11)=0),1,0))</f>
        <v>0</v>
      </c>
      <c r="E22">
        <f t="array" ref="E22">IF(AND(INDEX('Thang 05-2026'!$A$3:$Q$102,MATCH(1,($A22='Thang 05-2026'!$A$3:$A$102)*($G22='Thang 05-2026'!$C$3:$C$102),0),15)=1,$B22="Triều Xuống"),1,IF(AND(INDEX('Thang 05-2026'!$A$3:$Q$102,MATCH(1,($A22='Thang 05-2026'!$A$3:$A$102)*($G22='Thang 05-2026'!$C$3:$C$102),0),14)=1,$B22="Triều Lên",INDEX('Thang 05-2026'!$A$3:$Q$102,MATCH(1,($A22='Thang 05-2026'!$A$3:$A$102)*($G22='Thang 05-2026'!$C$3:$C$102),0),15)=0),1,0))</f>
        <v>0</v>
      </c>
      <c r="F22">
        <f t="shared" si="0"/>
        <v>0</v>
      </c>
      <c r="G22">
        <f>INDEX('Thang 05-2026'!$A$3:$C$102,MATCH(A22,'Thang 05-2026'!$A$3:$A$102,0),3)</f>
        <v>26</v>
      </c>
    </row>
    <row r="23" spans="1:7" x14ac:dyDescent="0.2">
      <c r="A23" t="s">
        <v>101</v>
      </c>
      <c r="B23" t="s">
        <v>121</v>
      </c>
      <c r="C23">
        <v>1</v>
      </c>
      <c r="D23">
        <f t="array" ref="D23">IF(AND(INDEX('Thang 05-2026'!$A$3:$Q$102,MATCH(1,($A23='Thang 05-2026'!$A$3:$A$102)*($G23='Thang 05-2026'!$C$3:$C$102),0),11)=1,$B23="Triều Xuống"),1,IF(AND(INDEX('Thang 05-2026'!$A$3:$Q$102,MATCH(1,($A23='Thang 05-2026'!$A$3:$A$102)*($G23='Thang 05-2026'!$C$3:$C$102),0),10)=1,$B23="Triều Lên",INDEX('Thang 05-2026'!$A$3:$Q$102,MATCH(1,($A23='Thang 05-2026'!$A$3:$A$102)*($G23='Thang 05-2026'!$C$3:$C$102),0),11)=0),1,0))</f>
        <v>0</v>
      </c>
      <c r="E23">
        <f t="array" ref="E23">IF(AND(INDEX('Thang 05-2026'!$A$3:$Q$102,MATCH(1,($A23='Thang 05-2026'!$A$3:$A$102)*($G23='Thang 05-2026'!$C$3:$C$102),0),15)=1,$B23="Triều Xuống"),1,IF(AND(INDEX('Thang 05-2026'!$A$3:$Q$102,MATCH(1,($A23='Thang 05-2026'!$A$3:$A$102)*($G23='Thang 05-2026'!$C$3:$C$102),0),14)=1,$B23="Triều Lên",INDEX('Thang 05-2026'!$A$3:$Q$102,MATCH(1,($A23='Thang 05-2026'!$A$3:$A$102)*($G23='Thang 05-2026'!$C$3:$C$102),0),15)=0),1,0))</f>
        <v>0</v>
      </c>
      <c r="F23">
        <f t="shared" si="0"/>
        <v>0</v>
      </c>
      <c r="G23">
        <f>INDEX('Thang 05-2026'!$A$3:$C$102,MATCH(A23,'Thang 05-2026'!$A$3:$A$102,0),3)</f>
        <v>26</v>
      </c>
    </row>
    <row r="24" spans="1:7" x14ac:dyDescent="0.2">
      <c r="A24" t="s">
        <v>107</v>
      </c>
      <c r="B24" t="s">
        <v>118</v>
      </c>
      <c r="C24">
        <v>1</v>
      </c>
      <c r="D24">
        <f t="array" ref="D24">IF(AND(INDEX('Thang 05-2026'!$A$3:$Q$102,MATCH(1,($A24='Thang 05-2026'!$A$3:$A$102)*($G24='Thang 05-2026'!$C$3:$C$102),0),11)=1,$B24="Triều Xuống"),1,IF(AND(INDEX('Thang 05-2026'!$A$3:$Q$102,MATCH(1,($A24='Thang 05-2026'!$A$3:$A$102)*($G24='Thang 05-2026'!$C$3:$C$102),0),10)=1,$B24="Triều Lên",INDEX('Thang 05-2026'!$A$3:$Q$102,MATCH(1,($A24='Thang 05-2026'!$A$3:$A$102)*($G24='Thang 05-2026'!$C$3:$C$102),0),11)=0),1,0))</f>
        <v>0</v>
      </c>
      <c r="E24">
        <f t="array" ref="E24">IF(AND(INDEX('Thang 05-2026'!$A$3:$Q$102,MATCH(1,($A24='Thang 05-2026'!$A$3:$A$102)*($G24='Thang 05-2026'!$C$3:$C$102),0),15)=1,$B24="Triều Xuống"),1,IF(AND(INDEX('Thang 05-2026'!$A$3:$Q$102,MATCH(1,($A24='Thang 05-2026'!$A$3:$A$102)*($G24='Thang 05-2026'!$C$3:$C$102),0),14)=1,$B24="Triều Lên",INDEX('Thang 05-2026'!$A$3:$Q$102,MATCH(1,($A24='Thang 05-2026'!$A$3:$A$102)*($G24='Thang 05-2026'!$C$3:$C$102),0),15)=0),1,0))</f>
        <v>0</v>
      </c>
      <c r="F24">
        <f t="shared" si="0"/>
        <v>0</v>
      </c>
      <c r="G24">
        <f>INDEX('Thang 05-2026'!$A$3:$C$102,MATCH(A24,'Thang 05-2026'!$A$3:$A$102,0),3)</f>
        <v>27</v>
      </c>
    </row>
    <row r="25" spans="1:7" x14ac:dyDescent="0.2">
      <c r="A25" t="s">
        <v>108</v>
      </c>
      <c r="B25" t="s">
        <v>118</v>
      </c>
      <c r="C25">
        <v>1</v>
      </c>
      <c r="D25">
        <f t="array" ref="D25">IF(AND(INDEX('Thang 05-2026'!$A$3:$Q$102,MATCH(1,($A25='Thang 05-2026'!$A$3:$A$102)*($G25='Thang 05-2026'!$C$3:$C$102),0),11)=1,$B25="Triều Xuống"),1,IF(AND(INDEX('Thang 05-2026'!$A$3:$Q$102,MATCH(1,($A25='Thang 05-2026'!$A$3:$A$102)*($G25='Thang 05-2026'!$C$3:$C$102),0),10)=1,$B25="Triều Lên",INDEX('Thang 05-2026'!$A$3:$Q$102,MATCH(1,($A25='Thang 05-2026'!$A$3:$A$102)*($G25='Thang 05-2026'!$C$3:$C$102),0),11)=0),1,0))</f>
        <v>0</v>
      </c>
      <c r="E25">
        <f t="array" ref="E25">IF(AND(INDEX('Thang 05-2026'!$A$3:$Q$102,MATCH(1,($A25='Thang 05-2026'!$A$3:$A$102)*($G25='Thang 05-2026'!$C$3:$C$102),0),15)=1,$B25="Triều Xuống"),1,IF(AND(INDEX('Thang 05-2026'!$A$3:$Q$102,MATCH(1,($A25='Thang 05-2026'!$A$3:$A$102)*($G25='Thang 05-2026'!$C$3:$C$102),0),14)=1,$B25="Triều Lên",INDEX('Thang 05-2026'!$A$3:$Q$102,MATCH(1,($A25='Thang 05-2026'!$A$3:$A$102)*($G25='Thang 05-2026'!$C$3:$C$102),0),15)=0),1,0))</f>
        <v>0</v>
      </c>
      <c r="F25">
        <f t="shared" si="0"/>
        <v>0</v>
      </c>
      <c r="G25">
        <f>INDEX('Thang 05-2026'!$A$3:$C$102,MATCH(A25,'Thang 05-2026'!$A$3:$A$102,0),3)</f>
        <v>27</v>
      </c>
    </row>
    <row r="26" spans="1:7" x14ac:dyDescent="0.2">
      <c r="A26" t="s">
        <v>109</v>
      </c>
      <c r="B26" t="s">
        <v>118</v>
      </c>
      <c r="C26">
        <v>1</v>
      </c>
      <c r="D26">
        <f t="array" ref="D26">IF(AND(INDEX('Thang 05-2026'!$A$3:$Q$102,MATCH(1,($A26='Thang 05-2026'!$A$3:$A$102)*($G26='Thang 05-2026'!$C$3:$C$102),0),11)=1,$B26="Triều Xuống"),1,IF(AND(INDEX('Thang 05-2026'!$A$3:$Q$102,MATCH(1,($A26='Thang 05-2026'!$A$3:$A$102)*($G26='Thang 05-2026'!$C$3:$C$102),0),10)=1,$B26="Triều Lên",INDEX('Thang 05-2026'!$A$3:$Q$102,MATCH(1,($A26='Thang 05-2026'!$A$3:$A$102)*($G26='Thang 05-2026'!$C$3:$C$102),0),11)=0),1,0))</f>
        <v>0</v>
      </c>
      <c r="E26">
        <f t="array" ref="E26">IF(AND(INDEX('Thang 05-2026'!$A$3:$Q$102,MATCH(1,($A26='Thang 05-2026'!$A$3:$A$102)*($G26='Thang 05-2026'!$C$3:$C$102),0),15)=1,$B26="Triều Xuống"),1,IF(AND(INDEX('Thang 05-2026'!$A$3:$Q$102,MATCH(1,($A26='Thang 05-2026'!$A$3:$A$102)*($G26='Thang 05-2026'!$C$3:$C$102),0),14)=1,$B26="Triều Lên",INDEX('Thang 05-2026'!$A$3:$Q$102,MATCH(1,($A26='Thang 05-2026'!$A$3:$A$102)*($G26='Thang 05-2026'!$C$3:$C$102),0),15)=0),1,0))</f>
        <v>0</v>
      </c>
      <c r="F26">
        <f t="shared" si="0"/>
        <v>0</v>
      </c>
      <c r="G26">
        <f>INDEX('Thang 05-2026'!$A$3:$C$102,MATCH(A26,'Thang 05-2026'!$A$3:$A$102,0),3)</f>
        <v>27</v>
      </c>
    </row>
    <row r="27" spans="1:7" x14ac:dyDescent="0.2">
      <c r="A27" t="s">
        <v>107</v>
      </c>
      <c r="B27" t="s">
        <v>121</v>
      </c>
      <c r="C27">
        <v>1</v>
      </c>
      <c r="D27">
        <f t="array" ref="D27">IF(AND(INDEX('Thang 05-2026'!$A$3:$Q$102,MATCH(1,($A27='Thang 05-2026'!$A$3:$A$102)*($G27='Thang 05-2026'!$C$3:$C$102),0),11)=1,$B27="Triều Xuống"),1,IF(AND(INDEX('Thang 05-2026'!$A$3:$Q$102,MATCH(1,($A27='Thang 05-2026'!$A$3:$A$102)*($G27='Thang 05-2026'!$C$3:$C$102),0),10)=1,$B27="Triều Lên",INDEX('Thang 05-2026'!$A$3:$Q$102,MATCH(1,($A27='Thang 05-2026'!$A$3:$A$102)*($G27='Thang 05-2026'!$C$3:$C$102),0),11)=0),1,0))</f>
        <v>0</v>
      </c>
      <c r="E27">
        <f t="array" ref="E27">IF(AND(INDEX('Thang 05-2026'!$A$3:$Q$102,MATCH(1,($A27='Thang 05-2026'!$A$3:$A$102)*($G27='Thang 05-2026'!$C$3:$C$102),0),15)=1,$B27="Triều Xuống"),1,IF(AND(INDEX('Thang 05-2026'!$A$3:$Q$102,MATCH(1,($A27='Thang 05-2026'!$A$3:$A$102)*($G27='Thang 05-2026'!$C$3:$C$102),0),14)=1,$B27="Triều Lên",INDEX('Thang 05-2026'!$A$3:$Q$102,MATCH(1,($A27='Thang 05-2026'!$A$3:$A$102)*($G27='Thang 05-2026'!$C$3:$C$102),0),15)=0),1,0))</f>
        <v>0</v>
      </c>
      <c r="F27">
        <f t="shared" si="0"/>
        <v>0</v>
      </c>
      <c r="G27">
        <f>INDEX('Thang 05-2026'!$A$3:$C$102,MATCH(A27,'Thang 05-2026'!$A$3:$A$102,0),3)</f>
        <v>27</v>
      </c>
    </row>
    <row r="28" spans="1:7" x14ac:dyDescent="0.2">
      <c r="A28" t="s">
        <v>108</v>
      </c>
      <c r="B28" t="s">
        <v>121</v>
      </c>
      <c r="C28">
        <v>1</v>
      </c>
      <c r="D28">
        <f t="array" ref="D28">IF(AND(INDEX('Thang 05-2026'!$A$3:$Q$102,MATCH(1,($A28='Thang 05-2026'!$A$3:$A$102)*($G28='Thang 05-2026'!$C$3:$C$102),0),11)=1,$B28="Triều Xuống"),1,IF(AND(INDEX('Thang 05-2026'!$A$3:$Q$102,MATCH(1,($A28='Thang 05-2026'!$A$3:$A$102)*($G28='Thang 05-2026'!$C$3:$C$102),0),10)=1,$B28="Triều Lên",INDEX('Thang 05-2026'!$A$3:$Q$102,MATCH(1,($A28='Thang 05-2026'!$A$3:$A$102)*($G28='Thang 05-2026'!$C$3:$C$102),0),11)=0),1,0))</f>
        <v>0</v>
      </c>
      <c r="E28">
        <f t="array" ref="E28">IF(AND(INDEX('Thang 05-2026'!$A$3:$Q$102,MATCH(1,($A28='Thang 05-2026'!$A$3:$A$102)*($G28='Thang 05-2026'!$C$3:$C$102),0),15)=1,$B28="Triều Xuống"),1,IF(AND(INDEX('Thang 05-2026'!$A$3:$Q$102,MATCH(1,($A28='Thang 05-2026'!$A$3:$A$102)*($G28='Thang 05-2026'!$C$3:$C$102),0),14)=1,$B28="Triều Lên",INDEX('Thang 05-2026'!$A$3:$Q$102,MATCH(1,($A28='Thang 05-2026'!$A$3:$A$102)*($G28='Thang 05-2026'!$C$3:$C$102),0),15)=0),1,0))</f>
        <v>0</v>
      </c>
      <c r="F28">
        <f t="shared" si="0"/>
        <v>0</v>
      </c>
      <c r="G28">
        <f>INDEX('Thang 05-2026'!$A$3:$C$102,MATCH(A28,'Thang 05-2026'!$A$3:$A$102,0),3)</f>
        <v>27</v>
      </c>
    </row>
    <row r="29" spans="1:7" x14ac:dyDescent="0.2">
      <c r="A29" t="s">
        <v>109</v>
      </c>
      <c r="B29" t="s">
        <v>121</v>
      </c>
      <c r="C29">
        <v>1</v>
      </c>
      <c r="D29">
        <f t="array" ref="D29">IF(AND(INDEX('Thang 05-2026'!$A$3:$Q$102,MATCH(1,($A29='Thang 05-2026'!$A$3:$A$102)*($G29='Thang 05-2026'!$C$3:$C$102),0),11)=1,$B29="Triều Xuống"),1,IF(AND(INDEX('Thang 05-2026'!$A$3:$Q$102,MATCH(1,($A29='Thang 05-2026'!$A$3:$A$102)*($G29='Thang 05-2026'!$C$3:$C$102),0),10)=1,$B29="Triều Lên",INDEX('Thang 05-2026'!$A$3:$Q$102,MATCH(1,($A29='Thang 05-2026'!$A$3:$A$102)*($G29='Thang 05-2026'!$C$3:$C$102),0),11)=0),1,0))</f>
        <v>0</v>
      </c>
      <c r="E29">
        <f t="array" ref="E29">IF(AND(INDEX('Thang 05-2026'!$A$3:$Q$102,MATCH(1,($A29='Thang 05-2026'!$A$3:$A$102)*($G29='Thang 05-2026'!$C$3:$C$102),0),15)=1,$B29="Triều Xuống"),1,IF(AND(INDEX('Thang 05-2026'!$A$3:$Q$102,MATCH(1,($A29='Thang 05-2026'!$A$3:$A$102)*($G29='Thang 05-2026'!$C$3:$C$102),0),14)=1,$B29="Triều Lên",INDEX('Thang 05-2026'!$A$3:$Q$102,MATCH(1,($A29='Thang 05-2026'!$A$3:$A$102)*($G29='Thang 05-2026'!$C$3:$C$102),0),15)=0),1,0))</f>
        <v>0</v>
      </c>
      <c r="F29">
        <f t="shared" si="0"/>
        <v>0</v>
      </c>
      <c r="G29">
        <f>INDEX('Thang 05-2026'!$A$3:$C$102,MATCH(A29,'Thang 05-2026'!$A$3:$A$102,0),3)</f>
        <v>27</v>
      </c>
    </row>
  </sheetData>
  <autoFilter ref="A1:G1" xr:uid="{1FF83CD1-6B66-488C-B2E6-0B1BF6DB2AA2}">
    <sortState xmlns:xlrd2="http://schemas.microsoft.com/office/spreadsheetml/2017/richdata2" ref="A2:G29">
      <sortCondition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Thang 05-2026</vt:lpstr>
      <vt:lpstr>CS2</vt:lpstr>
      <vt:lpstr>CS3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Nguyễn Cao Phương</dc:creator>
  <cp:lastModifiedBy>Huỳnh Nguyễn Cao Phương</cp:lastModifiedBy>
  <dcterms:created xsi:type="dcterms:W3CDTF">2026-05-01T14:16:47Z</dcterms:created>
  <dcterms:modified xsi:type="dcterms:W3CDTF">2026-05-01T15:20:27Z</dcterms:modified>
</cp:coreProperties>
</file>