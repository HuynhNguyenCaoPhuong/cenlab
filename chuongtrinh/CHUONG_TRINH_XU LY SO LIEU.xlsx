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ool\cenlab\chuongtrinh\"/>
    </mc:Choice>
  </mc:AlternateContent>
  <xr:revisionPtr revIDLastSave="0" documentId="13_ncr:1_{56B3AFC2-4668-4FA3-B6C8-6AFAF30D6916}" xr6:coauthVersionLast="47" xr6:coauthVersionMax="47" xr10:uidLastSave="{00000000-0000-0000-0000-000000000000}"/>
  <bookViews>
    <workbookView xWindow="-120" yWindow="-120" windowWidth="29040" windowHeight="15720" activeTab="5" xr2:uid="{4D8D62DD-8981-4D4E-8BE6-33C7EA610275}"/>
  </bookViews>
  <sheets>
    <sheet name="Thang 05-2026" sheetId="1" r:id="rId1"/>
    <sheet name="CS2_OLD" sheetId="2" r:id="rId2"/>
    <sheet name="CS3_OLD" sheetId="3" r:id="rId3"/>
    <sheet name="TONG HOP DIA DIEM" sheetId="4" r:id="rId4"/>
    <sheet name="CS2_NEW" sheetId="5" r:id="rId5"/>
    <sheet name="REMOVE_DUPLICATES" sheetId="7" r:id="rId6"/>
    <sheet name="CS3_NEW" sheetId="6" r:id="rId7"/>
  </sheets>
  <definedNames>
    <definedName name="_xlnm._FilterDatabase" localSheetId="4" hidden="1">CS2_NEW!$A$1:$G$1</definedName>
    <definedName name="_xlnm._FilterDatabase" localSheetId="1" hidden="1">CS2_OLD!$A$1:$G$1</definedName>
    <definedName name="_xlnm._FilterDatabase" localSheetId="6" hidden="1">CS3_NEW!$A$1:$G$1</definedName>
    <definedName name="_xlnm._FilterDatabase" localSheetId="2" hidden="1">CS3_OLD!$A$1:$G$1</definedName>
    <definedName name="_xlnm._FilterDatabase" localSheetId="5" hidden="1">REMOVE_DUPLICATES!$G$20:$G$28</definedName>
    <definedName name="_xlnm._FilterDatabase" localSheetId="0" hidden="1">'Thang 05-2026'!$A$1:$S$106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9" i="6" l="1"/>
  <c r="P119" i="6"/>
  <c r="O119" i="6"/>
  <c r="Q118" i="6"/>
  <c r="P118" i="6"/>
  <c r="O118" i="6"/>
  <c r="Q117" i="6"/>
  <c r="P117" i="6"/>
  <c r="O117" i="6"/>
  <c r="Q116" i="6"/>
  <c r="P116" i="6"/>
  <c r="O116" i="6"/>
  <c r="Q115" i="6"/>
  <c r="P115" i="6"/>
  <c r="O115" i="6"/>
  <c r="Q114" i="6"/>
  <c r="P114" i="6"/>
  <c r="O114" i="6"/>
  <c r="Q113" i="6"/>
  <c r="P113" i="6"/>
  <c r="O113" i="6"/>
  <c r="Q112" i="6"/>
  <c r="P112" i="6"/>
  <c r="O112" i="6"/>
  <c r="Q111" i="6"/>
  <c r="P111" i="6"/>
  <c r="O111" i="6"/>
  <c r="Q110" i="6"/>
  <c r="P110" i="6"/>
  <c r="O110" i="6"/>
  <c r="Q109" i="6"/>
  <c r="P109" i="6"/>
  <c r="O109" i="6"/>
  <c r="Q108" i="6"/>
  <c r="P108" i="6"/>
  <c r="O108" i="6"/>
  <c r="Q107" i="6"/>
  <c r="P107" i="6"/>
  <c r="O107" i="6"/>
  <c r="Q106" i="6"/>
  <c r="P106" i="6"/>
  <c r="O106" i="6"/>
  <c r="Q105" i="6"/>
  <c r="P105" i="6"/>
  <c r="O105" i="6"/>
  <c r="Q104" i="6"/>
  <c r="P104" i="6"/>
  <c r="O104" i="6"/>
  <c r="Q103" i="6"/>
  <c r="P103" i="6"/>
  <c r="O103" i="6"/>
  <c r="Q102" i="6"/>
  <c r="P102" i="6"/>
  <c r="O102" i="6"/>
  <c r="Q101" i="6"/>
  <c r="P101" i="6"/>
  <c r="O101" i="6"/>
  <c r="Q100" i="6"/>
  <c r="P100" i="6"/>
  <c r="O100" i="6"/>
  <c r="Q99" i="6"/>
  <c r="P99" i="6"/>
  <c r="O99" i="6"/>
  <c r="Q98" i="6"/>
  <c r="P98" i="6"/>
  <c r="O98" i="6"/>
  <c r="Q97" i="6"/>
  <c r="P97" i="6"/>
  <c r="O97" i="6"/>
  <c r="Q96" i="6"/>
  <c r="P96" i="6"/>
  <c r="O96" i="6"/>
  <c r="Q95" i="6"/>
  <c r="P95" i="6"/>
  <c r="O95" i="6"/>
  <c r="Q94" i="6"/>
  <c r="P94" i="6"/>
  <c r="O94" i="6"/>
  <c r="Q93" i="6"/>
  <c r="P93" i="6"/>
  <c r="O93" i="6"/>
  <c r="Q92" i="6"/>
  <c r="P92" i="6"/>
  <c r="O92" i="6"/>
  <c r="Q91" i="6"/>
  <c r="P91" i="6"/>
  <c r="O91" i="6"/>
  <c r="Q90" i="6"/>
  <c r="P90" i="6"/>
  <c r="O90" i="6"/>
  <c r="Q89" i="6"/>
  <c r="P89" i="6"/>
  <c r="O89" i="6"/>
  <c r="Q88" i="6"/>
  <c r="P88" i="6"/>
  <c r="O88" i="6"/>
  <c r="Q87" i="6"/>
  <c r="P87" i="6"/>
  <c r="O87" i="6"/>
  <c r="Q86" i="6"/>
  <c r="P86" i="6"/>
  <c r="O86" i="6"/>
  <c r="Q85" i="6"/>
  <c r="P85" i="6"/>
  <c r="O85" i="6"/>
  <c r="Q84" i="6"/>
  <c r="P84" i="6"/>
  <c r="O84" i="6"/>
  <c r="Q83" i="6"/>
  <c r="P83" i="6"/>
  <c r="O83" i="6"/>
  <c r="Q82" i="6"/>
  <c r="P82" i="6"/>
  <c r="O82" i="6"/>
  <c r="Q81" i="6"/>
  <c r="P81" i="6"/>
  <c r="O81" i="6"/>
  <c r="Q80" i="6"/>
  <c r="P80" i="6"/>
  <c r="O80" i="6"/>
  <c r="Q79" i="6"/>
  <c r="P79" i="6"/>
  <c r="O79" i="6"/>
  <c r="Q78" i="6"/>
  <c r="P78" i="6"/>
  <c r="O78" i="6"/>
  <c r="Q77" i="6"/>
  <c r="P77" i="6"/>
  <c r="O77" i="6"/>
  <c r="Q76" i="6"/>
  <c r="P76" i="6"/>
  <c r="O76" i="6"/>
  <c r="Q75" i="6"/>
  <c r="P75" i="6"/>
  <c r="O75" i="6"/>
  <c r="Q74" i="6"/>
  <c r="P74" i="6"/>
  <c r="O74" i="6"/>
  <c r="Q73" i="6"/>
  <c r="P73" i="6"/>
  <c r="O73" i="6"/>
  <c r="Q72" i="6"/>
  <c r="P72" i="6"/>
  <c r="O72" i="6"/>
  <c r="Q71" i="6"/>
  <c r="P71" i="6"/>
  <c r="O71" i="6"/>
  <c r="Q70" i="6"/>
  <c r="P70" i="6"/>
  <c r="O70" i="6"/>
  <c r="Q69" i="6"/>
  <c r="P69" i="6"/>
  <c r="O69" i="6"/>
  <c r="Q68" i="6"/>
  <c r="P68" i="6"/>
  <c r="O68" i="6"/>
  <c r="Q67" i="6"/>
  <c r="P67" i="6"/>
  <c r="O67" i="6"/>
  <c r="Q66" i="6"/>
  <c r="P66" i="6"/>
  <c r="O66" i="6"/>
  <c r="Q65" i="6"/>
  <c r="P65" i="6"/>
  <c r="O65" i="6"/>
  <c r="Q64" i="6"/>
  <c r="P64" i="6"/>
  <c r="O64" i="6"/>
  <c r="Q63" i="6"/>
  <c r="P63" i="6"/>
  <c r="O63" i="6"/>
  <c r="Q62" i="6"/>
  <c r="P62" i="6"/>
  <c r="O62" i="6"/>
  <c r="Q61" i="6"/>
  <c r="P61" i="6"/>
  <c r="O61" i="6"/>
  <c r="Q60" i="6"/>
  <c r="P60" i="6"/>
  <c r="O60" i="6"/>
  <c r="Q59" i="6"/>
  <c r="P59" i="6"/>
  <c r="O59" i="6"/>
  <c r="Q58" i="6"/>
  <c r="P58" i="6"/>
  <c r="O58" i="6"/>
  <c r="Q57" i="6"/>
  <c r="P57" i="6"/>
  <c r="O57" i="6"/>
  <c r="Q56" i="6"/>
  <c r="P56" i="6"/>
  <c r="O56" i="6"/>
  <c r="Q55" i="6"/>
  <c r="P55" i="6"/>
  <c r="O55" i="6"/>
  <c r="Q54" i="6"/>
  <c r="P54" i="6"/>
  <c r="O54" i="6"/>
  <c r="Q53" i="6"/>
  <c r="P53" i="6"/>
  <c r="O53" i="6"/>
  <c r="Q52" i="6"/>
  <c r="P52" i="6"/>
  <c r="O52" i="6"/>
  <c r="Q51" i="6"/>
  <c r="P51" i="6"/>
  <c r="O51" i="6"/>
  <c r="Q50" i="6"/>
  <c r="P50" i="6"/>
  <c r="O50" i="6"/>
  <c r="Q49" i="6"/>
  <c r="P49" i="6"/>
  <c r="O49" i="6"/>
  <c r="Q48" i="6"/>
  <c r="P48" i="6"/>
  <c r="O48" i="6"/>
  <c r="Q47" i="6"/>
  <c r="P47" i="6"/>
  <c r="O47" i="6"/>
  <c r="Q46" i="6"/>
  <c r="P46" i="6"/>
  <c r="O46" i="6"/>
  <c r="Q45" i="6"/>
  <c r="P45" i="6"/>
  <c r="O45" i="6"/>
  <c r="Q44" i="6"/>
  <c r="P44" i="6"/>
  <c r="O44" i="6"/>
  <c r="Q43" i="6"/>
  <c r="P43" i="6"/>
  <c r="O43" i="6"/>
  <c r="Q42" i="6"/>
  <c r="P42" i="6"/>
  <c r="O42" i="6"/>
  <c r="Q41" i="6"/>
  <c r="P41" i="6"/>
  <c r="O41" i="6"/>
  <c r="Q40" i="6"/>
  <c r="P40" i="6"/>
  <c r="O40" i="6"/>
  <c r="Q39" i="6"/>
  <c r="P39" i="6"/>
  <c r="O39" i="6"/>
  <c r="Q38" i="6"/>
  <c r="P38" i="6"/>
  <c r="O38" i="6"/>
  <c r="Q37" i="6"/>
  <c r="P37" i="6"/>
  <c r="O37" i="6"/>
  <c r="Q36" i="6"/>
  <c r="P36" i="6"/>
  <c r="O36" i="6"/>
  <c r="Q35" i="6"/>
  <c r="P35" i="6"/>
  <c r="O35" i="6"/>
  <c r="Q34" i="6"/>
  <c r="P34" i="6"/>
  <c r="O34" i="6"/>
  <c r="Q33" i="6"/>
  <c r="P33" i="6"/>
  <c r="O33" i="6"/>
  <c r="Q32" i="6"/>
  <c r="P32" i="6"/>
  <c r="O32" i="6"/>
  <c r="Q31" i="6"/>
  <c r="P31" i="6"/>
  <c r="O31" i="6"/>
  <c r="Q30" i="6"/>
  <c r="P30" i="6"/>
  <c r="O30" i="6"/>
  <c r="Q29" i="6"/>
  <c r="P29" i="6"/>
  <c r="O29" i="6"/>
  <c r="Q28" i="6"/>
  <c r="P28" i="6"/>
  <c r="O28" i="6"/>
  <c r="Q27" i="6"/>
  <c r="P27" i="6"/>
  <c r="O27" i="6"/>
  <c r="Q26" i="6"/>
  <c r="P26" i="6"/>
  <c r="O26" i="6"/>
  <c r="Q25" i="6"/>
  <c r="P25" i="6"/>
  <c r="O25" i="6"/>
  <c r="Q24" i="6"/>
  <c r="P24" i="6"/>
  <c r="O24" i="6"/>
  <c r="Q23" i="6"/>
  <c r="P23" i="6"/>
  <c r="O23" i="6"/>
  <c r="Q22" i="6"/>
  <c r="P22" i="6"/>
  <c r="O22" i="6"/>
  <c r="Q21" i="6"/>
  <c r="P21" i="6"/>
  <c r="O21" i="6"/>
  <c r="Q20" i="6"/>
  <c r="P20" i="6"/>
  <c r="O20" i="6"/>
  <c r="Q19" i="6"/>
  <c r="P19" i="6"/>
  <c r="O19" i="6"/>
  <c r="Q18" i="6"/>
  <c r="P18" i="6"/>
  <c r="O18" i="6"/>
  <c r="Q17" i="6"/>
  <c r="P17" i="6"/>
  <c r="O17" i="6"/>
  <c r="Q16" i="6"/>
  <c r="P16" i="6"/>
  <c r="O16" i="6"/>
  <c r="Q15" i="6"/>
  <c r="P15" i="6"/>
  <c r="O15" i="6"/>
  <c r="Q14" i="6"/>
  <c r="P14" i="6"/>
  <c r="O14" i="6"/>
  <c r="Q13" i="6"/>
  <c r="P13" i="6"/>
  <c r="O13" i="6"/>
  <c r="Q12" i="6"/>
  <c r="P12" i="6"/>
  <c r="O12" i="6"/>
  <c r="Q11" i="6"/>
  <c r="P11" i="6"/>
  <c r="O11" i="6"/>
  <c r="Q10" i="6"/>
  <c r="P10" i="6"/>
  <c r="O10" i="6"/>
  <c r="Q9" i="6"/>
  <c r="P9" i="6"/>
  <c r="O9" i="6"/>
  <c r="Q8" i="6"/>
  <c r="P8" i="6"/>
  <c r="O8" i="6"/>
  <c r="Q7" i="6"/>
  <c r="P7" i="6"/>
  <c r="O7" i="6"/>
  <c r="Q6" i="6"/>
  <c r="P6" i="6"/>
  <c r="O6" i="6"/>
  <c r="Q5" i="6"/>
  <c r="P5" i="6"/>
  <c r="O5" i="6"/>
  <c r="Q4" i="6"/>
  <c r="P4" i="6"/>
  <c r="O4" i="6"/>
  <c r="Q3" i="6"/>
  <c r="P3" i="6"/>
  <c r="O3" i="6"/>
  <c r="Q2" i="6"/>
  <c r="P2" i="6"/>
  <c r="O2" i="6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N29" i="6"/>
  <c r="J29" i="6"/>
  <c r="N28" i="6"/>
  <c r="J28" i="6"/>
  <c r="N27" i="6"/>
  <c r="J27" i="6"/>
  <c r="N26" i="6"/>
  <c r="J26" i="6"/>
  <c r="N25" i="6"/>
  <c r="J25" i="6"/>
  <c r="N24" i="6"/>
  <c r="J24" i="6"/>
  <c r="N23" i="6"/>
  <c r="J23" i="6"/>
  <c r="N22" i="6"/>
  <c r="J22" i="6"/>
  <c r="N21" i="6"/>
  <c r="J21" i="6"/>
  <c r="N20" i="6"/>
  <c r="J20" i="6"/>
  <c r="N19" i="6"/>
  <c r="J19" i="6"/>
  <c r="N18" i="6"/>
  <c r="J18" i="6"/>
  <c r="N17" i="6"/>
  <c r="J17" i="6"/>
  <c r="N16" i="6"/>
  <c r="J16" i="6"/>
  <c r="N15" i="6"/>
  <c r="J15" i="6"/>
  <c r="N14" i="6"/>
  <c r="J14" i="6"/>
  <c r="N13" i="6"/>
  <c r="J13" i="6"/>
  <c r="N12" i="6"/>
  <c r="J12" i="6"/>
  <c r="N11" i="6"/>
  <c r="J11" i="6"/>
  <c r="N10" i="6"/>
  <c r="J10" i="6"/>
  <c r="N9" i="6"/>
  <c r="J9" i="6"/>
  <c r="N8" i="6"/>
  <c r="J8" i="6"/>
  <c r="N7" i="6"/>
  <c r="J7" i="6"/>
  <c r="N6" i="6"/>
  <c r="J6" i="6"/>
  <c r="N5" i="6"/>
  <c r="J5" i="6"/>
  <c r="N4" i="6"/>
  <c r="J4" i="6"/>
  <c r="N3" i="6"/>
  <c r="J3" i="6"/>
  <c r="N2" i="6"/>
  <c r="J2" i="6"/>
  <c r="N119" i="5"/>
  <c r="J119" i="5"/>
  <c r="N118" i="5"/>
  <c r="J118" i="5"/>
  <c r="N117" i="5"/>
  <c r="J117" i="5"/>
  <c r="N116" i="5"/>
  <c r="J116" i="5"/>
  <c r="N115" i="5"/>
  <c r="J115" i="5"/>
  <c r="N114" i="5"/>
  <c r="J114" i="5"/>
  <c r="N113" i="5"/>
  <c r="J113" i="5"/>
  <c r="N112" i="5"/>
  <c r="J112" i="5"/>
  <c r="N111" i="5"/>
  <c r="J111" i="5"/>
  <c r="N110" i="5"/>
  <c r="J110" i="5"/>
  <c r="N109" i="5"/>
  <c r="J109" i="5"/>
  <c r="N108" i="5"/>
  <c r="J108" i="5"/>
  <c r="N107" i="5"/>
  <c r="J107" i="5"/>
  <c r="N106" i="5"/>
  <c r="J106" i="5"/>
  <c r="N105" i="5"/>
  <c r="J105" i="5"/>
  <c r="N104" i="5"/>
  <c r="J104" i="5"/>
  <c r="N103" i="5"/>
  <c r="J103" i="5"/>
  <c r="N102" i="5"/>
  <c r="J102" i="5"/>
  <c r="N101" i="5"/>
  <c r="J101" i="5"/>
  <c r="N100" i="5"/>
  <c r="J100" i="5"/>
  <c r="N99" i="5"/>
  <c r="J99" i="5"/>
  <c r="N98" i="5"/>
  <c r="J98" i="5"/>
  <c r="N97" i="5"/>
  <c r="J97" i="5"/>
  <c r="N96" i="5"/>
  <c r="J96" i="5"/>
  <c r="N95" i="5"/>
  <c r="J95" i="5"/>
  <c r="N94" i="5"/>
  <c r="J94" i="5"/>
  <c r="N93" i="5"/>
  <c r="J93" i="5"/>
  <c r="N92" i="5"/>
  <c r="J92" i="5"/>
  <c r="N91" i="5"/>
  <c r="J91" i="5"/>
  <c r="N90" i="5"/>
  <c r="J90" i="5"/>
  <c r="N89" i="5"/>
  <c r="J89" i="5"/>
  <c r="N88" i="5"/>
  <c r="J88" i="5"/>
  <c r="N87" i="5"/>
  <c r="J87" i="5"/>
  <c r="N86" i="5"/>
  <c r="J86" i="5"/>
  <c r="N85" i="5"/>
  <c r="J85" i="5"/>
  <c r="N84" i="5"/>
  <c r="J84" i="5"/>
  <c r="N83" i="5"/>
  <c r="J83" i="5"/>
  <c r="N82" i="5"/>
  <c r="J82" i="5"/>
  <c r="N81" i="5"/>
  <c r="J81" i="5"/>
  <c r="N80" i="5"/>
  <c r="J80" i="5"/>
  <c r="N79" i="5"/>
  <c r="J79" i="5"/>
  <c r="N78" i="5"/>
  <c r="J78" i="5"/>
  <c r="N77" i="5"/>
  <c r="J77" i="5"/>
  <c r="N76" i="5"/>
  <c r="J76" i="5"/>
  <c r="N75" i="5"/>
  <c r="J75" i="5"/>
  <c r="N74" i="5"/>
  <c r="J74" i="5"/>
  <c r="N73" i="5"/>
  <c r="J73" i="5"/>
  <c r="N72" i="5"/>
  <c r="J72" i="5"/>
  <c r="N71" i="5"/>
  <c r="J71" i="5"/>
  <c r="N70" i="5"/>
  <c r="J70" i="5"/>
  <c r="N69" i="5"/>
  <c r="J69" i="5"/>
  <c r="N68" i="5"/>
  <c r="J68" i="5"/>
  <c r="N67" i="5"/>
  <c r="J67" i="5"/>
  <c r="N66" i="5"/>
  <c r="J66" i="5"/>
  <c r="N65" i="5"/>
  <c r="J65" i="5"/>
  <c r="N64" i="5"/>
  <c r="J64" i="5"/>
  <c r="N63" i="5"/>
  <c r="J63" i="5"/>
  <c r="N62" i="5"/>
  <c r="J62" i="5"/>
  <c r="N61" i="5"/>
  <c r="J61" i="5"/>
  <c r="N60" i="5"/>
  <c r="J60" i="5"/>
  <c r="N59" i="5"/>
  <c r="J59" i="5"/>
  <c r="N58" i="5"/>
  <c r="J58" i="5"/>
  <c r="N57" i="5"/>
  <c r="J57" i="5"/>
  <c r="N56" i="5"/>
  <c r="J56" i="5"/>
  <c r="N55" i="5"/>
  <c r="J55" i="5"/>
  <c r="N54" i="5"/>
  <c r="J54" i="5"/>
  <c r="N53" i="5"/>
  <c r="J53" i="5"/>
  <c r="N52" i="5"/>
  <c r="J52" i="5"/>
  <c r="N51" i="5"/>
  <c r="J51" i="5"/>
  <c r="N50" i="5"/>
  <c r="J50" i="5"/>
  <c r="N49" i="5"/>
  <c r="J49" i="5"/>
  <c r="N48" i="5"/>
  <c r="J48" i="5"/>
  <c r="N47" i="5"/>
  <c r="J47" i="5"/>
  <c r="N46" i="5"/>
  <c r="J46" i="5"/>
  <c r="N45" i="5"/>
  <c r="J45" i="5"/>
  <c r="N44" i="5"/>
  <c r="J44" i="5"/>
  <c r="N43" i="5"/>
  <c r="J43" i="5"/>
  <c r="N42" i="5"/>
  <c r="J42" i="5"/>
  <c r="N41" i="5"/>
  <c r="J41" i="5"/>
  <c r="N40" i="5"/>
  <c r="J40" i="5"/>
  <c r="N39" i="5"/>
  <c r="J39" i="5"/>
  <c r="N38" i="5"/>
  <c r="J38" i="5"/>
  <c r="N37" i="5"/>
  <c r="J37" i="5"/>
  <c r="N36" i="5"/>
  <c r="J36" i="5"/>
  <c r="N35" i="5"/>
  <c r="J35" i="5"/>
  <c r="N34" i="5"/>
  <c r="J34" i="5"/>
  <c r="N33" i="5"/>
  <c r="J33" i="5"/>
  <c r="N32" i="5"/>
  <c r="J32" i="5"/>
  <c r="N31" i="5"/>
  <c r="J31" i="5"/>
  <c r="N30" i="5"/>
  <c r="J30" i="5"/>
  <c r="N29" i="5"/>
  <c r="J29" i="5"/>
  <c r="N28" i="5"/>
  <c r="J28" i="5"/>
  <c r="N27" i="5"/>
  <c r="J27" i="5"/>
  <c r="N26" i="5"/>
  <c r="J26" i="5"/>
  <c r="N25" i="5"/>
  <c r="J25" i="5"/>
  <c r="N24" i="5"/>
  <c r="J24" i="5"/>
  <c r="N23" i="5"/>
  <c r="J23" i="5"/>
  <c r="N22" i="5"/>
  <c r="J22" i="5"/>
  <c r="N21" i="5"/>
  <c r="J21" i="5"/>
  <c r="N20" i="5"/>
  <c r="J20" i="5"/>
  <c r="N19" i="5"/>
  <c r="J19" i="5"/>
  <c r="N18" i="5"/>
  <c r="J18" i="5"/>
  <c r="N17" i="5"/>
  <c r="J17" i="5"/>
  <c r="N16" i="5"/>
  <c r="J16" i="5"/>
  <c r="N15" i="5"/>
  <c r="J15" i="5"/>
  <c r="N14" i="5"/>
  <c r="J14" i="5"/>
  <c r="N13" i="5"/>
  <c r="J13" i="5"/>
  <c r="N12" i="5"/>
  <c r="J12" i="5"/>
  <c r="N11" i="5"/>
  <c r="J11" i="5"/>
  <c r="N10" i="5"/>
  <c r="J10" i="5"/>
  <c r="N9" i="5"/>
  <c r="J9" i="5"/>
  <c r="N8" i="5"/>
  <c r="J8" i="5"/>
  <c r="N7" i="5"/>
  <c r="J7" i="5"/>
  <c r="N6" i="5"/>
  <c r="J6" i="5"/>
  <c r="N5" i="5"/>
  <c r="J5" i="5"/>
  <c r="N4" i="5"/>
  <c r="J4" i="5"/>
  <c r="N3" i="5"/>
  <c r="J3" i="5"/>
  <c r="N2" i="5"/>
  <c r="J2" i="5"/>
  <c r="I29" i="6" a="1"/>
  <c r="I29" i="6" s="1"/>
  <c r="H29" i="6" a="1"/>
  <c r="H29" i="6" s="1"/>
  <c r="I28" i="6" a="1"/>
  <c r="I28" i="6" s="1"/>
  <c r="H28" i="6" a="1"/>
  <c r="H28" i="6" s="1"/>
  <c r="I27" i="6" a="1"/>
  <c r="I27" i="6" s="1"/>
  <c r="H27" i="6" a="1"/>
  <c r="H27" i="6" s="1"/>
  <c r="I26" i="6" a="1"/>
  <c r="I26" i="6" s="1"/>
  <c r="H26" i="6" a="1"/>
  <c r="H26" i="6" s="1"/>
  <c r="I25" i="6" a="1"/>
  <c r="I25" i="6" s="1"/>
  <c r="H25" i="6" a="1"/>
  <c r="H25" i="6" s="1"/>
  <c r="I24" i="6" a="1"/>
  <c r="I24" i="6" s="1"/>
  <c r="H24" i="6" a="1"/>
  <c r="H24" i="6" s="1"/>
  <c r="I23" i="6" a="1"/>
  <c r="I23" i="6" s="1"/>
  <c r="H23" i="6" a="1"/>
  <c r="H23" i="6" s="1"/>
  <c r="I22" i="6" a="1"/>
  <c r="I22" i="6" s="1"/>
  <c r="H22" i="6" a="1"/>
  <c r="H22" i="6" s="1"/>
  <c r="I21" i="6" a="1"/>
  <c r="I21" i="6" s="1"/>
  <c r="H21" i="6" a="1"/>
  <c r="H21" i="6" s="1"/>
  <c r="I20" i="6" a="1"/>
  <c r="I20" i="6" s="1"/>
  <c r="H20" i="6" a="1"/>
  <c r="H20" i="6" s="1"/>
  <c r="I19" i="6" a="1"/>
  <c r="I19" i="6" s="1"/>
  <c r="H19" i="6" a="1"/>
  <c r="H19" i="6" s="1"/>
  <c r="I18" i="6" a="1"/>
  <c r="I18" i="6" s="1"/>
  <c r="H18" i="6" a="1"/>
  <c r="H18" i="6" s="1"/>
  <c r="I17" i="6" a="1"/>
  <c r="I17" i="6" s="1"/>
  <c r="H17" i="6" a="1"/>
  <c r="H17" i="6" s="1"/>
  <c r="I16" i="6" a="1"/>
  <c r="I16" i="6" s="1"/>
  <c r="H16" i="6" a="1"/>
  <c r="H16" i="6" s="1"/>
  <c r="I15" i="6" a="1"/>
  <c r="I15" i="6" s="1"/>
  <c r="H15" i="6" a="1"/>
  <c r="H15" i="6" s="1"/>
  <c r="I14" i="6" a="1"/>
  <c r="I14" i="6" s="1"/>
  <c r="H14" i="6" a="1"/>
  <c r="H14" i="6" s="1"/>
  <c r="I13" i="6" a="1"/>
  <c r="I13" i="6" s="1"/>
  <c r="H13" i="6" a="1"/>
  <c r="H13" i="6" s="1"/>
  <c r="I12" i="6" a="1"/>
  <c r="I12" i="6" s="1"/>
  <c r="H12" i="6" a="1"/>
  <c r="H12" i="6" s="1"/>
  <c r="I11" i="6" a="1"/>
  <c r="I11" i="6" s="1"/>
  <c r="H11" i="6" a="1"/>
  <c r="H11" i="6" s="1"/>
  <c r="I10" i="6" a="1"/>
  <c r="I10" i="6" s="1"/>
  <c r="H10" i="6" a="1"/>
  <c r="H10" i="6" s="1"/>
  <c r="I9" i="6" a="1"/>
  <c r="I9" i="6" s="1"/>
  <c r="H9" i="6" a="1"/>
  <c r="H9" i="6" s="1"/>
  <c r="I8" i="6" a="1"/>
  <c r="I8" i="6" s="1"/>
  <c r="H8" i="6" a="1"/>
  <c r="H8" i="6" s="1"/>
  <c r="I7" i="6" a="1"/>
  <c r="I7" i="6" s="1"/>
  <c r="H7" i="6" a="1"/>
  <c r="H7" i="6" s="1"/>
  <c r="I6" i="6" a="1"/>
  <c r="I6" i="6" s="1"/>
  <c r="H6" i="6" a="1"/>
  <c r="H6" i="6" s="1"/>
  <c r="I5" i="6" a="1"/>
  <c r="I5" i="6" s="1"/>
  <c r="H5" i="6" a="1"/>
  <c r="H5" i="6" s="1"/>
  <c r="I4" i="6" a="1"/>
  <c r="I4" i="6" s="1"/>
  <c r="H4" i="6" a="1"/>
  <c r="H4" i="6" s="1"/>
  <c r="I3" i="6" a="1"/>
  <c r="I3" i="6" s="1"/>
  <c r="H3" i="6" a="1"/>
  <c r="H3" i="6" s="1"/>
  <c r="I2" i="6" a="1"/>
  <c r="I2" i="6" s="1"/>
  <c r="H2" i="6" a="1"/>
  <c r="H2" i="6" s="1"/>
  <c r="I119" i="5" a="1"/>
  <c r="I119" i="5" s="1"/>
  <c r="I118" i="5"/>
  <c r="I118" i="5" a="1"/>
  <c r="I117" i="5" a="1"/>
  <c r="I117" i="5" s="1"/>
  <c r="I116" i="5" a="1"/>
  <c r="I116" i="5" s="1"/>
  <c r="I115" i="5"/>
  <c r="I115" i="5" a="1"/>
  <c r="I114" i="5" a="1"/>
  <c r="I114" i="5" s="1"/>
  <c r="I113" i="5" a="1"/>
  <c r="I113" i="5" s="1"/>
  <c r="I112" i="5"/>
  <c r="I112" i="5" a="1"/>
  <c r="I111" i="5" a="1"/>
  <c r="I111" i="5" s="1"/>
  <c r="I110" i="5" a="1"/>
  <c r="I110" i="5" s="1"/>
  <c r="I109" i="5"/>
  <c r="I109" i="5" a="1"/>
  <c r="I108" i="5" a="1"/>
  <c r="I108" i="5" s="1"/>
  <c r="I107" i="5" a="1"/>
  <c r="I107" i="5" s="1"/>
  <c r="I106" i="5" a="1"/>
  <c r="I106" i="5" s="1"/>
  <c r="I105" i="5" a="1"/>
  <c r="I105" i="5" s="1"/>
  <c r="I104" i="5" a="1"/>
  <c r="I104" i="5" s="1"/>
  <c r="I103" i="5" a="1"/>
  <c r="I103" i="5" s="1"/>
  <c r="I102" i="5" a="1"/>
  <c r="I102" i="5" s="1"/>
  <c r="I101" i="5" a="1"/>
  <c r="I101" i="5" s="1"/>
  <c r="I100" i="5" a="1"/>
  <c r="I100" i="5" s="1"/>
  <c r="I99" i="5" a="1"/>
  <c r="I99" i="5" s="1"/>
  <c r="I98" i="5" a="1"/>
  <c r="I98" i="5" s="1"/>
  <c r="I97" i="5" a="1"/>
  <c r="I97" i="5" s="1"/>
  <c r="I96" i="5" a="1"/>
  <c r="I96" i="5" s="1"/>
  <c r="I95" i="5" a="1"/>
  <c r="I95" i="5" s="1"/>
  <c r="I94" i="5" a="1"/>
  <c r="I94" i="5" s="1"/>
  <c r="I93" i="5" a="1"/>
  <c r="I93" i="5" s="1"/>
  <c r="I92" i="5" a="1"/>
  <c r="I92" i="5" s="1"/>
  <c r="I91" i="5" a="1"/>
  <c r="I91" i="5" s="1"/>
  <c r="I90" i="5" a="1"/>
  <c r="I90" i="5" s="1"/>
  <c r="I89" i="5" a="1"/>
  <c r="I89" i="5" s="1"/>
  <c r="I88" i="5" a="1"/>
  <c r="I88" i="5" s="1"/>
  <c r="I87" i="5" a="1"/>
  <c r="I87" i="5" s="1"/>
  <c r="I86" i="5" a="1"/>
  <c r="I86" i="5" s="1"/>
  <c r="I85" i="5" a="1"/>
  <c r="I85" i="5" s="1"/>
  <c r="I84" i="5" a="1"/>
  <c r="I84" i="5" s="1"/>
  <c r="I83" i="5" a="1"/>
  <c r="I83" i="5" s="1"/>
  <c r="I82" i="5" a="1"/>
  <c r="I82" i="5" s="1"/>
  <c r="I81" i="5" a="1"/>
  <c r="I81" i="5" s="1"/>
  <c r="I80" i="5" a="1"/>
  <c r="I80" i="5" s="1"/>
  <c r="I79" i="5" a="1"/>
  <c r="I79" i="5" s="1"/>
  <c r="I78" i="5" a="1"/>
  <c r="I78" i="5" s="1"/>
  <c r="I77" i="5" a="1"/>
  <c r="I77" i="5" s="1"/>
  <c r="I76" i="5" a="1"/>
  <c r="I76" i="5" s="1"/>
  <c r="I75" i="5" a="1"/>
  <c r="I75" i="5" s="1"/>
  <c r="I74" i="5" a="1"/>
  <c r="I74" i="5" s="1"/>
  <c r="I73" i="5" a="1"/>
  <c r="I73" i="5" s="1"/>
  <c r="I72" i="5" a="1"/>
  <c r="I72" i="5" s="1"/>
  <c r="I71" i="5" a="1"/>
  <c r="I71" i="5" s="1"/>
  <c r="I70" i="5" a="1"/>
  <c r="I70" i="5" s="1"/>
  <c r="I69" i="5" a="1"/>
  <c r="I69" i="5" s="1"/>
  <c r="I68" i="5" a="1"/>
  <c r="I68" i="5" s="1"/>
  <c r="I67" i="5" a="1"/>
  <c r="I67" i="5" s="1"/>
  <c r="I66" i="5" a="1"/>
  <c r="I66" i="5" s="1"/>
  <c r="I65" i="5" a="1"/>
  <c r="I65" i="5" s="1"/>
  <c r="I64" i="5" a="1"/>
  <c r="I64" i="5" s="1"/>
  <c r="I63" i="5" a="1"/>
  <c r="I63" i="5" s="1"/>
  <c r="I62" i="5" a="1"/>
  <c r="I62" i="5" s="1"/>
  <c r="I61" i="5" a="1"/>
  <c r="I61" i="5" s="1"/>
  <c r="I60" i="5" a="1"/>
  <c r="I60" i="5" s="1"/>
  <c r="I59" i="5" a="1"/>
  <c r="I59" i="5" s="1"/>
  <c r="I58" i="5" a="1"/>
  <c r="I58" i="5" s="1"/>
  <c r="I57" i="5" a="1"/>
  <c r="I57" i="5" s="1"/>
  <c r="I56" i="5" a="1"/>
  <c r="I56" i="5" s="1"/>
  <c r="I55" i="5" a="1"/>
  <c r="I55" i="5" s="1"/>
  <c r="I54" i="5" a="1"/>
  <c r="I54" i="5" s="1"/>
  <c r="I53" i="5" a="1"/>
  <c r="I53" i="5" s="1"/>
  <c r="I52" i="5" a="1"/>
  <c r="I52" i="5" s="1"/>
  <c r="I51" i="5" a="1"/>
  <c r="I51" i="5" s="1"/>
  <c r="I50" i="5" a="1"/>
  <c r="I50" i="5" s="1"/>
  <c r="I49" i="5" a="1"/>
  <c r="I49" i="5" s="1"/>
  <c r="I48" i="5" a="1"/>
  <c r="I48" i="5" s="1"/>
  <c r="I47" i="5" a="1"/>
  <c r="I47" i="5" s="1"/>
  <c r="I46" i="5" a="1"/>
  <c r="I46" i="5" s="1"/>
  <c r="I45" i="5" a="1"/>
  <c r="I45" i="5" s="1"/>
  <c r="I44" i="5" a="1"/>
  <c r="I44" i="5" s="1"/>
  <c r="I43" i="5" a="1"/>
  <c r="I43" i="5" s="1"/>
  <c r="I42" i="5" a="1"/>
  <c r="I42" i="5" s="1"/>
  <c r="I41" i="5" a="1"/>
  <c r="I41" i="5" s="1"/>
  <c r="I40" i="5" a="1"/>
  <c r="I40" i="5" s="1"/>
  <c r="I39" i="5" a="1"/>
  <c r="I39" i="5" s="1"/>
  <c r="I38" i="5" a="1"/>
  <c r="I38" i="5" s="1"/>
  <c r="I37" i="5" a="1"/>
  <c r="I37" i="5" s="1"/>
  <c r="I36" i="5" a="1"/>
  <c r="I36" i="5" s="1"/>
  <c r="I35" i="5" a="1"/>
  <c r="I35" i="5" s="1"/>
  <c r="I34" i="5" a="1"/>
  <c r="I34" i="5" s="1"/>
  <c r="I33" i="5" a="1"/>
  <c r="I33" i="5" s="1"/>
  <c r="I32" i="5" a="1"/>
  <c r="I32" i="5" s="1"/>
  <c r="I31" i="5" a="1"/>
  <c r="I31" i="5" s="1"/>
  <c r="I30" i="5" a="1"/>
  <c r="I30" i="5" s="1"/>
  <c r="I29" i="5" a="1"/>
  <c r="I29" i="5" s="1"/>
  <c r="I28" i="5" a="1"/>
  <c r="I28" i="5" s="1"/>
  <c r="I27" i="5" a="1"/>
  <c r="I27" i="5" s="1"/>
  <c r="I26" i="5" a="1"/>
  <c r="I26" i="5" s="1"/>
  <c r="I25" i="5" a="1"/>
  <c r="I25" i="5" s="1"/>
  <c r="I24" i="5" a="1"/>
  <c r="I24" i="5" s="1"/>
  <c r="I23" i="5" a="1"/>
  <c r="I23" i="5" s="1"/>
  <c r="I22" i="5" a="1"/>
  <c r="I22" i="5" s="1"/>
  <c r="I21" i="5" a="1"/>
  <c r="I21" i="5" s="1"/>
  <c r="I20" i="5" a="1"/>
  <c r="I20" i="5" s="1"/>
  <c r="I19" i="5" a="1"/>
  <c r="I19" i="5" s="1"/>
  <c r="I18" i="5" a="1"/>
  <c r="I18" i="5" s="1"/>
  <c r="I17" i="5" a="1"/>
  <c r="I17" i="5" s="1"/>
  <c r="I16" i="5" a="1"/>
  <c r="I16" i="5" s="1"/>
  <c r="I15" i="5" a="1"/>
  <c r="I15" i="5" s="1"/>
  <c r="I14" i="5" a="1"/>
  <c r="I14" i="5" s="1"/>
  <c r="I13" i="5" a="1"/>
  <c r="I13" i="5" s="1"/>
  <c r="I12" i="5" a="1"/>
  <c r="I12" i="5" s="1"/>
  <c r="I11" i="5" a="1"/>
  <c r="I11" i="5" s="1"/>
  <c r="I10" i="5" a="1"/>
  <c r="I10" i="5" s="1"/>
  <c r="I9" i="5" a="1"/>
  <c r="I9" i="5" s="1"/>
  <c r="I8" i="5" a="1"/>
  <c r="I8" i="5" s="1"/>
  <c r="I7" i="5" a="1"/>
  <c r="I7" i="5" s="1"/>
  <c r="I6" i="5" a="1"/>
  <c r="I6" i="5" s="1"/>
  <c r="I5" i="5" a="1"/>
  <c r="I5" i="5" s="1"/>
  <c r="I4" i="5" a="1"/>
  <c r="I4" i="5" s="1"/>
  <c r="I3" i="5" a="1"/>
  <c r="I3" i="5" s="1"/>
  <c r="I2" i="5" a="1"/>
  <c r="I2" i="5" s="1"/>
  <c r="H119" i="5" a="1"/>
  <c r="H119" i="5" s="1"/>
  <c r="H118" i="5" a="1"/>
  <c r="H118" i="5" s="1"/>
  <c r="H117" i="5" a="1"/>
  <c r="H117" i="5" s="1"/>
  <c r="H116" i="5" a="1"/>
  <c r="H116" i="5" s="1"/>
  <c r="H115" i="5" a="1"/>
  <c r="H115" i="5" s="1"/>
  <c r="H114" i="5" a="1"/>
  <c r="H114" i="5" s="1"/>
  <c r="H113" i="5" a="1"/>
  <c r="H113" i="5" s="1"/>
  <c r="H112" i="5" a="1"/>
  <c r="H112" i="5" s="1"/>
  <c r="H111" i="5" a="1"/>
  <c r="H111" i="5" s="1"/>
  <c r="H110" i="5" a="1"/>
  <c r="H110" i="5" s="1"/>
  <c r="H109" i="5" a="1"/>
  <c r="H109" i="5" s="1"/>
  <c r="H108" i="5" a="1"/>
  <c r="H108" i="5" s="1"/>
  <c r="H107" i="5" a="1"/>
  <c r="H107" i="5" s="1"/>
  <c r="H106" i="5" a="1"/>
  <c r="H106" i="5" s="1"/>
  <c r="H105" i="5" a="1"/>
  <c r="H105" i="5" s="1"/>
  <c r="H104" i="5" a="1"/>
  <c r="H104" i="5" s="1"/>
  <c r="H103" i="5" a="1"/>
  <c r="H103" i="5" s="1"/>
  <c r="H102" i="5" a="1"/>
  <c r="H102" i="5" s="1"/>
  <c r="H101" i="5" a="1"/>
  <c r="H101" i="5" s="1"/>
  <c r="H100" i="5" a="1"/>
  <c r="H100" i="5" s="1"/>
  <c r="H99" i="5" a="1"/>
  <c r="H99" i="5" s="1"/>
  <c r="H98" i="5" a="1"/>
  <c r="H98" i="5" s="1"/>
  <c r="H97" i="5" a="1"/>
  <c r="H97" i="5" s="1"/>
  <c r="H96" i="5" a="1"/>
  <c r="H96" i="5" s="1"/>
  <c r="H95" i="5" a="1"/>
  <c r="H95" i="5" s="1"/>
  <c r="H94" i="5" a="1"/>
  <c r="H94" i="5" s="1"/>
  <c r="H93" i="5" a="1"/>
  <c r="H93" i="5" s="1"/>
  <c r="H92" i="5" a="1"/>
  <c r="H92" i="5" s="1"/>
  <c r="H91" i="5" a="1"/>
  <c r="H91" i="5" s="1"/>
  <c r="H90" i="5" a="1"/>
  <c r="H90" i="5" s="1"/>
  <c r="H89" i="5" a="1"/>
  <c r="H89" i="5" s="1"/>
  <c r="H88" i="5" a="1"/>
  <c r="H88" i="5" s="1"/>
  <c r="H87" i="5" a="1"/>
  <c r="H87" i="5" s="1"/>
  <c r="H86" i="5" a="1"/>
  <c r="H86" i="5" s="1"/>
  <c r="H85" i="5" a="1"/>
  <c r="H85" i="5" s="1"/>
  <c r="H84" i="5" a="1"/>
  <c r="H84" i="5" s="1"/>
  <c r="H83" i="5" a="1"/>
  <c r="H83" i="5" s="1"/>
  <c r="H82" i="5" a="1"/>
  <c r="H82" i="5" s="1"/>
  <c r="H81" i="5" a="1"/>
  <c r="H81" i="5" s="1"/>
  <c r="H80" i="5" a="1"/>
  <c r="H80" i="5" s="1"/>
  <c r="H79" i="5" a="1"/>
  <c r="H79" i="5" s="1"/>
  <c r="H78" i="5" a="1"/>
  <c r="H78" i="5" s="1"/>
  <c r="H77" i="5" a="1"/>
  <c r="H77" i="5" s="1"/>
  <c r="H76" i="5" a="1"/>
  <c r="H76" i="5" s="1"/>
  <c r="H75" i="5" a="1"/>
  <c r="H75" i="5" s="1"/>
  <c r="H74" i="5" a="1"/>
  <c r="H74" i="5" s="1"/>
  <c r="H73" i="5" a="1"/>
  <c r="H73" i="5" s="1"/>
  <c r="H72" i="5" a="1"/>
  <c r="H72" i="5" s="1"/>
  <c r="H71" i="5" a="1"/>
  <c r="H71" i="5" s="1"/>
  <c r="H70" i="5" a="1"/>
  <c r="H70" i="5" s="1"/>
  <c r="H69" i="5" a="1"/>
  <c r="H69" i="5" s="1"/>
  <c r="H68" i="5" a="1"/>
  <c r="H68" i="5" s="1"/>
  <c r="H67" i="5" a="1"/>
  <c r="H67" i="5" s="1"/>
  <c r="H66" i="5" a="1"/>
  <c r="H66" i="5" s="1"/>
  <c r="H65" i="5" a="1"/>
  <c r="H65" i="5" s="1"/>
  <c r="H64" i="5" a="1"/>
  <c r="H64" i="5" s="1"/>
  <c r="H63" i="5" a="1"/>
  <c r="H63" i="5" s="1"/>
  <c r="H62" i="5" a="1"/>
  <c r="H62" i="5" s="1"/>
  <c r="H61" i="5" a="1"/>
  <c r="H61" i="5" s="1"/>
  <c r="H60" i="5" a="1"/>
  <c r="H60" i="5" s="1"/>
  <c r="H59" i="5" a="1"/>
  <c r="H59" i="5" s="1"/>
  <c r="H58" i="5" a="1"/>
  <c r="H58" i="5" s="1"/>
  <c r="H57" i="5" a="1"/>
  <c r="H57" i="5" s="1"/>
  <c r="H56" i="5" a="1"/>
  <c r="H56" i="5" s="1"/>
  <c r="H55" i="5" a="1"/>
  <c r="H55" i="5" s="1"/>
  <c r="H54" i="5" a="1"/>
  <c r="H54" i="5" s="1"/>
  <c r="H53" i="5" a="1"/>
  <c r="H53" i="5" s="1"/>
  <c r="H52" i="5" a="1"/>
  <c r="H52" i="5" s="1"/>
  <c r="H51" i="5" a="1"/>
  <c r="H51" i="5" s="1"/>
  <c r="H50" i="5" a="1"/>
  <c r="H50" i="5" s="1"/>
  <c r="H49" i="5" a="1"/>
  <c r="H49" i="5" s="1"/>
  <c r="H48" i="5" a="1"/>
  <c r="H48" i="5" s="1"/>
  <c r="H47" i="5" a="1"/>
  <c r="H47" i="5" s="1"/>
  <c r="H46" i="5" a="1"/>
  <c r="H46" i="5" s="1"/>
  <c r="H45" i="5" a="1"/>
  <c r="H45" i="5" s="1"/>
  <c r="H44" i="5" a="1"/>
  <c r="H44" i="5" s="1"/>
  <c r="H43" i="5" a="1"/>
  <c r="H43" i="5" s="1"/>
  <c r="H42" i="5" a="1"/>
  <c r="H42" i="5" s="1"/>
  <c r="H41" i="5" a="1"/>
  <c r="H41" i="5" s="1"/>
  <c r="H40" i="5" a="1"/>
  <c r="H40" i="5" s="1"/>
  <c r="H39" i="5" a="1"/>
  <c r="H39" i="5" s="1"/>
  <c r="H38" i="5" a="1"/>
  <c r="H38" i="5" s="1"/>
  <c r="H37" i="5" a="1"/>
  <c r="H37" i="5" s="1"/>
  <c r="H36" i="5" a="1"/>
  <c r="H36" i="5" s="1"/>
  <c r="H35" i="5" a="1"/>
  <c r="H35" i="5" s="1"/>
  <c r="H34" i="5" a="1"/>
  <c r="H34" i="5" s="1"/>
  <c r="H33" i="5" a="1"/>
  <c r="H33" i="5" s="1"/>
  <c r="H32" i="5" a="1"/>
  <c r="H32" i="5" s="1"/>
  <c r="H31" i="5" a="1"/>
  <c r="H31" i="5" s="1"/>
  <c r="H30" i="5" a="1"/>
  <c r="H30" i="5" s="1"/>
  <c r="H29" i="5" a="1"/>
  <c r="H29" i="5" s="1"/>
  <c r="H28" i="5" a="1"/>
  <c r="H28" i="5" s="1"/>
  <c r="H27" i="5" a="1"/>
  <c r="H27" i="5" s="1"/>
  <c r="H26" i="5" a="1"/>
  <c r="H26" i="5" s="1"/>
  <c r="H25" i="5" a="1"/>
  <c r="H25" i="5" s="1"/>
  <c r="H24" i="5" a="1"/>
  <c r="H24" i="5" s="1"/>
  <c r="H23" i="5" a="1"/>
  <c r="H23" i="5" s="1"/>
  <c r="H22" i="5" a="1"/>
  <c r="H22" i="5" s="1"/>
  <c r="H21" i="5" a="1"/>
  <c r="H21" i="5" s="1"/>
  <c r="H20" i="5" a="1"/>
  <c r="H20" i="5" s="1"/>
  <c r="H19" i="5" a="1"/>
  <c r="H19" i="5" s="1"/>
  <c r="H18" i="5" a="1"/>
  <c r="H18" i="5" s="1"/>
  <c r="H17" i="5" a="1"/>
  <c r="H17" i="5" s="1"/>
  <c r="H16" i="5" a="1"/>
  <c r="H16" i="5" s="1"/>
  <c r="H15" i="5" a="1"/>
  <c r="H15" i="5" s="1"/>
  <c r="H14" i="5" a="1"/>
  <c r="H14" i="5" s="1"/>
  <c r="H13" i="5" a="1"/>
  <c r="H13" i="5" s="1"/>
  <c r="H12" i="5" a="1"/>
  <c r="H12" i="5" s="1"/>
  <c r="H11" i="5" a="1"/>
  <c r="H11" i="5" s="1"/>
  <c r="H10" i="5" a="1"/>
  <c r="H10" i="5" s="1"/>
  <c r="H9" i="5" a="1"/>
  <c r="H9" i="5" s="1"/>
  <c r="H8" i="5" a="1"/>
  <c r="H8" i="5" s="1"/>
  <c r="H7" i="5" a="1"/>
  <c r="H7" i="5" s="1"/>
  <c r="H6" i="5" a="1"/>
  <c r="H6" i="5" s="1"/>
  <c r="H5" i="5" a="1"/>
  <c r="H5" i="5" s="1"/>
  <c r="H4" i="5" a="1"/>
  <c r="H4" i="5" s="1"/>
  <c r="H3" i="5" a="1"/>
  <c r="H3" i="5" s="1"/>
  <c r="H2" i="5" a="1"/>
  <c r="H2" i="5" s="1"/>
  <c r="G29" i="6"/>
  <c r="E29" i="6" s="1" a="1"/>
  <c r="E29" i="6" s="1"/>
  <c r="L29" i="6" s="1"/>
  <c r="D29" i="6" a="1"/>
  <c r="D29" i="6" s="1"/>
  <c r="G28" i="6"/>
  <c r="E28" i="6" s="1" a="1"/>
  <c r="E28" i="6" s="1"/>
  <c r="L28" i="6" s="1"/>
  <c r="G27" i="6"/>
  <c r="E27" i="6" s="1" a="1"/>
  <c r="E27" i="6" s="1"/>
  <c r="L27" i="6" s="1"/>
  <c r="D27" i="6" a="1"/>
  <c r="D27" i="6" s="1"/>
  <c r="K27" i="6" s="1"/>
  <c r="G26" i="6"/>
  <c r="E26" i="6" s="1" a="1"/>
  <c r="E26" i="6" s="1"/>
  <c r="L26" i="6" s="1"/>
  <c r="G25" i="6"/>
  <c r="E25" i="6" s="1" a="1"/>
  <c r="E25" i="6" s="1"/>
  <c r="L25" i="6" s="1"/>
  <c r="G24" i="6"/>
  <c r="E24" i="6" a="1"/>
  <c r="E24" i="6" s="1"/>
  <c r="L24" i="6" s="1"/>
  <c r="D24" i="6" a="1"/>
  <c r="D24" i="6" s="1"/>
  <c r="G23" i="6"/>
  <c r="D23" i="6" s="1" a="1"/>
  <c r="D23" i="6" s="1"/>
  <c r="E23" i="6" a="1"/>
  <c r="E23" i="6" s="1"/>
  <c r="L23" i="6" s="1"/>
  <c r="G22" i="6"/>
  <c r="E22" i="6" a="1"/>
  <c r="E22" i="6" s="1"/>
  <c r="L22" i="6" s="1"/>
  <c r="D22" i="6" a="1"/>
  <c r="D22" i="6" s="1"/>
  <c r="K22" i="6" s="1"/>
  <c r="G21" i="6"/>
  <c r="D21" i="6" s="1" a="1"/>
  <c r="D21" i="6" s="1"/>
  <c r="K21" i="6" s="1"/>
  <c r="E21" i="6" a="1"/>
  <c r="E21" i="6" s="1"/>
  <c r="L21" i="6" s="1"/>
  <c r="G20" i="6"/>
  <c r="E20" i="6" a="1"/>
  <c r="E20" i="6" s="1"/>
  <c r="L20" i="6" s="1"/>
  <c r="D20" i="6" a="1"/>
  <c r="D20" i="6" s="1"/>
  <c r="G19" i="6"/>
  <c r="D19" i="6" s="1" a="1"/>
  <c r="D19" i="6" s="1"/>
  <c r="K19" i="6" s="1"/>
  <c r="E19" i="6" a="1"/>
  <c r="E19" i="6" s="1"/>
  <c r="L19" i="6" s="1"/>
  <c r="G18" i="6"/>
  <c r="E18" i="6" a="1"/>
  <c r="E18" i="6" s="1"/>
  <c r="L18" i="6" s="1"/>
  <c r="D18" i="6" a="1"/>
  <c r="D18" i="6" s="1"/>
  <c r="G17" i="6"/>
  <c r="D17" i="6" s="1" a="1"/>
  <c r="D17" i="6" s="1"/>
  <c r="E17" i="6" a="1"/>
  <c r="E17" i="6" s="1"/>
  <c r="L17" i="6" s="1"/>
  <c r="G16" i="6"/>
  <c r="E16" i="6" a="1"/>
  <c r="E16" i="6" s="1"/>
  <c r="L16" i="6" s="1"/>
  <c r="D16" i="6" a="1"/>
  <c r="D16" i="6" s="1"/>
  <c r="K16" i="6" s="1"/>
  <c r="G15" i="6"/>
  <c r="D15" i="6" s="1" a="1"/>
  <c r="D15" i="6" s="1"/>
  <c r="K15" i="6" s="1"/>
  <c r="E15" i="6" a="1"/>
  <c r="E15" i="6" s="1"/>
  <c r="L15" i="6" s="1"/>
  <c r="G14" i="6"/>
  <c r="E14" i="6" a="1"/>
  <c r="E14" i="6" s="1"/>
  <c r="L14" i="6" s="1"/>
  <c r="D14" i="6" a="1"/>
  <c r="D14" i="6" s="1"/>
  <c r="G13" i="6"/>
  <c r="D13" i="6" s="1" a="1"/>
  <c r="D13" i="6" s="1"/>
  <c r="K13" i="6" s="1"/>
  <c r="E13" i="6" a="1"/>
  <c r="E13" i="6" s="1"/>
  <c r="L13" i="6" s="1"/>
  <c r="G12" i="6"/>
  <c r="E12" i="6" a="1"/>
  <c r="E12" i="6" s="1"/>
  <c r="L12" i="6" s="1"/>
  <c r="D12" i="6" a="1"/>
  <c r="D12" i="6" s="1"/>
  <c r="G11" i="6"/>
  <c r="D11" i="6" s="1" a="1"/>
  <c r="D11" i="6" s="1"/>
  <c r="E11" i="6" a="1"/>
  <c r="E11" i="6" s="1"/>
  <c r="L11" i="6" s="1"/>
  <c r="G10" i="6"/>
  <c r="E10" i="6" a="1"/>
  <c r="E10" i="6" s="1"/>
  <c r="L10" i="6" s="1"/>
  <c r="D10" i="6" a="1"/>
  <c r="D10" i="6" s="1"/>
  <c r="K10" i="6" s="1"/>
  <c r="G9" i="6"/>
  <c r="D9" i="6" s="1" a="1"/>
  <c r="D9" i="6" s="1"/>
  <c r="K9" i="6" s="1"/>
  <c r="E9" i="6" a="1"/>
  <c r="E9" i="6" s="1"/>
  <c r="L9" i="6" s="1"/>
  <c r="G8" i="6"/>
  <c r="E8" i="6" a="1"/>
  <c r="E8" i="6" s="1"/>
  <c r="L8" i="6" s="1"/>
  <c r="D8" i="6" a="1"/>
  <c r="D8" i="6" s="1"/>
  <c r="G7" i="6"/>
  <c r="D7" i="6" s="1" a="1"/>
  <c r="D7" i="6" s="1"/>
  <c r="K7" i="6" s="1"/>
  <c r="E7" i="6" a="1"/>
  <c r="E7" i="6" s="1"/>
  <c r="L7" i="6" s="1"/>
  <c r="G6" i="6"/>
  <c r="E6" i="6" a="1"/>
  <c r="E6" i="6" s="1"/>
  <c r="L6" i="6" s="1"/>
  <c r="D6" i="6" a="1"/>
  <c r="D6" i="6" s="1"/>
  <c r="G5" i="6"/>
  <c r="D5" i="6" s="1" a="1"/>
  <c r="D5" i="6" s="1"/>
  <c r="E5" i="6" a="1"/>
  <c r="E5" i="6" s="1"/>
  <c r="L5" i="6" s="1"/>
  <c r="G4" i="6"/>
  <c r="E4" i="6" a="1"/>
  <c r="E4" i="6" s="1"/>
  <c r="L4" i="6" s="1"/>
  <c r="D4" i="6" a="1"/>
  <c r="D4" i="6" s="1"/>
  <c r="K4" i="6" s="1"/>
  <c r="G3" i="6"/>
  <c r="D3" i="6" s="1" a="1"/>
  <c r="D3" i="6" s="1"/>
  <c r="K3" i="6" s="1"/>
  <c r="E3" i="6" a="1"/>
  <c r="E3" i="6" s="1"/>
  <c r="L3" i="6" s="1"/>
  <c r="G2" i="6"/>
  <c r="E2" i="6" a="1"/>
  <c r="E2" i="6" s="1"/>
  <c r="L2" i="6" s="1"/>
  <c r="D2" i="6" a="1"/>
  <c r="D2" i="6" s="1"/>
  <c r="E119" i="5" a="1"/>
  <c r="E119" i="5" s="1"/>
  <c r="L119" i="5" s="1"/>
  <c r="D119" i="5" a="1"/>
  <c r="D119" i="5" s="1"/>
  <c r="K119" i="5" s="1"/>
  <c r="E118" i="5" a="1"/>
  <c r="E118" i="5" s="1"/>
  <c r="L118" i="5" s="1"/>
  <c r="D118" i="5" a="1"/>
  <c r="D118" i="5" s="1"/>
  <c r="E117" i="5" a="1"/>
  <c r="E117" i="5" s="1"/>
  <c r="L117" i="5" s="1"/>
  <c r="D117" i="5" a="1"/>
  <c r="D117" i="5" s="1"/>
  <c r="E116" i="5" a="1"/>
  <c r="E116" i="5" s="1"/>
  <c r="L116" i="5" s="1"/>
  <c r="D116" i="5" a="1"/>
  <c r="D116" i="5" s="1"/>
  <c r="K116" i="5" s="1"/>
  <c r="E115" i="5" a="1"/>
  <c r="E115" i="5" s="1"/>
  <c r="L115" i="5" s="1"/>
  <c r="D115" i="5" a="1"/>
  <c r="D115" i="5" s="1"/>
  <c r="K115" i="5" s="1"/>
  <c r="E114" i="5" a="1"/>
  <c r="E114" i="5" s="1"/>
  <c r="L114" i="5" s="1"/>
  <c r="D114" i="5" a="1"/>
  <c r="D114" i="5" s="1"/>
  <c r="E113" i="5" a="1"/>
  <c r="E113" i="5" s="1"/>
  <c r="L113" i="5" s="1"/>
  <c r="D113" i="5" a="1"/>
  <c r="D113" i="5" s="1"/>
  <c r="K113" i="5" s="1"/>
  <c r="E112" i="5" a="1"/>
  <c r="E112" i="5" s="1"/>
  <c r="L112" i="5" s="1"/>
  <c r="D112" i="5" a="1"/>
  <c r="D112" i="5" s="1"/>
  <c r="E111" i="5" a="1"/>
  <c r="E111" i="5" s="1"/>
  <c r="L111" i="5" s="1"/>
  <c r="D111" i="5" a="1"/>
  <c r="D111" i="5" s="1"/>
  <c r="E110" i="5" a="1"/>
  <c r="E110" i="5" s="1"/>
  <c r="L110" i="5" s="1"/>
  <c r="D110" i="5" a="1"/>
  <c r="D110" i="5" s="1"/>
  <c r="K110" i="5" s="1"/>
  <c r="E109" i="5" a="1"/>
  <c r="E109" i="5" s="1"/>
  <c r="L109" i="5" s="1"/>
  <c r="D109" i="5" a="1"/>
  <c r="D109" i="5" s="1"/>
  <c r="K109" i="5" s="1"/>
  <c r="E108" i="5" a="1"/>
  <c r="E108" i="5" s="1"/>
  <c r="L108" i="5" s="1"/>
  <c r="D108" i="5" a="1"/>
  <c r="D108" i="5" s="1"/>
  <c r="G107" i="5"/>
  <c r="E107" i="5" s="1" a="1"/>
  <c r="E107" i="5" s="1"/>
  <c r="L107" i="5" s="1"/>
  <c r="D107" i="5" a="1"/>
  <c r="D107" i="5" s="1"/>
  <c r="K107" i="5" s="1"/>
  <c r="G106" i="5"/>
  <c r="E106" i="5" a="1"/>
  <c r="E106" i="5" s="1"/>
  <c r="L106" i="5" s="1"/>
  <c r="D106" i="5" a="1"/>
  <c r="D106" i="5" s="1"/>
  <c r="G105" i="5"/>
  <c r="E105" i="5" s="1" a="1"/>
  <c r="E105" i="5" s="1"/>
  <c r="L105" i="5" s="1"/>
  <c r="G104" i="5"/>
  <c r="E104" i="5" a="1"/>
  <c r="E104" i="5" s="1"/>
  <c r="L104" i="5" s="1"/>
  <c r="D104" i="5" a="1"/>
  <c r="D104" i="5" s="1"/>
  <c r="K104" i="5" s="1"/>
  <c r="G103" i="5"/>
  <c r="E103" i="5" s="1" a="1"/>
  <c r="E103" i="5" s="1"/>
  <c r="L103" i="5" s="1"/>
  <c r="G102" i="5"/>
  <c r="E102" i="5" a="1"/>
  <c r="E102" i="5" s="1"/>
  <c r="L102" i="5" s="1"/>
  <c r="D102" i="5" a="1"/>
  <c r="D102" i="5" s="1"/>
  <c r="G101" i="5"/>
  <c r="E101" i="5" s="1" a="1"/>
  <c r="E101" i="5" s="1"/>
  <c r="L101" i="5" s="1"/>
  <c r="G100" i="5"/>
  <c r="E100" i="5" a="1"/>
  <c r="E100" i="5" s="1"/>
  <c r="L100" i="5" s="1"/>
  <c r="D100" i="5" a="1"/>
  <c r="D100" i="5" s="1"/>
  <c r="E99" i="5" a="1"/>
  <c r="E99" i="5" s="1"/>
  <c r="L99" i="5" s="1"/>
  <c r="D99" i="5" a="1"/>
  <c r="D99" i="5" s="1"/>
  <c r="E98" i="5" a="1"/>
  <c r="E98" i="5" s="1"/>
  <c r="L98" i="5" s="1"/>
  <c r="D98" i="5" a="1"/>
  <c r="D98" i="5" s="1"/>
  <c r="K98" i="5" s="1"/>
  <c r="E97" i="5" a="1"/>
  <c r="E97" i="5" s="1"/>
  <c r="L97" i="5" s="1"/>
  <c r="D97" i="5" a="1"/>
  <c r="D97" i="5" s="1"/>
  <c r="K97" i="5" s="1"/>
  <c r="E96" i="5" a="1"/>
  <c r="E96" i="5" s="1"/>
  <c r="L96" i="5" s="1"/>
  <c r="D96" i="5" a="1"/>
  <c r="D96" i="5" s="1"/>
  <c r="E95" i="5" a="1"/>
  <c r="E95" i="5" s="1"/>
  <c r="L95" i="5" s="1"/>
  <c r="D95" i="5" a="1"/>
  <c r="D95" i="5" s="1"/>
  <c r="K95" i="5" s="1"/>
  <c r="E94" i="5" a="1"/>
  <c r="E94" i="5" s="1"/>
  <c r="L94" i="5" s="1"/>
  <c r="D94" i="5" a="1"/>
  <c r="D94" i="5" s="1"/>
  <c r="E93" i="5" a="1"/>
  <c r="E93" i="5" s="1"/>
  <c r="L93" i="5" s="1"/>
  <c r="D93" i="5" a="1"/>
  <c r="D93" i="5" s="1"/>
  <c r="E92" i="5" a="1"/>
  <c r="E92" i="5" s="1"/>
  <c r="L92" i="5" s="1"/>
  <c r="D92" i="5" a="1"/>
  <c r="D92" i="5" s="1"/>
  <c r="K92" i="5" s="1"/>
  <c r="G91" i="5"/>
  <c r="E91" i="5" s="1" a="1"/>
  <c r="E91" i="5" s="1"/>
  <c r="L91" i="5" s="1"/>
  <c r="D91" i="5" a="1"/>
  <c r="D91" i="5" s="1"/>
  <c r="K91" i="5" s="1"/>
  <c r="G90" i="5"/>
  <c r="E90" i="5" s="1" a="1"/>
  <c r="E90" i="5" s="1"/>
  <c r="L90" i="5" s="1"/>
  <c r="D90" i="5" a="1"/>
  <c r="D90" i="5" s="1"/>
  <c r="G89" i="5"/>
  <c r="E89" i="5" s="1" a="1"/>
  <c r="E89" i="5" s="1"/>
  <c r="L89" i="5" s="1"/>
  <c r="G88" i="5"/>
  <c r="D88" i="5" s="1" a="1"/>
  <c r="D88" i="5" s="1"/>
  <c r="G87" i="5"/>
  <c r="E87" i="5" s="1" a="1"/>
  <c r="E87" i="5" s="1"/>
  <c r="L87" i="5" s="1"/>
  <c r="D87" i="5" a="1"/>
  <c r="D87" i="5" s="1"/>
  <c r="G86" i="5"/>
  <c r="E86" i="5" s="1" a="1"/>
  <c r="E86" i="5" s="1"/>
  <c r="L86" i="5" s="1"/>
  <c r="D86" i="5" a="1"/>
  <c r="D86" i="5" s="1"/>
  <c r="K86" i="5" s="1"/>
  <c r="G85" i="5"/>
  <c r="G84" i="5"/>
  <c r="G83" i="5"/>
  <c r="E83" i="5" s="1" a="1"/>
  <c r="E83" i="5" s="1"/>
  <c r="L83" i="5" s="1"/>
  <c r="G82" i="5"/>
  <c r="D82" i="5" s="1" a="1"/>
  <c r="D82" i="5" s="1"/>
  <c r="G81" i="5"/>
  <c r="E81" i="5" s="1" a="1"/>
  <c r="E81" i="5" s="1"/>
  <c r="L81" i="5" s="1"/>
  <c r="D81" i="5" a="1"/>
  <c r="D81" i="5" s="1"/>
  <c r="G80" i="5"/>
  <c r="E80" i="5" a="1"/>
  <c r="E80" i="5" s="1"/>
  <c r="L80" i="5" s="1"/>
  <c r="D80" i="5" a="1"/>
  <c r="D80" i="5" s="1"/>
  <c r="K80" i="5" s="1"/>
  <c r="G79" i="5"/>
  <c r="G78" i="5"/>
  <c r="D78" i="5" s="1" a="1"/>
  <c r="D78" i="5" s="1"/>
  <c r="K78" i="5" s="1"/>
  <c r="G77" i="5"/>
  <c r="E77" i="5" s="1" a="1"/>
  <c r="E77" i="5" s="1"/>
  <c r="L77" i="5" s="1"/>
  <c r="G76" i="5"/>
  <c r="D76" i="5" s="1" a="1"/>
  <c r="D76" i="5" s="1"/>
  <c r="E76" i="5" a="1"/>
  <c r="E76" i="5" s="1"/>
  <c r="L76" i="5" s="1"/>
  <c r="G75" i="5"/>
  <c r="D75" i="5" s="1" a="1"/>
  <c r="D75" i="5" s="1"/>
  <c r="E75" i="5" a="1"/>
  <c r="E75" i="5" s="1"/>
  <c r="L75" i="5" s="1"/>
  <c r="G74" i="5"/>
  <c r="E74" i="5" s="1" a="1"/>
  <c r="E74" i="5" s="1"/>
  <c r="L74" i="5" s="1"/>
  <c r="D74" i="5" a="1"/>
  <c r="D74" i="5" s="1"/>
  <c r="K74" i="5" s="1"/>
  <c r="G73" i="5"/>
  <c r="E73" i="5" s="1" a="1"/>
  <c r="E73" i="5" s="1"/>
  <c r="L73" i="5" s="1"/>
  <c r="G72" i="5"/>
  <c r="D72" i="5" s="1" a="1"/>
  <c r="D72" i="5" s="1"/>
  <c r="K72" i="5" s="1"/>
  <c r="E72" i="5" a="1"/>
  <c r="E72" i="5" s="1"/>
  <c r="L72" i="5" s="1"/>
  <c r="G71" i="5"/>
  <c r="E71" i="5" s="1" a="1"/>
  <c r="E71" i="5" s="1"/>
  <c r="L71" i="5" s="1"/>
  <c r="G70" i="5"/>
  <c r="D70" i="5" s="1" a="1"/>
  <c r="D70" i="5" s="1"/>
  <c r="K70" i="5" s="1"/>
  <c r="G69" i="5"/>
  <c r="E69" i="5" s="1" a="1"/>
  <c r="E69" i="5" s="1"/>
  <c r="L69" i="5" s="1"/>
  <c r="G68" i="5"/>
  <c r="E68" i="5" a="1"/>
  <c r="E68" i="5" s="1"/>
  <c r="L68" i="5" s="1"/>
  <c r="D68" i="5" a="1"/>
  <c r="D68" i="5" s="1"/>
  <c r="K68" i="5" s="1"/>
  <c r="G67" i="5"/>
  <c r="E67" i="5" s="1" a="1"/>
  <c r="E67" i="5" s="1"/>
  <c r="L67" i="5" s="1"/>
  <c r="D67" i="5" a="1"/>
  <c r="D67" i="5" s="1"/>
  <c r="K67" i="5" s="1"/>
  <c r="G66" i="5"/>
  <c r="D66" i="5" s="1" a="1"/>
  <c r="D66" i="5" s="1"/>
  <c r="K66" i="5" s="1"/>
  <c r="G65" i="5"/>
  <c r="E65" i="5" s="1" a="1"/>
  <c r="E65" i="5" s="1"/>
  <c r="L65" i="5" s="1"/>
  <c r="D65" i="5" a="1"/>
  <c r="D65" i="5" s="1"/>
  <c r="K65" i="5" s="1"/>
  <c r="G64" i="5"/>
  <c r="D64" i="5" s="1" a="1"/>
  <c r="D64" i="5" s="1"/>
  <c r="K64" i="5" s="1"/>
  <c r="E64" i="5" a="1"/>
  <c r="E64" i="5" s="1"/>
  <c r="L64" i="5" s="1"/>
  <c r="G63" i="5"/>
  <c r="D63" i="5" s="1" a="1"/>
  <c r="D63" i="5" s="1"/>
  <c r="K63" i="5" s="1"/>
  <c r="G62" i="5"/>
  <c r="D62" i="5" s="1" a="1"/>
  <c r="D62" i="5" s="1"/>
  <c r="K62" i="5" s="1"/>
  <c r="E62" i="5" a="1"/>
  <c r="E62" i="5" s="1"/>
  <c r="L62" i="5" s="1"/>
  <c r="G61" i="5"/>
  <c r="E61" i="5" s="1" a="1"/>
  <c r="E61" i="5" s="1"/>
  <c r="L61" i="5" s="1"/>
  <c r="G60" i="5"/>
  <c r="D60" i="5" s="1" a="1"/>
  <c r="D60" i="5" s="1"/>
  <c r="K60" i="5" s="1"/>
  <c r="G59" i="5"/>
  <c r="E59" i="5" s="1" a="1"/>
  <c r="E59" i="5" s="1"/>
  <c r="L59" i="5" s="1"/>
  <c r="G58" i="5"/>
  <c r="D58" i="5" s="1" a="1"/>
  <c r="D58" i="5" s="1"/>
  <c r="K58" i="5" s="1"/>
  <c r="E58" i="5" a="1"/>
  <c r="E58" i="5" s="1"/>
  <c r="L58" i="5" s="1"/>
  <c r="G57" i="5"/>
  <c r="E57" i="5" a="1"/>
  <c r="E57" i="5" s="1"/>
  <c r="L57" i="5" s="1"/>
  <c r="D57" i="5" a="1"/>
  <c r="D57" i="5" s="1"/>
  <c r="K57" i="5" s="1"/>
  <c r="G56" i="5"/>
  <c r="E56" i="5" s="1" a="1"/>
  <c r="E56" i="5" s="1"/>
  <c r="L56" i="5" s="1"/>
  <c r="D56" i="5" a="1"/>
  <c r="D56" i="5" s="1"/>
  <c r="K56" i="5" s="1"/>
  <c r="G55" i="5"/>
  <c r="E55" i="5" s="1" a="1"/>
  <c r="E55" i="5" s="1"/>
  <c r="L55" i="5" s="1"/>
  <c r="G54" i="5"/>
  <c r="D54" i="5" s="1" a="1"/>
  <c r="D54" i="5" s="1"/>
  <c r="K54" i="5" s="1"/>
  <c r="E54" i="5" a="1"/>
  <c r="E54" i="5" s="1"/>
  <c r="L54" i="5" s="1"/>
  <c r="G53" i="5"/>
  <c r="E53" i="5" s="1" a="1"/>
  <c r="E53" i="5" s="1"/>
  <c r="L53" i="5" s="1"/>
  <c r="G52" i="5"/>
  <c r="D52" i="5" s="1" a="1"/>
  <c r="D52" i="5" s="1"/>
  <c r="K52" i="5" s="1"/>
  <c r="G51" i="5"/>
  <c r="E51" i="5" a="1"/>
  <c r="E51" i="5" s="1"/>
  <c r="L51" i="5" s="1"/>
  <c r="D51" i="5" a="1"/>
  <c r="D51" i="5" s="1"/>
  <c r="K51" i="5" s="1"/>
  <c r="G50" i="5"/>
  <c r="D50" i="5" s="1" a="1"/>
  <c r="D50" i="5" s="1"/>
  <c r="K50" i="5" s="1"/>
  <c r="E50" i="5" a="1"/>
  <c r="E50" i="5" s="1"/>
  <c r="L50" i="5" s="1"/>
  <c r="G49" i="5"/>
  <c r="D49" i="5" s="1" a="1"/>
  <c r="D49" i="5" s="1"/>
  <c r="K49" i="5" s="1"/>
  <c r="G48" i="5"/>
  <c r="D48" i="5" s="1" a="1"/>
  <c r="D48" i="5" s="1"/>
  <c r="K48" i="5" s="1"/>
  <c r="E48" i="5" a="1"/>
  <c r="E48" i="5" s="1"/>
  <c r="L48" i="5" s="1"/>
  <c r="G47" i="5"/>
  <c r="E47" i="5" s="1" a="1"/>
  <c r="E47" i="5" s="1"/>
  <c r="L47" i="5" s="1"/>
  <c r="G46" i="5"/>
  <c r="G45" i="5"/>
  <c r="D45" i="5" s="1" a="1"/>
  <c r="D45" i="5" s="1"/>
  <c r="K45" i="5" s="1"/>
  <c r="G44" i="5"/>
  <c r="E44" i="5" s="1" a="1"/>
  <c r="E44" i="5" s="1"/>
  <c r="L44" i="5" s="1"/>
  <c r="G43" i="5"/>
  <c r="D43" i="5" s="1" a="1"/>
  <c r="D43" i="5" s="1"/>
  <c r="K43" i="5" s="1"/>
  <c r="E43" i="5" a="1"/>
  <c r="E43" i="5" s="1"/>
  <c r="L43" i="5" s="1"/>
  <c r="G42" i="5"/>
  <c r="G41" i="5"/>
  <c r="E41" i="5" s="1" a="1"/>
  <c r="E41" i="5"/>
  <c r="L41" i="5" s="1"/>
  <c r="D41" i="5" a="1"/>
  <c r="D41" i="5" s="1"/>
  <c r="K41" i="5" s="1"/>
  <c r="G40" i="5"/>
  <c r="D40" i="5" s="1" a="1"/>
  <c r="D40" i="5" s="1"/>
  <c r="K40" i="5" s="1"/>
  <c r="G39" i="5"/>
  <c r="G38" i="5"/>
  <c r="E38" i="5" a="1"/>
  <c r="E38" i="5" s="1"/>
  <c r="L38" i="5" s="1"/>
  <c r="D38" i="5" a="1"/>
  <c r="D38" i="5" s="1"/>
  <c r="K38" i="5" s="1"/>
  <c r="G37" i="5"/>
  <c r="E37" i="5" s="1" a="1"/>
  <c r="E37" i="5" s="1"/>
  <c r="L37" i="5" s="1"/>
  <c r="G36" i="5"/>
  <c r="D36" i="5" s="1" a="1"/>
  <c r="D36" i="5" s="1"/>
  <c r="K36" i="5" s="1"/>
  <c r="E36" i="5" a="1"/>
  <c r="E36" i="5" s="1"/>
  <c r="L36" i="5" s="1"/>
  <c r="G35" i="5"/>
  <c r="G34" i="5"/>
  <c r="D34" i="5" s="1" a="1"/>
  <c r="D34" i="5" s="1"/>
  <c r="K34" i="5" s="1"/>
  <c r="E34" i="5" a="1"/>
  <c r="E34" i="5" s="1"/>
  <c r="L34" i="5" s="1"/>
  <c r="G33" i="5"/>
  <c r="D33" i="5" s="1" a="1"/>
  <c r="D33" i="5" s="1"/>
  <c r="K33" i="5" s="1"/>
  <c r="E33" i="5" a="1"/>
  <c r="E33" i="5" s="1"/>
  <c r="L33" i="5" s="1"/>
  <c r="G32" i="5"/>
  <c r="E32" i="5" s="1" a="1"/>
  <c r="E32" i="5" s="1"/>
  <c r="L32" i="5" s="1"/>
  <c r="G31" i="5"/>
  <c r="G30" i="5"/>
  <c r="D30" i="5" s="1" a="1"/>
  <c r="D30" i="5" s="1"/>
  <c r="K30" i="5" s="1"/>
  <c r="G29" i="5"/>
  <c r="E29" i="5" s="1" a="1"/>
  <c r="E29" i="5" s="1"/>
  <c r="L29" i="5" s="1"/>
  <c r="G28" i="5"/>
  <c r="G27" i="5"/>
  <c r="D27" i="5" s="1" a="1"/>
  <c r="D27" i="5" s="1"/>
  <c r="K27" i="5" s="1"/>
  <c r="G26" i="5"/>
  <c r="E26" i="5" s="1" a="1"/>
  <c r="E26" i="5" s="1"/>
  <c r="L26" i="5" s="1"/>
  <c r="G25" i="5"/>
  <c r="D25" i="5" s="1" a="1"/>
  <c r="D25" i="5" s="1"/>
  <c r="K25" i="5" s="1"/>
  <c r="E25" i="5" a="1"/>
  <c r="E25" i="5" s="1"/>
  <c r="L25" i="5" s="1"/>
  <c r="G24" i="5"/>
  <c r="G23" i="5"/>
  <c r="E23" i="5" s="1" a="1"/>
  <c r="E23" i="5" s="1"/>
  <c r="L23" i="5" s="1"/>
  <c r="D23" i="5" a="1"/>
  <c r="D23" i="5" s="1"/>
  <c r="K23" i="5" s="1"/>
  <c r="G22" i="5"/>
  <c r="D22" i="5" s="1" a="1"/>
  <c r="D22" i="5" s="1"/>
  <c r="K22" i="5" s="1"/>
  <c r="E22" i="5" a="1"/>
  <c r="E22" i="5" s="1"/>
  <c r="L22" i="5" s="1"/>
  <c r="G21" i="5"/>
  <c r="D21" i="5" s="1" a="1"/>
  <c r="D21" i="5" s="1"/>
  <c r="K21" i="5" s="1"/>
  <c r="G20" i="5"/>
  <c r="E20" i="5" s="1" a="1"/>
  <c r="E20" i="5" s="1"/>
  <c r="L20" i="5" s="1"/>
  <c r="D20" i="5" a="1"/>
  <c r="D20" i="5" s="1"/>
  <c r="K20" i="5" s="1"/>
  <c r="G19" i="5"/>
  <c r="G18" i="5"/>
  <c r="D18" i="5" s="1" a="1"/>
  <c r="D18" i="5" s="1"/>
  <c r="K18" i="5" s="1"/>
  <c r="G17" i="5"/>
  <c r="E17" i="5" a="1"/>
  <c r="E17" i="5" s="1"/>
  <c r="L17" i="5" s="1"/>
  <c r="D17" i="5" a="1"/>
  <c r="D17" i="5" s="1"/>
  <c r="K17" i="5" s="1"/>
  <c r="G16" i="5"/>
  <c r="D16" i="5" s="1" a="1"/>
  <c r="D16" i="5" s="1"/>
  <c r="K16" i="5" s="1"/>
  <c r="E16" i="5" a="1"/>
  <c r="E16" i="5" s="1"/>
  <c r="L16" i="5" s="1"/>
  <c r="G15" i="5"/>
  <c r="E15" i="5" s="1" a="1"/>
  <c r="E15" i="5" s="1"/>
  <c r="L15" i="5" s="1"/>
  <c r="G14" i="5"/>
  <c r="E14" i="5" s="1" a="1"/>
  <c r="E14" i="5" s="1"/>
  <c r="L14" i="5" s="1"/>
  <c r="G13" i="5"/>
  <c r="G12" i="5"/>
  <c r="D12" i="5" s="1" a="1"/>
  <c r="D12" i="5" s="1"/>
  <c r="K12" i="5" s="1"/>
  <c r="G11" i="5"/>
  <c r="E11" i="5" s="1" a="1"/>
  <c r="E11" i="5" s="1"/>
  <c r="L11" i="5" s="1"/>
  <c r="G10" i="5"/>
  <c r="D10" i="5" s="1" a="1"/>
  <c r="D10" i="5" s="1"/>
  <c r="K10" i="5" s="1"/>
  <c r="E10" i="5" a="1"/>
  <c r="E10" i="5" s="1"/>
  <c r="L10" i="5" s="1"/>
  <c r="G9" i="5"/>
  <c r="E9" i="5" a="1"/>
  <c r="E9" i="5" s="1"/>
  <c r="L9" i="5" s="1"/>
  <c r="D9" i="5" a="1"/>
  <c r="D9" i="5" s="1"/>
  <c r="K9" i="5" s="1"/>
  <c r="G8" i="5"/>
  <c r="E8" i="5" s="1" a="1"/>
  <c r="E8" i="5" s="1"/>
  <c r="L8" i="5" s="1"/>
  <c r="D8" i="5" a="1"/>
  <c r="D8" i="5" s="1"/>
  <c r="K8" i="5" s="1"/>
  <c r="G7" i="5"/>
  <c r="G6" i="5"/>
  <c r="D6" i="5" s="1" a="1"/>
  <c r="D6" i="5" s="1"/>
  <c r="K6" i="5" s="1"/>
  <c r="G5" i="5"/>
  <c r="E5" i="5" a="1"/>
  <c r="E5" i="5" s="1"/>
  <c r="L5" i="5" s="1"/>
  <c r="D5" i="5" a="1"/>
  <c r="D5" i="5" s="1"/>
  <c r="K5" i="5" s="1"/>
  <c r="G4" i="5"/>
  <c r="E4" i="5" a="1"/>
  <c r="E4" i="5" s="1"/>
  <c r="L4" i="5" s="1"/>
  <c r="D4" i="5" a="1"/>
  <c r="D4" i="5" s="1"/>
  <c r="K4" i="5" s="1"/>
  <c r="G3" i="5"/>
  <c r="D3" i="5" s="1" a="1"/>
  <c r="D3" i="5" s="1"/>
  <c r="K3" i="5" s="1"/>
  <c r="G2" i="5"/>
  <c r="E2" i="5" s="1" a="1"/>
  <c r="E2" i="5" s="1"/>
  <c r="L2" i="5" s="1"/>
  <c r="E29" i="3" a="1"/>
  <c r="E29" i="3" s="1"/>
  <c r="D29" i="3" a="1"/>
  <c r="D29" i="3" s="1"/>
  <c r="E28" i="3" a="1"/>
  <c r="E28" i="3" s="1"/>
  <c r="D28" i="3" a="1"/>
  <c r="D28" i="3" s="1"/>
  <c r="E27" i="3" a="1"/>
  <c r="E27" i="3" s="1"/>
  <c r="D27" i="3" a="1"/>
  <c r="D27" i="3" s="1"/>
  <c r="E26" i="3" a="1"/>
  <c r="E26" i="3" s="1"/>
  <c r="D26" i="3" a="1"/>
  <c r="D26" i="3" s="1"/>
  <c r="E25" i="3" a="1"/>
  <c r="E25" i="3" s="1"/>
  <c r="D25" i="3" a="1"/>
  <c r="D25" i="3" s="1"/>
  <c r="F25" i="3" s="1"/>
  <c r="E24" i="3" a="1"/>
  <c r="E24" i="3" s="1"/>
  <c r="D24" i="3" a="1"/>
  <c r="D24" i="3" s="1"/>
  <c r="E23" i="3" a="1"/>
  <c r="E23" i="3" s="1"/>
  <c r="D23" i="3" a="1"/>
  <c r="D23" i="3" s="1"/>
  <c r="E22" i="3" a="1"/>
  <c r="E22" i="3" s="1"/>
  <c r="D22" i="3" a="1"/>
  <c r="D22" i="3" s="1"/>
  <c r="E21" i="3" a="1"/>
  <c r="E21" i="3" s="1"/>
  <c r="D21" i="3" a="1"/>
  <c r="D21" i="3" s="1"/>
  <c r="E20" i="3" a="1"/>
  <c r="E20" i="3" s="1"/>
  <c r="D20" i="3" a="1"/>
  <c r="D20" i="3" s="1"/>
  <c r="E19" i="3" a="1"/>
  <c r="E19" i="3" s="1"/>
  <c r="D19" i="3" a="1"/>
  <c r="D19" i="3" s="1"/>
  <c r="E18" i="3" a="1"/>
  <c r="E18" i="3" s="1"/>
  <c r="D18" i="3" a="1"/>
  <c r="D18" i="3" s="1"/>
  <c r="F18" i="3" s="1"/>
  <c r="E17" i="3" a="1"/>
  <c r="E17" i="3" s="1"/>
  <c r="D17" i="3" a="1"/>
  <c r="D17" i="3" s="1"/>
  <c r="E16" i="3" a="1"/>
  <c r="E16" i="3" s="1"/>
  <c r="D16" i="3" a="1"/>
  <c r="D16" i="3" s="1"/>
  <c r="F16" i="3" s="1"/>
  <c r="E15" i="3" a="1"/>
  <c r="E15" i="3" s="1"/>
  <c r="D15" i="3" a="1"/>
  <c r="D15" i="3" s="1"/>
  <c r="E14" i="3" a="1"/>
  <c r="E14" i="3" s="1"/>
  <c r="D14" i="3" a="1"/>
  <c r="D14" i="3" s="1"/>
  <c r="E13" i="3" a="1"/>
  <c r="E13" i="3" s="1"/>
  <c r="D13" i="3" a="1"/>
  <c r="D13" i="3" s="1"/>
  <c r="F13" i="3" s="1"/>
  <c r="E12" i="3" a="1"/>
  <c r="E12" i="3" s="1"/>
  <c r="D12" i="3" a="1"/>
  <c r="D12" i="3" s="1"/>
  <c r="E11" i="3" a="1"/>
  <c r="E11" i="3" s="1"/>
  <c r="D11" i="3" a="1"/>
  <c r="D11" i="3" s="1"/>
  <c r="F11" i="3" s="1"/>
  <c r="E10" i="3" a="1"/>
  <c r="E10" i="3" s="1"/>
  <c r="D10" i="3" a="1"/>
  <c r="D10" i="3" s="1"/>
  <c r="F10" i="3" s="1"/>
  <c r="E9" i="3" a="1"/>
  <c r="E9" i="3" s="1"/>
  <c r="D9" i="3" a="1"/>
  <c r="D9" i="3" s="1"/>
  <c r="E8" i="3" a="1"/>
  <c r="E8" i="3" s="1"/>
  <c r="D8" i="3" a="1"/>
  <c r="D8" i="3" s="1"/>
  <c r="F8" i="3" s="1"/>
  <c r="E7" i="3" a="1"/>
  <c r="E7" i="3" s="1"/>
  <c r="D7" i="3" a="1"/>
  <c r="D7" i="3" s="1"/>
  <c r="E6" i="3" a="1"/>
  <c r="E6" i="3" s="1"/>
  <c r="D6" i="3" a="1"/>
  <c r="D6" i="3" s="1"/>
  <c r="E5" i="3" a="1"/>
  <c r="E5" i="3" s="1"/>
  <c r="D5" i="3" a="1"/>
  <c r="D5" i="3" s="1"/>
  <c r="F5" i="3" s="1"/>
  <c r="E4" i="3" a="1"/>
  <c r="E4" i="3" s="1"/>
  <c r="D4" i="3"/>
  <c r="D4" i="3" a="1"/>
  <c r="E3" i="3" a="1"/>
  <c r="E3" i="3" s="1"/>
  <c r="D3" i="3" a="1"/>
  <c r="D3" i="3" s="1"/>
  <c r="F3" i="3" s="1"/>
  <c r="E2" i="3" a="1"/>
  <c r="E2" i="3" s="1"/>
  <c r="D2" i="3" a="1"/>
  <c r="D2" i="3" s="1"/>
  <c r="F21" i="6" l="1"/>
  <c r="M21" i="6" s="1"/>
  <c r="F23" i="3"/>
  <c r="F21" i="3"/>
  <c r="F4" i="3"/>
  <c r="F90" i="5"/>
  <c r="M90" i="5" s="1"/>
  <c r="F6" i="6"/>
  <c r="M6" i="6" s="1"/>
  <c r="K6" i="6"/>
  <c r="F18" i="6"/>
  <c r="M18" i="6" s="1"/>
  <c r="K18" i="6"/>
  <c r="F5" i="5"/>
  <c r="M5" i="5" s="1"/>
  <c r="F17" i="5"/>
  <c r="M17" i="5" s="1"/>
  <c r="F23" i="5"/>
  <c r="M23" i="5" s="1"/>
  <c r="F41" i="5"/>
  <c r="M41" i="5" s="1"/>
  <c r="F65" i="5"/>
  <c r="M65" i="5" s="1"/>
  <c r="F91" i="5"/>
  <c r="M91" i="5" s="1"/>
  <c r="F115" i="5"/>
  <c r="M115" i="5" s="1"/>
  <c r="F9" i="6"/>
  <c r="M9" i="6" s="1"/>
  <c r="K82" i="5"/>
  <c r="K93" i="5"/>
  <c r="F93" i="5"/>
  <c r="M93" i="5" s="1"/>
  <c r="F96" i="5"/>
  <c r="M96" i="5" s="1"/>
  <c r="K99" i="5"/>
  <c r="F99" i="5"/>
  <c r="M99" i="5" s="1"/>
  <c r="F102" i="5"/>
  <c r="M102" i="5" s="1"/>
  <c r="F36" i="5"/>
  <c r="M36" i="5" s="1"/>
  <c r="F48" i="5"/>
  <c r="M48" i="5" s="1"/>
  <c r="F54" i="5"/>
  <c r="M54" i="5" s="1"/>
  <c r="F72" i="5"/>
  <c r="M72" i="5" s="1"/>
  <c r="F80" i="5"/>
  <c r="M80" i="5" s="1"/>
  <c r="F92" i="5"/>
  <c r="M92" i="5" s="1"/>
  <c r="F104" i="5"/>
  <c r="M104" i="5" s="1"/>
  <c r="F116" i="5"/>
  <c r="M116" i="5" s="1"/>
  <c r="F10" i="6"/>
  <c r="M10" i="6" s="1"/>
  <c r="F22" i="6"/>
  <c r="M22" i="6" s="1"/>
  <c r="F6" i="3"/>
  <c r="F24" i="3"/>
  <c r="F26" i="3"/>
  <c r="K75" i="5"/>
  <c r="F75" i="5"/>
  <c r="M75" i="5" s="1"/>
  <c r="K87" i="5"/>
  <c r="F87" i="5"/>
  <c r="M87" i="5" s="1"/>
  <c r="F108" i="5"/>
  <c r="M108" i="5" s="1"/>
  <c r="K111" i="5"/>
  <c r="F111" i="5"/>
  <c r="M111" i="5" s="1"/>
  <c r="F114" i="5"/>
  <c r="M114" i="5" s="1"/>
  <c r="K117" i="5"/>
  <c r="F117" i="5"/>
  <c r="M117" i="5" s="1"/>
  <c r="F2" i="6"/>
  <c r="M2" i="6" s="1"/>
  <c r="K11" i="6"/>
  <c r="F11" i="6"/>
  <c r="M11" i="6" s="1"/>
  <c r="F14" i="6"/>
  <c r="M14" i="6" s="1"/>
  <c r="K23" i="6"/>
  <c r="F23" i="6"/>
  <c r="M23" i="6" s="1"/>
  <c r="F25" i="5"/>
  <c r="M25" i="5" s="1"/>
  <c r="F43" i="5"/>
  <c r="M43" i="5" s="1"/>
  <c r="F67" i="5"/>
  <c r="M67" i="5" s="1"/>
  <c r="F95" i="5"/>
  <c r="M95" i="5" s="1"/>
  <c r="F107" i="5"/>
  <c r="M107" i="5" s="1"/>
  <c r="F119" i="5"/>
  <c r="M119" i="5" s="1"/>
  <c r="F13" i="6"/>
  <c r="M13" i="6" s="1"/>
  <c r="F9" i="3"/>
  <c r="F28" i="3"/>
  <c r="F94" i="5"/>
  <c r="M94" i="5" s="1"/>
  <c r="K94" i="5"/>
  <c r="F100" i="5"/>
  <c r="M100" i="5" s="1"/>
  <c r="K100" i="5"/>
  <c r="F106" i="5"/>
  <c r="M106" i="5" s="1"/>
  <c r="K106" i="5"/>
  <c r="F12" i="6"/>
  <c r="M12" i="6" s="1"/>
  <c r="K12" i="6"/>
  <c r="F24" i="6"/>
  <c r="M24" i="6" s="1"/>
  <c r="K24" i="6"/>
  <c r="F8" i="5"/>
  <c r="M8" i="5" s="1"/>
  <c r="F20" i="5"/>
  <c r="M20" i="5" s="1"/>
  <c r="F38" i="5"/>
  <c r="M38" i="5" s="1"/>
  <c r="F50" i="5"/>
  <c r="M50" i="5" s="1"/>
  <c r="F56" i="5"/>
  <c r="M56" i="5" s="1"/>
  <c r="F62" i="5"/>
  <c r="M62" i="5" s="1"/>
  <c r="F68" i="5"/>
  <c r="M68" i="5" s="1"/>
  <c r="F74" i="5"/>
  <c r="M74" i="5" s="1"/>
  <c r="F97" i="5"/>
  <c r="M97" i="5" s="1"/>
  <c r="F109" i="5"/>
  <c r="M109" i="5" s="1"/>
  <c r="F3" i="6"/>
  <c r="M3" i="6" s="1"/>
  <c r="F15" i="6"/>
  <c r="M15" i="6" s="1"/>
  <c r="F27" i="6"/>
  <c r="M27" i="6" s="1"/>
  <c r="F2" i="3"/>
  <c r="F12" i="3"/>
  <c r="F17" i="3"/>
  <c r="F22" i="3"/>
  <c r="F27" i="3"/>
  <c r="F29" i="3"/>
  <c r="F76" i="5"/>
  <c r="M76" i="5" s="1"/>
  <c r="K76" i="5"/>
  <c r="K88" i="5"/>
  <c r="F112" i="5"/>
  <c r="M112" i="5" s="1"/>
  <c r="K112" i="5"/>
  <c r="F118" i="5"/>
  <c r="M118" i="5" s="1"/>
  <c r="K118" i="5"/>
  <c r="F9" i="5"/>
  <c r="M9" i="5" s="1"/>
  <c r="F33" i="5"/>
  <c r="M33" i="5" s="1"/>
  <c r="F51" i="5"/>
  <c r="M51" i="5" s="1"/>
  <c r="F57" i="5"/>
  <c r="M57" i="5" s="1"/>
  <c r="F86" i="5"/>
  <c r="M86" i="5" s="1"/>
  <c r="F98" i="5"/>
  <c r="M98" i="5" s="1"/>
  <c r="F110" i="5"/>
  <c r="M110" i="5" s="1"/>
  <c r="F4" i="6"/>
  <c r="M4" i="6" s="1"/>
  <c r="F16" i="6"/>
  <c r="M16" i="6" s="1"/>
  <c r="F7" i="3"/>
  <c r="F15" i="3"/>
  <c r="F20" i="3"/>
  <c r="K81" i="5"/>
  <c r="F81" i="5"/>
  <c r="M81" i="5" s="1"/>
  <c r="K5" i="6"/>
  <c r="F5" i="6"/>
  <c r="M5" i="6" s="1"/>
  <c r="F8" i="6"/>
  <c r="M8" i="6" s="1"/>
  <c r="K17" i="6"/>
  <c r="F17" i="6"/>
  <c r="M17" i="6" s="1"/>
  <c r="F20" i="6"/>
  <c r="M20" i="6" s="1"/>
  <c r="K29" i="6"/>
  <c r="F29" i="6"/>
  <c r="M29" i="6" s="1"/>
  <c r="F4" i="5"/>
  <c r="M4" i="5" s="1"/>
  <c r="F10" i="5"/>
  <c r="M10" i="5" s="1"/>
  <c r="F16" i="5"/>
  <c r="M16" i="5" s="1"/>
  <c r="F22" i="5"/>
  <c r="M22" i="5" s="1"/>
  <c r="F34" i="5"/>
  <c r="M34" i="5" s="1"/>
  <c r="F58" i="5"/>
  <c r="M58" i="5" s="1"/>
  <c r="F64" i="5"/>
  <c r="M64" i="5" s="1"/>
  <c r="F113" i="5"/>
  <c r="M113" i="5" s="1"/>
  <c r="F7" i="6"/>
  <c r="M7" i="6" s="1"/>
  <c r="F19" i="6"/>
  <c r="M19" i="6" s="1"/>
  <c r="K90" i="5"/>
  <c r="K96" i="5"/>
  <c r="K102" i="5"/>
  <c r="K108" i="5"/>
  <c r="K114" i="5"/>
  <c r="K2" i="6"/>
  <c r="K8" i="6"/>
  <c r="K14" i="6"/>
  <c r="K20" i="6"/>
  <c r="D25" i="6" a="1"/>
  <c r="D25" i="6" s="1"/>
  <c r="D28" i="6" a="1"/>
  <c r="D28" i="6" s="1"/>
  <c r="D26" i="6" a="1"/>
  <c r="D26" i="6" s="1"/>
  <c r="E3" i="5" a="1"/>
  <c r="E3" i="5" s="1"/>
  <c r="L3" i="5" s="1"/>
  <c r="E27" i="5" a="1"/>
  <c r="E27" i="5" s="1"/>
  <c r="L27" i="5" s="1"/>
  <c r="E30" i="5" a="1"/>
  <c r="E30" i="5" s="1"/>
  <c r="L30" i="5" s="1"/>
  <c r="E40" i="5" a="1"/>
  <c r="E40" i="5" s="1"/>
  <c r="L40" i="5" s="1"/>
  <c r="E45" i="5" a="1"/>
  <c r="E45" i="5" s="1"/>
  <c r="L45" i="5" s="1"/>
  <c r="E60" i="5" a="1"/>
  <c r="E60" i="5" s="1"/>
  <c r="L60" i="5" s="1"/>
  <c r="E70" i="5" a="1"/>
  <c r="E70" i="5" s="1"/>
  <c r="L70" i="5" s="1"/>
  <c r="D61" i="5" a="1"/>
  <c r="D61" i="5" s="1"/>
  <c r="E82" i="5" a="1"/>
  <c r="E82" i="5" s="1"/>
  <c r="L82" i="5" s="1"/>
  <c r="D37" i="5" a="1"/>
  <c r="D37" i="5" s="1"/>
  <c r="D44" i="5" a="1"/>
  <c r="D44" i="5" s="1"/>
  <c r="D47" i="5" a="1"/>
  <c r="D47" i="5" s="1"/>
  <c r="D59" i="5" a="1"/>
  <c r="D59" i="5" s="1"/>
  <c r="D69" i="5" a="1"/>
  <c r="D69" i="5" s="1"/>
  <c r="D77" i="5" a="1"/>
  <c r="D77" i="5" s="1"/>
  <c r="D101" i="5" a="1"/>
  <c r="D101" i="5" s="1"/>
  <c r="D103" i="5" a="1"/>
  <c r="D103" i="5" s="1"/>
  <c r="D105" i="5" a="1"/>
  <c r="D105" i="5" s="1"/>
  <c r="D11" i="5" a="1"/>
  <c r="D11" i="5" s="1"/>
  <c r="D26" i="5" a="1"/>
  <c r="D26" i="5" s="1"/>
  <c r="D29" i="5" a="1"/>
  <c r="D29" i="5" s="1"/>
  <c r="D32" i="5" a="1"/>
  <c r="D32" i="5" s="1"/>
  <c r="D2" i="5" a="1"/>
  <c r="D2" i="5" s="1"/>
  <c r="E21" i="5" a="1"/>
  <c r="E21" i="5" s="1"/>
  <c r="L21" i="5" s="1"/>
  <c r="E52" i="5" a="1"/>
  <c r="E52" i="5" s="1"/>
  <c r="L52" i="5" s="1"/>
  <c r="D83" i="5" a="1"/>
  <c r="D83" i="5" s="1"/>
  <c r="E88" i="5" a="1"/>
  <c r="E88" i="5" s="1"/>
  <c r="L88" i="5" s="1"/>
  <c r="D14" i="5" a="1"/>
  <c r="D14" i="5" s="1"/>
  <c r="D31" i="5" a="1"/>
  <c r="D31" i="5" s="1"/>
  <c r="E31" i="5" a="1"/>
  <c r="E31" i="5" s="1"/>
  <c r="L31" i="5" s="1"/>
  <c r="E6" i="5" a="1"/>
  <c r="E6" i="5" s="1"/>
  <c r="L6" i="5" s="1"/>
  <c r="D7" i="5" a="1"/>
  <c r="D7" i="5" s="1"/>
  <c r="E7" i="5" a="1"/>
  <c r="E7" i="5" s="1"/>
  <c r="L7" i="5" s="1"/>
  <c r="D24" i="5" a="1"/>
  <c r="D24" i="5" s="1"/>
  <c r="E24" i="5" a="1"/>
  <c r="E24" i="5" s="1"/>
  <c r="L24" i="5" s="1"/>
  <c r="E35" i="5" a="1"/>
  <c r="E35" i="5" s="1"/>
  <c r="L35" i="5" s="1"/>
  <c r="D35" i="5" a="1"/>
  <c r="D35" i="5" s="1"/>
  <c r="D15" i="5" a="1"/>
  <c r="D15" i="5" s="1"/>
  <c r="E18" i="5" a="1"/>
  <c r="E18" i="5" s="1"/>
  <c r="L18" i="5" s="1"/>
  <c r="D19" i="5" a="1"/>
  <c r="D19" i="5" s="1"/>
  <c r="E19" i="5" a="1"/>
  <c r="E19" i="5" s="1"/>
  <c r="L19" i="5" s="1"/>
  <c r="D28" i="5" a="1"/>
  <c r="D28" i="5" s="1"/>
  <c r="E28" i="5" a="1"/>
  <c r="E28" i="5" s="1"/>
  <c r="L28" i="5" s="1"/>
  <c r="E39" i="5" a="1"/>
  <c r="E39" i="5" s="1"/>
  <c r="L39" i="5" s="1"/>
  <c r="D39" i="5" a="1"/>
  <c r="D39" i="5" s="1"/>
  <c r="D46" i="5" a="1"/>
  <c r="D46" i="5" s="1"/>
  <c r="E46" i="5" a="1"/>
  <c r="E46" i="5" s="1"/>
  <c r="L46" i="5" s="1"/>
  <c r="E12" i="5" a="1"/>
  <c r="E12" i="5" s="1"/>
  <c r="L12" i="5" s="1"/>
  <c r="D13" i="5" a="1"/>
  <c r="D13" i="5" s="1"/>
  <c r="E13" i="5" a="1"/>
  <c r="E13" i="5" s="1"/>
  <c r="L13" i="5" s="1"/>
  <c r="D42" i="5" a="1"/>
  <c r="D42" i="5" s="1"/>
  <c r="E42" i="5" a="1"/>
  <c r="E42" i="5" s="1"/>
  <c r="L42" i="5" s="1"/>
  <c r="E49" i="5" a="1"/>
  <c r="E49" i="5" s="1"/>
  <c r="L49" i="5" s="1"/>
  <c r="D55" i="5" a="1"/>
  <c r="D55" i="5" s="1"/>
  <c r="E63" i="5" a="1"/>
  <c r="E63" i="5" s="1"/>
  <c r="L63" i="5" s="1"/>
  <c r="D73" i="5" a="1"/>
  <c r="D73" i="5" s="1"/>
  <c r="D84" i="5" a="1"/>
  <c r="D84" i="5" s="1"/>
  <c r="E84" i="5" a="1"/>
  <c r="E84" i="5" s="1"/>
  <c r="L84" i="5" s="1"/>
  <c r="E85" i="5" a="1"/>
  <c r="E85" i="5" s="1"/>
  <c r="L85" i="5" s="1"/>
  <c r="D85" i="5" a="1"/>
  <c r="D85" i="5" s="1"/>
  <c r="E79" i="5" a="1"/>
  <c r="E79" i="5" s="1"/>
  <c r="L79" i="5" s="1"/>
  <c r="D79" i="5" a="1"/>
  <c r="D79" i="5" s="1"/>
  <c r="D53" i="5" a="1"/>
  <c r="D53" i="5" s="1"/>
  <c r="E66" i="5" a="1"/>
  <c r="E66" i="5" s="1"/>
  <c r="L66" i="5" s="1"/>
  <c r="D71" i="5" a="1"/>
  <c r="D71" i="5" s="1"/>
  <c r="E78" i="5" a="1"/>
  <c r="E78" i="5" s="1"/>
  <c r="L78" i="5" s="1"/>
  <c r="D89" i="5" a="1"/>
  <c r="D89" i="5" s="1"/>
  <c r="F14" i="3"/>
  <c r="F19" i="3"/>
  <c r="E173" i="2" a="1"/>
  <c r="E173" i="2" s="1"/>
  <c r="E172" i="2" a="1"/>
  <c r="E172" i="2" s="1"/>
  <c r="E171" i="2" a="1"/>
  <c r="E171" i="2" s="1"/>
  <c r="E170" i="2" a="1"/>
  <c r="E170" i="2" s="1"/>
  <c r="E169" i="2" a="1"/>
  <c r="E169" i="2" s="1"/>
  <c r="E168" i="2" a="1"/>
  <c r="E168" i="2" s="1"/>
  <c r="E167" i="2" a="1"/>
  <c r="E167" i="2" s="1"/>
  <c r="E166" i="2" a="1"/>
  <c r="E166" i="2" s="1"/>
  <c r="E165" i="2" a="1"/>
  <c r="E165" i="2" s="1"/>
  <c r="E164" i="2" a="1"/>
  <c r="E164" i="2" s="1"/>
  <c r="E163" i="2" a="1"/>
  <c r="E163" i="2" s="1"/>
  <c r="E162" i="2" a="1"/>
  <c r="E162" i="2" s="1"/>
  <c r="E153" i="2" a="1"/>
  <c r="E153" i="2" s="1"/>
  <c r="E152" i="2" a="1"/>
  <c r="E152" i="2" s="1"/>
  <c r="E151" i="2" a="1"/>
  <c r="E151" i="2" s="1"/>
  <c r="E150" i="2" a="1"/>
  <c r="E150" i="2" s="1"/>
  <c r="E149" i="2" a="1"/>
  <c r="E149" i="2" s="1"/>
  <c r="E148" i="2" a="1"/>
  <c r="E148" i="2" s="1"/>
  <c r="E147" i="2" a="1"/>
  <c r="E147" i="2" s="1"/>
  <c r="E146" i="2" a="1"/>
  <c r="E146" i="2" s="1"/>
  <c r="D173" i="2" a="1"/>
  <c r="D173" i="2" s="1"/>
  <c r="F173" i="2" s="1"/>
  <c r="D172" i="2" a="1"/>
  <c r="D172" i="2" s="1"/>
  <c r="F172" i="2" s="1"/>
  <c r="D171" i="2" a="1"/>
  <c r="D171" i="2" s="1"/>
  <c r="F171" i="2" s="1"/>
  <c r="D170" i="2" a="1"/>
  <c r="D170" i="2" s="1"/>
  <c r="D169" i="2" a="1"/>
  <c r="D169" i="2" s="1"/>
  <c r="F169" i="2" s="1"/>
  <c r="D168" i="2" a="1"/>
  <c r="D168" i="2" s="1"/>
  <c r="F168" i="2" s="1"/>
  <c r="D167" i="2" a="1"/>
  <c r="D167" i="2" s="1"/>
  <c r="F167" i="2" s="1"/>
  <c r="D166" i="2" a="1"/>
  <c r="D166" i="2" s="1"/>
  <c r="F166" i="2" s="1"/>
  <c r="D165" i="2" a="1"/>
  <c r="D165" i="2" s="1"/>
  <c r="F165" i="2" s="1"/>
  <c r="D164" i="2" a="1"/>
  <c r="D164" i="2" s="1"/>
  <c r="D163" i="2" a="1"/>
  <c r="D163" i="2" s="1"/>
  <c r="F163" i="2" s="1"/>
  <c r="D162" i="2" a="1"/>
  <c r="D162" i="2" s="1"/>
  <c r="F162" i="2" s="1"/>
  <c r="D153" i="2" a="1"/>
  <c r="D153" i="2" s="1"/>
  <c r="F153" i="2" s="1"/>
  <c r="D152" i="2" a="1"/>
  <c r="D152" i="2" s="1"/>
  <c r="F152" i="2" s="1"/>
  <c r="D151" i="2" a="1"/>
  <c r="D151" i="2" s="1"/>
  <c r="F151" i="2" s="1"/>
  <c r="D150" i="2" a="1"/>
  <c r="D150" i="2" s="1"/>
  <c r="D149" i="2" a="1"/>
  <c r="D149" i="2" s="1"/>
  <c r="F149" i="2" s="1"/>
  <c r="D148" i="2" a="1"/>
  <c r="D148" i="2" s="1"/>
  <c r="F148" i="2" s="1"/>
  <c r="D147" i="2" a="1"/>
  <c r="D147" i="2" s="1"/>
  <c r="F147" i="2" s="1"/>
  <c r="D146" i="2" a="1"/>
  <c r="D146" i="2" s="1"/>
  <c r="F146" i="2" s="1"/>
  <c r="F150" i="2" l="1"/>
  <c r="F164" i="2"/>
  <c r="F170" i="2"/>
  <c r="K85" i="5"/>
  <c r="F85" i="5"/>
  <c r="M85" i="5" s="1"/>
  <c r="K55" i="5"/>
  <c r="F55" i="5"/>
  <c r="M55" i="5" s="1"/>
  <c r="K28" i="5"/>
  <c r="F28" i="5"/>
  <c r="M28" i="5" s="1"/>
  <c r="K105" i="5"/>
  <c r="F105" i="5"/>
  <c r="M105" i="5" s="1"/>
  <c r="K47" i="5"/>
  <c r="F47" i="5"/>
  <c r="M47" i="5" s="1"/>
  <c r="F26" i="6"/>
  <c r="M26" i="6" s="1"/>
  <c r="K26" i="6"/>
  <c r="F66" i="5"/>
  <c r="M66" i="5" s="1"/>
  <c r="F18" i="5"/>
  <c r="M18" i="5" s="1"/>
  <c r="K71" i="5"/>
  <c r="F71" i="5"/>
  <c r="M71" i="5" s="1"/>
  <c r="K31" i="5"/>
  <c r="F31" i="5"/>
  <c r="M31" i="5" s="1"/>
  <c r="F2" i="5"/>
  <c r="M2" i="5" s="1"/>
  <c r="K2" i="5"/>
  <c r="K103" i="5"/>
  <c r="F103" i="5"/>
  <c r="M103" i="5" s="1"/>
  <c r="K44" i="5"/>
  <c r="F44" i="5"/>
  <c r="M44" i="5" s="1"/>
  <c r="K28" i="6"/>
  <c r="F28" i="6"/>
  <c r="M28" i="6" s="1"/>
  <c r="F52" i="5"/>
  <c r="M52" i="5" s="1"/>
  <c r="F27" i="5"/>
  <c r="M27" i="5" s="1"/>
  <c r="F49" i="5"/>
  <c r="M49" i="5" s="1"/>
  <c r="F60" i="5"/>
  <c r="M60" i="5" s="1"/>
  <c r="F12" i="5"/>
  <c r="M12" i="5" s="1"/>
  <c r="K46" i="5"/>
  <c r="F46" i="5"/>
  <c r="M46" i="5" s="1"/>
  <c r="K19" i="5"/>
  <c r="F19" i="5"/>
  <c r="M19" i="5" s="1"/>
  <c r="K24" i="5"/>
  <c r="F24" i="5"/>
  <c r="M24" i="5" s="1"/>
  <c r="F14" i="5"/>
  <c r="M14" i="5" s="1"/>
  <c r="K14" i="5"/>
  <c r="K32" i="5"/>
  <c r="F32" i="5"/>
  <c r="M32" i="5" s="1"/>
  <c r="K101" i="5"/>
  <c r="F101" i="5"/>
  <c r="M101" i="5" s="1"/>
  <c r="K37" i="5"/>
  <c r="F37" i="5"/>
  <c r="M37" i="5" s="1"/>
  <c r="K25" i="6"/>
  <c r="F25" i="6"/>
  <c r="M25" i="6" s="1"/>
  <c r="F40" i="5"/>
  <c r="M40" i="5" s="1"/>
  <c r="F63" i="5"/>
  <c r="M63" i="5" s="1"/>
  <c r="F21" i="5"/>
  <c r="M21" i="5" s="1"/>
  <c r="F6" i="5"/>
  <c r="M6" i="5" s="1"/>
  <c r="K53" i="5"/>
  <c r="F53" i="5"/>
  <c r="M53" i="5" s="1"/>
  <c r="F84" i="5"/>
  <c r="M84" i="5" s="1"/>
  <c r="K84" i="5"/>
  <c r="K42" i="5"/>
  <c r="F42" i="5"/>
  <c r="M42" i="5" s="1"/>
  <c r="K39" i="5"/>
  <c r="F39" i="5"/>
  <c r="M39" i="5" s="1"/>
  <c r="K29" i="5"/>
  <c r="F29" i="5"/>
  <c r="M29" i="5" s="1"/>
  <c r="K77" i="5"/>
  <c r="F77" i="5"/>
  <c r="M77" i="5" s="1"/>
  <c r="F78" i="5"/>
  <c r="M78" i="5" s="1"/>
  <c r="K79" i="5"/>
  <c r="F79" i="5"/>
  <c r="M79" i="5" s="1"/>
  <c r="K73" i="5"/>
  <c r="F73" i="5"/>
  <c r="M73" i="5" s="1"/>
  <c r="K15" i="5"/>
  <c r="F15" i="5"/>
  <c r="M15" i="5" s="1"/>
  <c r="K7" i="5"/>
  <c r="F7" i="5"/>
  <c r="M7" i="5" s="1"/>
  <c r="K83" i="5"/>
  <c r="F83" i="5"/>
  <c r="M83" i="5" s="1"/>
  <c r="K26" i="5"/>
  <c r="F26" i="5"/>
  <c r="M26" i="5" s="1"/>
  <c r="K69" i="5"/>
  <c r="F69" i="5"/>
  <c r="M69" i="5" s="1"/>
  <c r="K61" i="5"/>
  <c r="F61" i="5"/>
  <c r="M61" i="5" s="1"/>
  <c r="F70" i="5"/>
  <c r="M70" i="5" s="1"/>
  <c r="F3" i="5"/>
  <c r="M3" i="5" s="1"/>
  <c r="F88" i="5"/>
  <c r="M88" i="5" s="1"/>
  <c r="F82" i="5"/>
  <c r="M82" i="5" s="1"/>
  <c r="K89" i="5"/>
  <c r="F89" i="5"/>
  <c r="M89" i="5" s="1"/>
  <c r="K13" i="5"/>
  <c r="F13" i="5"/>
  <c r="M13" i="5" s="1"/>
  <c r="K35" i="5"/>
  <c r="F35" i="5"/>
  <c r="M35" i="5" s="1"/>
  <c r="K11" i="5"/>
  <c r="F11" i="5"/>
  <c r="M11" i="5" s="1"/>
  <c r="K59" i="5"/>
  <c r="F59" i="5"/>
  <c r="M59" i="5" s="1"/>
  <c r="F45" i="5"/>
  <c r="M45" i="5" s="1"/>
  <c r="F30" i="5"/>
  <c r="M30" i="5" s="1"/>
  <c r="G23" i="3"/>
  <c r="G22" i="3"/>
  <c r="G21" i="3"/>
  <c r="G20" i="3"/>
  <c r="G19" i="3"/>
  <c r="G18" i="3"/>
  <c r="G17" i="3"/>
  <c r="G13" i="3"/>
  <c r="G12" i="3"/>
  <c r="G16" i="3"/>
  <c r="G15" i="3"/>
  <c r="G14" i="3"/>
  <c r="G11" i="3"/>
  <c r="G10" i="3"/>
  <c r="G9" i="3"/>
  <c r="G8" i="3"/>
  <c r="G7" i="3"/>
  <c r="G6" i="3"/>
  <c r="G5" i="3"/>
  <c r="G4" i="3"/>
  <c r="G3" i="3"/>
  <c r="G2" i="3"/>
  <c r="G29" i="3"/>
  <c r="G28" i="3"/>
  <c r="G27" i="3"/>
  <c r="G26" i="3"/>
  <c r="G25" i="3"/>
  <c r="G24" i="3"/>
  <c r="G127" i="2"/>
  <c r="G126" i="2"/>
  <c r="G125" i="2"/>
  <c r="G124" i="2"/>
  <c r="G123" i="2"/>
  <c r="G122" i="2"/>
  <c r="G121" i="2"/>
  <c r="G120" i="2"/>
  <c r="G119" i="2"/>
  <c r="G118" i="2"/>
  <c r="G155" i="2"/>
  <c r="G154" i="2"/>
  <c r="G71" i="2"/>
  <c r="G70" i="2"/>
  <c r="G69" i="2"/>
  <c r="G68" i="2"/>
  <c r="G67" i="2"/>
  <c r="G66" i="2"/>
  <c r="G65" i="2"/>
  <c r="G64" i="2"/>
  <c r="G161" i="2"/>
  <c r="G160" i="2"/>
  <c r="G159" i="2"/>
  <c r="G158" i="2"/>
  <c r="G157" i="2"/>
  <c r="G156" i="2"/>
  <c r="G47" i="2"/>
  <c r="G46" i="2"/>
  <c r="G45" i="2"/>
  <c r="G44" i="2"/>
  <c r="G43" i="2"/>
  <c r="G42" i="2"/>
  <c r="G41" i="2"/>
  <c r="G40" i="2"/>
  <c r="G55" i="2"/>
  <c r="G54" i="2"/>
  <c r="G53" i="2"/>
  <c r="G52" i="2"/>
  <c r="G51" i="2"/>
  <c r="G50" i="2"/>
  <c r="G117" i="2"/>
  <c r="G116" i="2"/>
  <c r="G115" i="2"/>
  <c r="G114" i="2"/>
  <c r="G113" i="2"/>
  <c r="G112" i="2"/>
  <c r="G111" i="2"/>
  <c r="G110" i="2"/>
  <c r="G137" i="2"/>
  <c r="G136" i="2"/>
  <c r="G135" i="2"/>
  <c r="G134" i="2"/>
  <c r="G133" i="2"/>
  <c r="G109" i="2"/>
  <c r="G108" i="2"/>
  <c r="G107" i="2"/>
  <c r="G106" i="2"/>
  <c r="G132" i="2"/>
  <c r="G131" i="2"/>
  <c r="G130" i="2"/>
  <c r="G129" i="2"/>
  <c r="G128" i="2"/>
  <c r="G105" i="2"/>
  <c r="G104" i="2"/>
  <c r="G103" i="2"/>
  <c r="G102" i="2"/>
  <c r="G63" i="2"/>
  <c r="G62" i="2"/>
  <c r="G61" i="2"/>
  <c r="G60" i="2"/>
  <c r="G91" i="2"/>
  <c r="G90" i="2"/>
  <c r="G89" i="2"/>
  <c r="G88" i="2"/>
  <c r="G87" i="2"/>
  <c r="G59" i="2"/>
  <c r="G58" i="2"/>
  <c r="G57" i="2"/>
  <c r="G56" i="2"/>
  <c r="G86" i="2"/>
  <c r="G85" i="2"/>
  <c r="G84" i="2"/>
  <c r="G83" i="2"/>
  <c r="G82" i="2"/>
  <c r="G101" i="2"/>
  <c r="G100" i="2"/>
  <c r="G99" i="2"/>
  <c r="G98" i="2"/>
  <c r="G97" i="2"/>
  <c r="G96" i="2"/>
  <c r="G95" i="2"/>
  <c r="G94" i="2"/>
  <c r="G93" i="2"/>
  <c r="G92" i="2"/>
  <c r="G31" i="2"/>
  <c r="G30" i="2"/>
  <c r="G29" i="2"/>
  <c r="G28" i="2"/>
  <c r="G27" i="2"/>
  <c r="G26" i="2"/>
  <c r="G49" i="2"/>
  <c r="G25" i="2"/>
  <c r="G24" i="2"/>
  <c r="G23" i="2"/>
  <c r="G22" i="2"/>
  <c r="G48" i="2"/>
  <c r="G21" i="2"/>
  <c r="G20" i="2"/>
  <c r="G19" i="2"/>
  <c r="G18" i="2"/>
  <c r="G145" i="2"/>
  <c r="G144" i="2"/>
  <c r="G143" i="2"/>
  <c r="G142" i="2"/>
  <c r="G39" i="2"/>
  <c r="G38" i="2"/>
  <c r="G37" i="2"/>
  <c r="G36" i="2"/>
  <c r="G141" i="2"/>
  <c r="G140" i="2"/>
  <c r="G139" i="2"/>
  <c r="G138" i="2"/>
  <c r="G35" i="2"/>
  <c r="G34" i="2"/>
  <c r="G33" i="2"/>
  <c r="G32" i="2"/>
  <c r="G17" i="2"/>
  <c r="G16" i="2"/>
  <c r="G15" i="2"/>
  <c r="G14" i="2"/>
  <c r="G13" i="2"/>
  <c r="G12" i="2"/>
  <c r="G11" i="2"/>
  <c r="G10" i="2"/>
  <c r="G81" i="2"/>
  <c r="G80" i="2"/>
  <c r="G79" i="2"/>
  <c r="G78" i="2"/>
  <c r="G77" i="2"/>
  <c r="G76" i="2"/>
  <c r="G75" i="2"/>
  <c r="G74" i="2"/>
  <c r="G73" i="2"/>
  <c r="G72" i="2"/>
  <c r="G9" i="2"/>
  <c r="G8" i="2"/>
  <c r="G7" i="2"/>
  <c r="G6" i="2"/>
  <c r="G5" i="2"/>
  <c r="G4" i="2"/>
  <c r="G3" i="2"/>
  <c r="G2" i="2"/>
  <c r="R105" i="1"/>
  <c r="R104" i="1"/>
  <c r="P103" i="1"/>
  <c r="O103" i="1"/>
  <c r="N103" i="1"/>
  <c r="M103" i="1"/>
  <c r="M104" i="1" s="1"/>
  <c r="L103" i="1"/>
  <c r="K103" i="1"/>
  <c r="J103" i="1"/>
  <c r="I103" i="1"/>
  <c r="G103" i="1"/>
  <c r="G104" i="1" s="1"/>
  <c r="F103" i="1"/>
  <c r="F104" i="1" s="1"/>
  <c r="D138" i="2" l="1" a="1"/>
  <c r="D138" i="2" s="1"/>
  <c r="E138" i="2" a="1"/>
  <c r="E138" i="2" s="1"/>
  <c r="D23" i="2" a="1"/>
  <c r="D23" i="2" s="1"/>
  <c r="E23" i="2" a="1"/>
  <c r="E23" i="2" s="1"/>
  <c r="D100" i="2" a="1"/>
  <c r="D100" i="2" s="1"/>
  <c r="F100" i="2" s="1"/>
  <c r="E100" i="2" a="1"/>
  <c r="E100" i="2" s="1"/>
  <c r="D88" i="2" a="1"/>
  <c r="D88" i="2" s="1"/>
  <c r="E88" i="2" a="1"/>
  <c r="E88" i="2" s="1"/>
  <c r="D156" i="2" a="1"/>
  <c r="D156" i="2" s="1"/>
  <c r="E156" i="2" a="1"/>
  <c r="E156" i="2" s="1"/>
  <c r="D70" i="2" a="1"/>
  <c r="D70" i="2" s="1"/>
  <c r="F70" i="2" s="1"/>
  <c r="E70" i="2" a="1"/>
  <c r="E70" i="2" s="1"/>
  <c r="D77" i="2" a="1"/>
  <c r="D77" i="2" s="1"/>
  <c r="E77" i="2" a="1"/>
  <c r="E77" i="2" s="1"/>
  <c r="D95" i="2" a="1"/>
  <c r="D95" i="2" s="1"/>
  <c r="E95" i="2" a="1"/>
  <c r="E95" i="2" s="1"/>
  <c r="D63" i="2" a="1"/>
  <c r="D63" i="2" s="1"/>
  <c r="F63" i="2" s="1"/>
  <c r="E63" i="2" a="1"/>
  <c r="E63" i="2" s="1"/>
  <c r="D137" i="2" a="1"/>
  <c r="D137" i="2" s="1"/>
  <c r="E137" i="2" a="1"/>
  <c r="E137" i="2" s="1"/>
  <c r="D43" i="2" a="1"/>
  <c r="D43" i="2" s="1"/>
  <c r="E43" i="2" a="1"/>
  <c r="E43" i="2" s="1"/>
  <c r="D121" i="2" a="1"/>
  <c r="D121" i="2" s="1"/>
  <c r="F121" i="2" s="1"/>
  <c r="E121" i="2" a="1"/>
  <c r="E121" i="2" s="1"/>
  <c r="D72" i="2" a="1"/>
  <c r="D72" i="2" s="1"/>
  <c r="E72" i="2" a="1"/>
  <c r="E72" i="2" s="1"/>
  <c r="D78" i="2" a="1"/>
  <c r="D78" i="2" s="1"/>
  <c r="E78" i="2" a="1"/>
  <c r="E78" i="2" s="1"/>
  <c r="D12" i="2" a="1"/>
  <c r="D12" i="2" s="1"/>
  <c r="F12" i="2" s="1"/>
  <c r="E12" i="2" a="1"/>
  <c r="E12" i="2" s="1"/>
  <c r="D32" i="2" a="1"/>
  <c r="D32" i="2" s="1"/>
  <c r="E32" i="2" a="1"/>
  <c r="E32" i="2" s="1"/>
  <c r="D140" i="2" a="1"/>
  <c r="D140" i="2" s="1"/>
  <c r="E140" i="2" a="1"/>
  <c r="E140" i="2" s="1"/>
  <c r="D142" i="2" a="1"/>
  <c r="D142" i="2" s="1"/>
  <c r="F142" i="2" s="1"/>
  <c r="E142" i="2" a="1"/>
  <c r="E142" i="2" s="1"/>
  <c r="D20" i="2" a="1"/>
  <c r="D20" i="2" s="1"/>
  <c r="E20" i="2" a="1"/>
  <c r="E20" i="2" s="1"/>
  <c r="D25" i="2" a="1"/>
  <c r="D25" i="2" s="1"/>
  <c r="E25" i="2" a="1"/>
  <c r="E25" i="2" s="1"/>
  <c r="D30" i="2" a="1"/>
  <c r="D30" i="2" s="1"/>
  <c r="F30" i="2" s="1"/>
  <c r="E30" i="2" a="1"/>
  <c r="E30" i="2" s="1"/>
  <c r="D96" i="2" a="1"/>
  <c r="D96" i="2" s="1"/>
  <c r="E96" i="2" a="1"/>
  <c r="E96" i="2" s="1"/>
  <c r="D82" i="2" a="1"/>
  <c r="D82" i="2" s="1"/>
  <c r="E82" i="2" a="1"/>
  <c r="E82" i="2" s="1"/>
  <c r="D57" i="2" a="1"/>
  <c r="D57" i="2" s="1"/>
  <c r="F57" i="2" s="1"/>
  <c r="E57" i="2" a="1"/>
  <c r="E57" i="2" s="1"/>
  <c r="D90" i="2" a="1"/>
  <c r="D90" i="2" s="1"/>
  <c r="E90" i="2" a="1"/>
  <c r="E90" i="2" s="1"/>
  <c r="D102" i="2" a="1"/>
  <c r="D102" i="2" s="1"/>
  <c r="E102" i="2" a="1"/>
  <c r="E102" i="2" s="1"/>
  <c r="D130" i="2" a="1"/>
  <c r="D130" i="2" s="1"/>
  <c r="F130" i="2" s="1"/>
  <c r="E130" i="2" a="1"/>
  <c r="E130" i="2" s="1"/>
  <c r="D109" i="2" a="1"/>
  <c r="D109" i="2" s="1"/>
  <c r="E109" i="2" a="1"/>
  <c r="E109" i="2" s="1"/>
  <c r="D110" i="2" a="1"/>
  <c r="D110" i="2" s="1"/>
  <c r="E110" i="2" a="1"/>
  <c r="E110" i="2" s="1"/>
  <c r="D116" i="2" a="1"/>
  <c r="D116" i="2" s="1"/>
  <c r="F116" i="2" s="1"/>
  <c r="E116" i="2" a="1"/>
  <c r="E116" i="2" s="1"/>
  <c r="D54" i="2" a="1"/>
  <c r="D54" i="2" s="1"/>
  <c r="E54" i="2" a="1"/>
  <c r="E54" i="2" s="1"/>
  <c r="D44" i="2" a="1"/>
  <c r="D44" i="2" s="1"/>
  <c r="E44" i="2" a="1"/>
  <c r="E44" i="2" s="1"/>
  <c r="D158" i="2" a="1"/>
  <c r="D158" i="2" s="1"/>
  <c r="F158" i="2" s="1"/>
  <c r="E158" i="2" a="1"/>
  <c r="E158" i="2" s="1"/>
  <c r="D66" i="2" a="1"/>
  <c r="D66" i="2" s="1"/>
  <c r="E66" i="2" a="1"/>
  <c r="E66" i="2" s="1"/>
  <c r="D154" i="2" a="1"/>
  <c r="D154" i="2" s="1"/>
  <c r="E154" i="2" a="1"/>
  <c r="E154" i="2" s="1"/>
  <c r="D122" i="2" a="1"/>
  <c r="D122" i="2" s="1"/>
  <c r="F122" i="2" s="1"/>
  <c r="E122" i="2" a="1"/>
  <c r="E122" i="2" s="1"/>
  <c r="D76" i="2" a="1"/>
  <c r="D76" i="2" s="1"/>
  <c r="E76" i="2" a="1"/>
  <c r="E76" i="2" s="1"/>
  <c r="D16" i="2" a="1"/>
  <c r="D16" i="2" s="1"/>
  <c r="E16" i="2" a="1"/>
  <c r="E16" i="2" s="1"/>
  <c r="D18" i="2" a="1"/>
  <c r="D18" i="2" s="1"/>
  <c r="F18" i="2" s="1"/>
  <c r="E18" i="2" a="1"/>
  <c r="E18" i="2" s="1"/>
  <c r="D28" i="2" a="1"/>
  <c r="D28" i="2" s="1"/>
  <c r="E28" i="2" a="1"/>
  <c r="E28" i="2" s="1"/>
  <c r="D86" i="2" a="1"/>
  <c r="D86" i="2" s="1"/>
  <c r="E86" i="2" a="1"/>
  <c r="E86" i="2" s="1"/>
  <c r="D62" i="2" a="1"/>
  <c r="D62" i="2" s="1"/>
  <c r="F62" i="2" s="1"/>
  <c r="E62" i="2" a="1"/>
  <c r="E62" i="2" s="1"/>
  <c r="D107" i="2" a="1"/>
  <c r="D107" i="2" s="1"/>
  <c r="E107" i="2" a="1"/>
  <c r="E107" i="2" s="1"/>
  <c r="D52" i="2" a="1"/>
  <c r="D52" i="2" s="1"/>
  <c r="E52" i="2" a="1"/>
  <c r="E52" i="2" s="1"/>
  <c r="D126" i="2" a="1"/>
  <c r="D126" i="2" s="1"/>
  <c r="F126" i="2" s="1"/>
  <c r="E126" i="2" a="1"/>
  <c r="E126" i="2" s="1"/>
  <c r="D9" i="2" a="1"/>
  <c r="D9" i="2" s="1"/>
  <c r="E9" i="2" a="1"/>
  <c r="E9" i="2" s="1"/>
  <c r="D17" i="2" a="1"/>
  <c r="D17" i="2" s="1"/>
  <c r="E17" i="2" a="1"/>
  <c r="E17" i="2" s="1"/>
  <c r="D101" i="2" a="1"/>
  <c r="D101" i="2" s="1"/>
  <c r="F101" i="2" s="1"/>
  <c r="E101" i="2" a="1"/>
  <c r="E101" i="2" s="1"/>
  <c r="D89" i="2" a="1"/>
  <c r="D89" i="2" s="1"/>
  <c r="E89" i="2" a="1"/>
  <c r="E89" i="2" s="1"/>
  <c r="D157" i="2" a="1"/>
  <c r="D157" i="2" s="1"/>
  <c r="E157" i="2" a="1"/>
  <c r="E157" i="2" s="1"/>
  <c r="D127" i="2" a="1"/>
  <c r="D127" i="2" s="1"/>
  <c r="F127" i="2" s="1"/>
  <c r="E127" i="2" a="1"/>
  <c r="E127" i="2" s="1"/>
  <c r="D4" i="2" a="1"/>
  <c r="D4" i="2" s="1"/>
  <c r="E4" i="2" a="1"/>
  <c r="E4" i="2" s="1"/>
  <c r="D5" i="2" a="1"/>
  <c r="D5" i="2" s="1"/>
  <c r="E5" i="2" a="1"/>
  <c r="E5" i="2" s="1"/>
  <c r="D73" i="2" a="1"/>
  <c r="D73" i="2" s="1"/>
  <c r="F73" i="2" s="1"/>
  <c r="E73" i="2" a="1"/>
  <c r="E73" i="2" s="1"/>
  <c r="D79" i="2" a="1"/>
  <c r="D79" i="2" s="1"/>
  <c r="E79" i="2" a="1"/>
  <c r="E79" i="2" s="1"/>
  <c r="D13" i="2" a="1"/>
  <c r="D13" i="2" s="1"/>
  <c r="E13" i="2" a="1"/>
  <c r="E13" i="2" s="1"/>
  <c r="D33" i="2" a="1"/>
  <c r="D33" i="2" s="1"/>
  <c r="F33" i="2" s="1"/>
  <c r="E33" i="2" a="1"/>
  <c r="E33" i="2" s="1"/>
  <c r="D141" i="2" a="1"/>
  <c r="D141" i="2" s="1"/>
  <c r="E141" i="2" a="1"/>
  <c r="E141" i="2" s="1"/>
  <c r="D143" i="2" a="1"/>
  <c r="D143" i="2" s="1"/>
  <c r="E143" i="2" a="1"/>
  <c r="E143" i="2" s="1"/>
  <c r="D21" i="2" a="1"/>
  <c r="D21" i="2" s="1"/>
  <c r="F21" i="2" s="1"/>
  <c r="E21" i="2" a="1"/>
  <c r="E21" i="2" s="1"/>
  <c r="D49" i="2" a="1"/>
  <c r="D49" i="2" s="1"/>
  <c r="E49" i="2" a="1"/>
  <c r="E49" i="2" s="1"/>
  <c r="D31" i="2" a="1"/>
  <c r="D31" i="2" s="1"/>
  <c r="E31" i="2" a="1"/>
  <c r="E31" i="2" s="1"/>
  <c r="D97" i="2" a="1"/>
  <c r="D97" i="2" s="1"/>
  <c r="F97" i="2" s="1"/>
  <c r="E97" i="2" a="1"/>
  <c r="E97" i="2" s="1"/>
  <c r="D83" i="2" a="1"/>
  <c r="D83" i="2" s="1"/>
  <c r="E83" i="2" a="1"/>
  <c r="E83" i="2" s="1"/>
  <c r="D58" i="2" a="1"/>
  <c r="D58" i="2" s="1"/>
  <c r="E58" i="2" a="1"/>
  <c r="E58" i="2" s="1"/>
  <c r="D91" i="2" a="1"/>
  <c r="D91" i="2" s="1"/>
  <c r="F91" i="2" s="1"/>
  <c r="E91" i="2" a="1"/>
  <c r="E91" i="2" s="1"/>
  <c r="D103" i="2" a="1"/>
  <c r="D103" i="2" s="1"/>
  <c r="E103" i="2" a="1"/>
  <c r="E103" i="2" s="1"/>
  <c r="D131" i="2" a="1"/>
  <c r="D131" i="2" s="1"/>
  <c r="E131" i="2" a="1"/>
  <c r="E131" i="2" s="1"/>
  <c r="D133" i="2" a="1"/>
  <c r="D133" i="2" s="1"/>
  <c r="F133" i="2" s="1"/>
  <c r="E133" i="2" a="1"/>
  <c r="E133" i="2" s="1"/>
  <c r="D111" i="2" a="1"/>
  <c r="D111" i="2" s="1"/>
  <c r="E111" i="2" a="1"/>
  <c r="E111" i="2" s="1"/>
  <c r="D117" i="2" a="1"/>
  <c r="D117" i="2" s="1"/>
  <c r="E117" i="2" a="1"/>
  <c r="E117" i="2" s="1"/>
  <c r="D55" i="2" a="1"/>
  <c r="D55" i="2" s="1"/>
  <c r="F55" i="2" s="1"/>
  <c r="E55" i="2" a="1"/>
  <c r="E55" i="2" s="1"/>
  <c r="D45" i="2" a="1"/>
  <c r="D45" i="2" s="1"/>
  <c r="E45" i="2" a="1"/>
  <c r="E45" i="2" s="1"/>
  <c r="D159" i="2" a="1"/>
  <c r="D159" i="2" s="1"/>
  <c r="E159" i="2" a="1"/>
  <c r="E159" i="2" s="1"/>
  <c r="D67" i="2" a="1"/>
  <c r="D67" i="2" s="1"/>
  <c r="F67" i="2" s="1"/>
  <c r="E67" i="2" a="1"/>
  <c r="E67" i="2" s="1"/>
  <c r="D155" i="2" a="1"/>
  <c r="D155" i="2" s="1"/>
  <c r="E155" i="2" a="1"/>
  <c r="E155" i="2" s="1"/>
  <c r="D123" i="2" a="1"/>
  <c r="D123" i="2" s="1"/>
  <c r="E123" i="2" a="1"/>
  <c r="E123" i="2" s="1"/>
  <c r="D2" i="2" a="1"/>
  <c r="D2" i="2" s="1"/>
  <c r="F2" i="2" s="1"/>
  <c r="E2" i="2" a="1"/>
  <c r="E2" i="2" s="1"/>
  <c r="D8" i="2" a="1"/>
  <c r="D8" i="2" s="1"/>
  <c r="E8" i="2" a="1"/>
  <c r="E8" i="2" s="1"/>
  <c r="D10" i="2" a="1"/>
  <c r="D10" i="2" s="1"/>
  <c r="E10" i="2" a="1"/>
  <c r="E10" i="2" s="1"/>
  <c r="D38" i="2" a="1"/>
  <c r="D38" i="2" s="1"/>
  <c r="F38" i="2" s="1"/>
  <c r="E38" i="2" a="1"/>
  <c r="E38" i="2" s="1"/>
  <c r="D94" i="2" a="1"/>
  <c r="D94" i="2" s="1"/>
  <c r="E94" i="2" a="1"/>
  <c r="E94" i="2" s="1"/>
  <c r="D128" i="2" a="1"/>
  <c r="D128" i="2" s="1"/>
  <c r="E128" i="2" a="1"/>
  <c r="E128" i="2" s="1"/>
  <c r="D136" i="2" a="1"/>
  <c r="D136" i="2" s="1"/>
  <c r="F136" i="2" s="1"/>
  <c r="E136" i="2" a="1"/>
  <c r="E136" i="2" s="1"/>
  <c r="D42" i="2" a="1"/>
  <c r="D42" i="2" s="1"/>
  <c r="E42" i="2" a="1"/>
  <c r="E42" i="2" s="1"/>
  <c r="D64" i="2" a="1"/>
  <c r="D64" i="2" s="1"/>
  <c r="E64" i="2" a="1"/>
  <c r="E64" i="2" s="1"/>
  <c r="D139" i="2" a="1"/>
  <c r="D139" i="2" s="1"/>
  <c r="F139" i="2" s="1"/>
  <c r="E139" i="2" a="1"/>
  <c r="E139" i="2" s="1"/>
  <c r="D19" i="2" a="1"/>
  <c r="D19" i="2" s="1"/>
  <c r="E19" i="2" a="1"/>
  <c r="E19" i="2" s="1"/>
  <c r="D24" i="2" a="1"/>
  <c r="D24" i="2" s="1"/>
  <c r="E24" i="2" a="1"/>
  <c r="E24" i="2" s="1"/>
  <c r="D129" i="2" a="1"/>
  <c r="D129" i="2" s="1"/>
  <c r="F129" i="2" s="1"/>
  <c r="E129" i="2" a="1"/>
  <c r="E129" i="2" s="1"/>
  <c r="D115" i="2" a="1"/>
  <c r="D115" i="2" s="1"/>
  <c r="E115" i="2" a="1"/>
  <c r="E115" i="2" s="1"/>
  <c r="D53" i="2" a="1"/>
  <c r="D53" i="2" s="1"/>
  <c r="E53" i="2" a="1"/>
  <c r="E53" i="2" s="1"/>
  <c r="D71" i="2" a="1"/>
  <c r="D71" i="2" s="1"/>
  <c r="F71" i="2" s="1"/>
  <c r="E71" i="2" a="1"/>
  <c r="E71" i="2" s="1"/>
  <c r="D6" i="2" a="1"/>
  <c r="D6" i="2" s="1"/>
  <c r="E6" i="2" a="1"/>
  <c r="E6" i="2" s="1"/>
  <c r="D80" i="2" a="1"/>
  <c r="D80" i="2" s="1"/>
  <c r="E80" i="2" a="1"/>
  <c r="E80" i="2" s="1"/>
  <c r="D14" i="2" a="1"/>
  <c r="D14" i="2" s="1"/>
  <c r="F14" i="2" s="1"/>
  <c r="E14" i="2" a="1"/>
  <c r="E14" i="2" s="1"/>
  <c r="D34" i="2" a="1"/>
  <c r="D34" i="2" s="1"/>
  <c r="E34" i="2" a="1"/>
  <c r="E34" i="2" s="1"/>
  <c r="D36" i="2" a="1"/>
  <c r="D36" i="2" s="1"/>
  <c r="E36" i="2" a="1"/>
  <c r="E36" i="2" s="1"/>
  <c r="D144" i="2" a="1"/>
  <c r="D144" i="2" s="1"/>
  <c r="F144" i="2" s="1"/>
  <c r="E144" i="2" a="1"/>
  <c r="E144" i="2" s="1"/>
  <c r="D48" i="2" a="1"/>
  <c r="D48" i="2" s="1"/>
  <c r="E48" i="2" a="1"/>
  <c r="E48" i="2" s="1"/>
  <c r="D26" i="2" a="1"/>
  <c r="D26" i="2" s="1"/>
  <c r="E26" i="2" a="1"/>
  <c r="E26" i="2" s="1"/>
  <c r="D92" i="2" a="1"/>
  <c r="D92" i="2" s="1"/>
  <c r="F92" i="2" s="1"/>
  <c r="E92" i="2" a="1"/>
  <c r="E92" i="2" s="1"/>
  <c r="D98" i="2" a="1"/>
  <c r="D98" i="2" s="1"/>
  <c r="E98" i="2" a="1"/>
  <c r="E98" i="2" s="1"/>
  <c r="D84" i="2" a="1"/>
  <c r="D84" i="2" s="1"/>
  <c r="E84" i="2" a="1"/>
  <c r="E84" i="2" s="1"/>
  <c r="D59" i="2" a="1"/>
  <c r="D59" i="2" s="1"/>
  <c r="F59" i="2" s="1"/>
  <c r="E59" i="2" a="1"/>
  <c r="E59" i="2" s="1"/>
  <c r="D60" i="2" a="1"/>
  <c r="D60" i="2" s="1"/>
  <c r="E60" i="2" a="1"/>
  <c r="E60" i="2" s="1"/>
  <c r="D104" i="2" a="1"/>
  <c r="D104" i="2" s="1"/>
  <c r="E104" i="2" a="1"/>
  <c r="E104" i="2" s="1"/>
  <c r="D132" i="2" a="1"/>
  <c r="D132" i="2" s="1"/>
  <c r="F132" i="2" s="1"/>
  <c r="E132" i="2" a="1"/>
  <c r="E132" i="2" s="1"/>
  <c r="D134" i="2" a="1"/>
  <c r="D134" i="2" s="1"/>
  <c r="E134" i="2" a="1"/>
  <c r="E134" i="2" s="1"/>
  <c r="D112" i="2" a="1"/>
  <c r="D112" i="2" s="1"/>
  <c r="E112" i="2" a="1"/>
  <c r="E112" i="2" s="1"/>
  <c r="D50" i="2" a="1"/>
  <c r="D50" i="2" s="1"/>
  <c r="F50" i="2" s="1"/>
  <c r="E50" i="2" a="1"/>
  <c r="E50" i="2" s="1"/>
  <c r="D40" i="2" a="1"/>
  <c r="D40" i="2" s="1"/>
  <c r="E40" i="2" a="1"/>
  <c r="E40" i="2" s="1"/>
  <c r="D46" i="2" a="1"/>
  <c r="D46" i="2" s="1"/>
  <c r="E46" i="2" a="1"/>
  <c r="E46" i="2" s="1"/>
  <c r="D160" i="2" a="1"/>
  <c r="D160" i="2" s="1"/>
  <c r="F160" i="2" s="1"/>
  <c r="E160" i="2" a="1"/>
  <c r="E160" i="2" s="1"/>
  <c r="D68" i="2" a="1"/>
  <c r="D68" i="2" s="1"/>
  <c r="E68" i="2" a="1"/>
  <c r="E68" i="2" s="1"/>
  <c r="D118" i="2" a="1"/>
  <c r="D118" i="2" s="1"/>
  <c r="E118" i="2" a="1"/>
  <c r="E118" i="2" s="1"/>
  <c r="D124" i="2" a="1"/>
  <c r="D124" i="2" s="1"/>
  <c r="F124" i="2" s="1"/>
  <c r="E124" i="2" a="1"/>
  <c r="E124" i="2" s="1"/>
  <c r="D114" i="2" a="1"/>
  <c r="D114" i="2" s="1"/>
  <c r="E114" i="2" a="1"/>
  <c r="E114" i="2" s="1"/>
  <c r="D120" i="2" a="1"/>
  <c r="D120" i="2" s="1"/>
  <c r="E120" i="2" a="1"/>
  <c r="E120" i="2" s="1"/>
  <c r="D3" i="2" a="1"/>
  <c r="D3" i="2" s="1"/>
  <c r="F3" i="2" s="1"/>
  <c r="E3" i="2" a="1"/>
  <c r="E3" i="2" s="1"/>
  <c r="D11" i="2" a="1"/>
  <c r="D11" i="2" s="1"/>
  <c r="E11" i="2" a="1"/>
  <c r="E11" i="2" s="1"/>
  <c r="D39" i="2" a="1"/>
  <c r="D39" i="2" s="1"/>
  <c r="E39" i="2" a="1"/>
  <c r="E39" i="2" s="1"/>
  <c r="D29" i="2" a="1"/>
  <c r="D29" i="2" s="1"/>
  <c r="F29" i="2" s="1"/>
  <c r="E29" i="2" a="1"/>
  <c r="E29" i="2" s="1"/>
  <c r="D56" i="2" a="1"/>
  <c r="D56" i="2" s="1"/>
  <c r="E56" i="2" a="1"/>
  <c r="E56" i="2" s="1"/>
  <c r="D108" i="2" a="1"/>
  <c r="D108" i="2" s="1"/>
  <c r="E108" i="2" a="1"/>
  <c r="E108" i="2" s="1"/>
  <c r="D65" i="2" a="1"/>
  <c r="D65" i="2" s="1"/>
  <c r="F65" i="2" s="1"/>
  <c r="E65" i="2" a="1"/>
  <c r="E65" i="2" s="1"/>
  <c r="D74" i="2" a="1"/>
  <c r="D74" i="2" s="1"/>
  <c r="E74" i="2" a="1"/>
  <c r="E74" i="2" s="1"/>
  <c r="D7" i="2" a="1"/>
  <c r="D7" i="2" s="1"/>
  <c r="E7" i="2" a="1"/>
  <c r="E7" i="2" s="1"/>
  <c r="D75" i="2" a="1"/>
  <c r="D75" i="2" s="1"/>
  <c r="F75" i="2" s="1"/>
  <c r="E75" i="2" a="1"/>
  <c r="E75" i="2" s="1"/>
  <c r="D81" i="2" a="1"/>
  <c r="D81" i="2" s="1"/>
  <c r="E81" i="2" a="1"/>
  <c r="E81" i="2" s="1"/>
  <c r="D15" i="2" a="1"/>
  <c r="D15" i="2" s="1"/>
  <c r="E15" i="2" a="1"/>
  <c r="E15" i="2" s="1"/>
  <c r="D35" i="2" a="1"/>
  <c r="D35" i="2" s="1"/>
  <c r="F35" i="2" s="1"/>
  <c r="E35" i="2" a="1"/>
  <c r="E35" i="2" s="1"/>
  <c r="D37" i="2" a="1"/>
  <c r="D37" i="2" s="1"/>
  <c r="E37" i="2" a="1"/>
  <c r="E37" i="2" s="1"/>
  <c r="D145" i="2" a="1"/>
  <c r="D145" i="2" s="1"/>
  <c r="E145" i="2" a="1"/>
  <c r="E145" i="2" s="1"/>
  <c r="D22" i="2" a="1"/>
  <c r="D22" i="2" s="1"/>
  <c r="F22" i="2" s="1"/>
  <c r="E22" i="2" a="1"/>
  <c r="E22" i="2" s="1"/>
  <c r="D27" i="2" a="1"/>
  <c r="D27" i="2" s="1"/>
  <c r="E27" i="2" a="1"/>
  <c r="E27" i="2" s="1"/>
  <c r="D93" i="2" a="1"/>
  <c r="D93" i="2" s="1"/>
  <c r="E93" i="2" a="1"/>
  <c r="E93" i="2" s="1"/>
  <c r="D99" i="2" a="1"/>
  <c r="D99" i="2" s="1"/>
  <c r="F99" i="2" s="1"/>
  <c r="E99" i="2" a="1"/>
  <c r="E99" i="2" s="1"/>
  <c r="D85" i="2" a="1"/>
  <c r="D85" i="2" s="1"/>
  <c r="E85" i="2" a="1"/>
  <c r="E85" i="2" s="1"/>
  <c r="D87" i="2" a="1"/>
  <c r="D87" i="2" s="1"/>
  <c r="E87" i="2" a="1"/>
  <c r="E87" i="2" s="1"/>
  <c r="D61" i="2" a="1"/>
  <c r="D61" i="2" s="1"/>
  <c r="F61" i="2" s="1"/>
  <c r="E61" i="2" a="1"/>
  <c r="E61" i="2" s="1"/>
  <c r="D105" i="2" a="1"/>
  <c r="D105" i="2" s="1"/>
  <c r="E105" i="2" a="1"/>
  <c r="E105" i="2" s="1"/>
  <c r="D106" i="2" a="1"/>
  <c r="D106" i="2" s="1"/>
  <c r="E106" i="2" a="1"/>
  <c r="E106" i="2" s="1"/>
  <c r="D135" i="2" a="1"/>
  <c r="D135" i="2" s="1"/>
  <c r="F135" i="2" s="1"/>
  <c r="E135" i="2" a="1"/>
  <c r="E135" i="2" s="1"/>
  <c r="D113" i="2" a="1"/>
  <c r="D113" i="2" s="1"/>
  <c r="E113" i="2" a="1"/>
  <c r="E113" i="2" s="1"/>
  <c r="D51" i="2" a="1"/>
  <c r="D51" i="2" s="1"/>
  <c r="E51" i="2" a="1"/>
  <c r="E51" i="2" s="1"/>
  <c r="D41" i="2" a="1"/>
  <c r="D41" i="2" s="1"/>
  <c r="F41" i="2" s="1"/>
  <c r="E41" i="2" a="1"/>
  <c r="E41" i="2" s="1"/>
  <c r="D47" i="2" a="1"/>
  <c r="D47" i="2" s="1"/>
  <c r="E47" i="2" a="1"/>
  <c r="E47" i="2" s="1"/>
  <c r="D161" i="2" a="1"/>
  <c r="D161" i="2" s="1"/>
  <c r="E161" i="2" a="1"/>
  <c r="E161" i="2" s="1"/>
  <c r="D69" i="2" a="1"/>
  <c r="D69" i="2" s="1"/>
  <c r="F69" i="2" s="1"/>
  <c r="E69" i="2" a="1"/>
  <c r="E69" i="2" s="1"/>
  <c r="D119" i="2" a="1"/>
  <c r="D119" i="2" s="1"/>
  <c r="E119" i="2" a="1"/>
  <c r="E119" i="2" s="1"/>
  <c r="D125" i="2" a="1"/>
  <c r="D125" i="2" s="1"/>
  <c r="E125" i="2" a="1"/>
  <c r="E125" i="2" s="1"/>
  <c r="K104" i="1"/>
  <c r="G105" i="1" s="1"/>
  <c r="R106" i="1"/>
  <c r="J104" i="1"/>
  <c r="F105" i="1" s="1"/>
  <c r="I104" i="1"/>
  <c r="I105" i="1" s="1"/>
  <c r="F102" i="2" l="1"/>
  <c r="F82" i="2"/>
  <c r="F25" i="2"/>
  <c r="F140" i="2"/>
  <c r="F78" i="2"/>
  <c r="F43" i="2"/>
  <c r="F95" i="2"/>
  <c r="F156" i="2"/>
  <c r="F23" i="2"/>
  <c r="F119" i="2"/>
  <c r="F47" i="2"/>
  <c r="F113" i="2"/>
  <c r="F105" i="2"/>
  <c r="F85" i="2"/>
  <c r="F27" i="2"/>
  <c r="F37" i="2"/>
  <c r="F81" i="2"/>
  <c r="F74" i="2"/>
  <c r="F56" i="2"/>
  <c r="F11" i="2"/>
  <c r="F114" i="2"/>
  <c r="F68" i="2"/>
  <c r="F40" i="2"/>
  <c r="F134" i="2"/>
  <c r="F60" i="2"/>
  <c r="F98" i="2"/>
  <c r="F48" i="2"/>
  <c r="F34" i="2"/>
  <c r="F6" i="2"/>
  <c r="F115" i="2"/>
  <c r="F19" i="2"/>
  <c r="F42" i="2"/>
  <c r="F94" i="2"/>
  <c r="F8" i="2"/>
  <c r="F155" i="2"/>
  <c r="F45" i="2"/>
  <c r="F125" i="2"/>
  <c r="F51" i="2"/>
  <c r="F106" i="2"/>
  <c r="F87" i="2"/>
  <c r="F93" i="2"/>
  <c r="F145" i="2"/>
  <c r="F15" i="2"/>
  <c r="F7" i="2"/>
  <c r="F108" i="2"/>
  <c r="F39" i="2"/>
  <c r="F120" i="2"/>
  <c r="F118" i="2"/>
  <c r="F46" i="2"/>
  <c r="F112" i="2"/>
  <c r="F104" i="2"/>
  <c r="F84" i="2"/>
  <c r="F26" i="2"/>
  <c r="F36" i="2"/>
  <c r="F80" i="2"/>
  <c r="F53" i="2"/>
  <c r="F24" i="2"/>
  <c r="F64" i="2"/>
  <c r="F128" i="2"/>
  <c r="F10" i="2"/>
  <c r="F123" i="2"/>
  <c r="F159" i="2"/>
  <c r="F117" i="2"/>
  <c r="F131" i="2"/>
  <c r="F58" i="2"/>
  <c r="F31" i="2"/>
  <c r="F143" i="2"/>
  <c r="F13" i="2"/>
  <c r="F5" i="2"/>
  <c r="F157" i="2"/>
  <c r="F17" i="2"/>
  <c r="F52" i="2"/>
  <c r="F86" i="2"/>
  <c r="F16" i="2"/>
  <c r="F154" i="2"/>
  <c r="F44" i="2"/>
  <c r="F110" i="2"/>
  <c r="F161" i="2"/>
  <c r="F111" i="2"/>
  <c r="F103" i="2"/>
  <c r="F83" i="2"/>
  <c r="F49" i="2"/>
  <c r="F141" i="2"/>
  <c r="F79" i="2"/>
  <c r="F4" i="2"/>
  <c r="F89" i="2"/>
  <c r="F9" i="2"/>
  <c r="F107" i="2"/>
  <c r="F28" i="2"/>
  <c r="F76" i="2"/>
  <c r="F66" i="2"/>
  <c r="F54" i="2"/>
  <c r="F109" i="2"/>
  <c r="F90" i="2"/>
  <c r="F96" i="2"/>
  <c r="F20" i="2"/>
  <c r="F32" i="2"/>
  <c r="F72" i="2"/>
  <c r="F137" i="2"/>
  <c r="F77" i="2"/>
  <c r="F88" i="2"/>
  <c r="F138" i="2"/>
</calcChain>
</file>

<file path=xl/sharedStrings.xml><?xml version="1.0" encoding="utf-8"?>
<sst xmlns="http://schemas.openxmlformats.org/spreadsheetml/2006/main" count="2992" uniqueCount="1605">
  <si>
    <t>Vị trí</t>
  </si>
  <si>
    <t>Thời gian</t>
  </si>
  <si>
    <t>Triều Lớn</t>
  </si>
  <si>
    <t>Triều Ròng</t>
  </si>
  <si>
    <t>Nhóm thông số mẫu thực</t>
  </si>
  <si>
    <t>Nhóm thông số mẫu lặp</t>
  </si>
  <si>
    <t>Nhóm thông số mẫu trắng</t>
  </si>
  <si>
    <t>Gửi mẫu</t>
  </si>
  <si>
    <t>Nhóm</t>
  </si>
  <si>
    <t>Hóa lý, vi sinh</t>
  </si>
  <si>
    <t>Kim loại</t>
  </si>
  <si>
    <r>
      <t>Hóa chất bảo vệ thực vật, Cl</t>
    </r>
    <r>
      <rPr>
        <b/>
        <vertAlign val="superscript"/>
        <sz val="11"/>
        <color theme="1"/>
        <rFont val="Times New Roman"/>
        <family val="1"/>
      </rPr>
      <t>-</t>
    </r>
  </si>
  <si>
    <t>Trầm tích</t>
  </si>
  <si>
    <t>04/05/2026</t>
  </si>
  <si>
    <t>CS2</t>
  </si>
  <si>
    <t>Cầu Tân Thái</t>
  </si>
  <si>
    <t>Thầy Cai</t>
  </si>
  <si>
    <t>Cầu Chữ Y</t>
  </si>
  <si>
    <t>05/05/2026</t>
  </si>
  <si>
    <t>Chà Và</t>
  </si>
  <si>
    <t>Chánh Hưng</t>
  </si>
  <si>
    <t>Nhị Thiên Đường</t>
  </si>
  <si>
    <t>Cầu Mống</t>
  </si>
  <si>
    <t>Tân Thuận</t>
  </si>
  <si>
    <t>Kênh Tẻ</t>
  </si>
  <si>
    <t>Kênh N46</t>
  </si>
  <si>
    <t>06/05/2026</t>
  </si>
  <si>
    <t>Tân Phú Trung</t>
  </si>
  <si>
    <t>TC18A</t>
  </si>
  <si>
    <t>An Hạ 1</t>
  </si>
  <si>
    <t>Cầu Đường A</t>
  </si>
  <si>
    <t>07/05/2026</t>
  </si>
  <si>
    <t>Trung Tâm</t>
  </si>
  <si>
    <t>Nước Lên</t>
  </si>
  <si>
    <t>Lương Bèo</t>
  </si>
  <si>
    <t>Hòa Bình</t>
  </si>
  <si>
    <t>08/05/2026</t>
  </si>
  <si>
    <t>Ông Buông</t>
  </si>
  <si>
    <t>Rạch Ngựa</t>
  </si>
  <si>
    <t>Phú Định</t>
  </si>
  <si>
    <t>11/05/2026</t>
  </si>
  <si>
    <t>Bà Lào</t>
  </si>
  <si>
    <t>Long Hậu Tân Kim</t>
  </si>
  <si>
    <t>Phú Xuân</t>
  </si>
  <si>
    <t>Hiệp Phước</t>
  </si>
  <si>
    <t>Cầu số 1</t>
  </si>
  <si>
    <t>12/05/2026</t>
  </si>
  <si>
    <t>Lê Văn Sỹ</t>
  </si>
  <si>
    <t>Hải Đức</t>
  </si>
  <si>
    <t>Điện Biên Phủ</t>
  </si>
  <si>
    <t>Bùi Hữu Nghĩa</t>
  </si>
  <si>
    <t>Cầu Đỏ</t>
  </si>
  <si>
    <t>Thị Nghè 2</t>
  </si>
  <si>
    <t>Bùi Đình Túy</t>
  </si>
  <si>
    <t>Cầu Văn Thánh</t>
  </si>
  <si>
    <t>Cầu Văn Thánh 2</t>
  </si>
  <si>
    <t>Cầu TL9</t>
  </si>
  <si>
    <t>13/05/2026</t>
  </si>
  <si>
    <t>Xuân Thới Sơn</t>
  </si>
  <si>
    <t>Cầu Lớn</t>
  </si>
  <si>
    <t>An Hạ</t>
  </si>
  <si>
    <t>Rau Răm</t>
  </si>
  <si>
    <t>Cống Vàm Thuật</t>
  </si>
  <si>
    <t>14/05/2026</t>
  </si>
  <si>
    <t>An Lộc</t>
  </si>
  <si>
    <t>Bến Cát</t>
  </si>
  <si>
    <t>Trường Đai</t>
  </si>
  <si>
    <t>Chợ Cầu</t>
  </si>
  <si>
    <t>15/05/2026</t>
  </si>
  <si>
    <t>Tham Lương</t>
  </si>
  <si>
    <t>Cầu Bưng</t>
  </si>
  <si>
    <t>CN1</t>
  </si>
  <si>
    <t>19/05/2026</t>
  </si>
  <si>
    <t>Cầu Bình Thuận</t>
  </si>
  <si>
    <t>Nước Đen</t>
  </si>
  <si>
    <t>Cầu Sông Chùa</t>
  </si>
  <si>
    <t>Cầu Bà Tri</t>
  </si>
  <si>
    <t>20/05/2026</t>
  </si>
  <si>
    <t>Tân Tạo</t>
  </si>
  <si>
    <t>Kênh C</t>
  </si>
  <si>
    <t>Kênh C6</t>
  </si>
  <si>
    <t>Kênh C8</t>
  </si>
  <si>
    <t>Cầu Rạch Ngang</t>
  </si>
  <si>
    <t>21/05/2026</t>
  </si>
  <si>
    <t>Xóm Củi</t>
  </si>
  <si>
    <t>Ông Lớn</t>
  </si>
  <si>
    <t>Cần Giuộc</t>
  </si>
  <si>
    <t>22/05/2026</t>
  </si>
  <si>
    <t>Lòng Tàu 1</t>
  </si>
  <si>
    <t>25/05/2026</t>
  </si>
  <si>
    <t>CS3</t>
  </si>
  <si>
    <t>Lòng Tàu</t>
  </si>
  <si>
    <t>Tam Thôn Hiệp</t>
  </si>
  <si>
    <t>Đồng Tranh 1</t>
  </si>
  <si>
    <t>Bình Lợi</t>
  </si>
  <si>
    <t>Sài Gòn</t>
  </si>
  <si>
    <t>Ngã Bảy</t>
  </si>
  <si>
    <t>26/05/2026</t>
  </si>
  <si>
    <t>Vàm Sát</t>
  </si>
  <si>
    <t>Đồng Tranh</t>
  </si>
  <si>
    <t>Long Phước</t>
  </si>
  <si>
    <t>Cát Lái</t>
  </si>
  <si>
    <t>Cầu Gò Công</t>
  </si>
  <si>
    <t>Hồ Ngọc Lãm</t>
  </si>
  <si>
    <t>27/05/2026</t>
  </si>
  <si>
    <t>Bình Ðiền</t>
  </si>
  <si>
    <t>Chợ Đệm</t>
  </si>
  <si>
    <t>Mũi Đèn Đỏ</t>
  </si>
  <si>
    <t>Nhà Bè</t>
  </si>
  <si>
    <t>Phú Mỹ</t>
  </si>
  <si>
    <t>28/05/2026</t>
  </si>
  <si>
    <t>Tổng mẫu</t>
  </si>
  <si>
    <t>Nơi thực hiện</t>
  </si>
  <si>
    <t>Vị trí quan trắc</t>
  </si>
  <si>
    <t>Số lượng mẫu</t>
  </si>
  <si>
    <t>Số lượng mẫu QC</t>
  </si>
  <si>
    <t>Ngày</t>
  </si>
  <si>
    <t>TBNM15</t>
  </si>
  <si>
    <t>Triều Lên</t>
  </si>
  <si>
    <t>TBNM5</t>
  </si>
  <si>
    <t>TBNM14</t>
  </si>
  <si>
    <t>Triều Xuống</t>
  </si>
  <si>
    <t>TBNM9</t>
  </si>
  <si>
    <t>TBNM11</t>
  </si>
  <si>
    <t>TBNM1</t>
  </si>
  <si>
    <t>ĐPNM1</t>
  </si>
  <si>
    <t>ĐPNM4</t>
  </si>
  <si>
    <t>ĐPNM5</t>
  </si>
  <si>
    <t>ĐPNM8</t>
  </si>
  <si>
    <t>GCNM2</t>
  </si>
  <si>
    <t>GCNM3</t>
  </si>
  <si>
    <t>Số lượng mẫu QC lặp</t>
  </si>
  <si>
    <t>Số lượng mẫu QC trắng</t>
  </si>
  <si>
    <t>Địa điểm quan trắc</t>
  </si>
  <si>
    <t>Triều</t>
  </si>
  <si>
    <t>Ký hiệu</t>
  </si>
  <si>
    <t>Tên viết tắt</t>
  </si>
  <si>
    <t>Địa chỉ</t>
  </si>
  <si>
    <t>Tên nơi lấy mẫu</t>
  </si>
  <si>
    <t>Tên vị trí</t>
  </si>
  <si>
    <t>Tên vị trí mẫu lặp</t>
  </si>
  <si>
    <t>Tên vị trí mẫu trắng hiện trường</t>
  </si>
  <si>
    <t>Tên vị trí mẫu trắng vận chuyển</t>
  </si>
  <si>
    <t>Tên vị trí mẫu trắng thiết bị</t>
  </si>
  <si>
    <t>HCM_NM_CS1</t>
  </si>
  <si>
    <t>HCM_NM_CS1_L</t>
  </si>
  <si>
    <t>Khu vực Cầu số 1, đầu tuyến kênh Nhiêu Lộc – Thị Nghè</t>
  </si>
  <si>
    <t>Cầu số 1 - HCM_NM_CS1 - Triều Lên</t>
  </si>
  <si>
    <t>Cầu số 1 - Triều Lên</t>
  </si>
  <si>
    <t>Cầu số 1 - Triều Lên (QC - Mẫu lặp hiện trường)</t>
  </si>
  <si>
    <t>Cầu số 1 - Triều Lên (QC - Mẫu trắng hiện trường)</t>
  </si>
  <si>
    <t>Cầu số 1 - Triều Lên (QC - Mẫu trắng vận chuyển)</t>
  </si>
  <si>
    <t>Cầu số 1 - Triều Lên (QC - Mẫu trắng thiết bị)</t>
  </si>
  <si>
    <t>HCM_NM_LVS</t>
  </si>
  <si>
    <t>HCM_NM_LVS_L</t>
  </si>
  <si>
    <t>Khu vực cầu Lê Văn Sỹ, nối đường Lê Văn Sỹ và đường Trần Quốc Thảo</t>
  </si>
  <si>
    <t>Lê Văn Sỹ - HCM_NM_LVS - Triều Lên</t>
  </si>
  <si>
    <t>Lê Văn Sỹ - Triều Lên</t>
  </si>
  <si>
    <t>Lê Văn Sỹ - Triều Lên (QC - Mẫu lặp hiện trường)</t>
  </si>
  <si>
    <t>Lê Văn Sỹ - Triều Lên (QC - Mẫu trắng hiện trường)</t>
  </si>
  <si>
    <t>Lê Văn Sỹ - Triều Lên (QC - Mẫu trắng vận chuyển)</t>
  </si>
  <si>
    <t>Lê Văn Sỹ - Triều Lên (QC - Mẫu trắng thiết bị)</t>
  </si>
  <si>
    <t>HCM_NM_HĐ</t>
  </si>
  <si>
    <t>HCM_NM_HĐ_L</t>
  </si>
  <si>
    <t>Đoạn kênh khu vực gần Chùa Hải Đức, phường Cầu Kiệu</t>
  </si>
  <si>
    <t>Hải Đức - HCM_NM_HĐ - Triều Lên</t>
  </si>
  <si>
    <t>Hải Đức - Triều Lên</t>
  </si>
  <si>
    <t>Hải Đức - Triều Lên (QC - Mẫu lặp hiện trường)</t>
  </si>
  <si>
    <t>Hải Đức - Triều Lên (QC - Mẫu trắng hiện trường)</t>
  </si>
  <si>
    <t>Hải Đức - Triều Lên (QC - Mẫu trắng vận chuyển)</t>
  </si>
  <si>
    <t>Hải Đức - Triều Lên (QC - Mẫu trắng thiết bị)</t>
  </si>
  <si>
    <t>HCM_NM_ĐBP</t>
  </si>
  <si>
    <t>HCM_NM_ĐBP_L</t>
  </si>
  <si>
    <t>Khu vực cầu Điện Biên Phủ, gần Vòng xoay Điện Biên Phủ</t>
  </si>
  <si>
    <t>Điện Biên Phủ - HCM_NM_ĐBP - Triều Lên</t>
  </si>
  <si>
    <t>Điện Biên Phủ - Triều Lên</t>
  </si>
  <si>
    <t>Điện Biên Phủ - Triều Lên (QC - Mẫu lặp hiện trường)</t>
  </si>
  <si>
    <t>Điện Biên Phủ - Triều Lên (QC - Mẫu trắng hiện trường)</t>
  </si>
  <si>
    <t>Điện Biên Phủ - Triều Lên (QC - Mẫu trắng vận chuyển)</t>
  </si>
  <si>
    <t>Điện Biên Phủ - Triều Lên (QC - Mẫu trắng thiết bị)</t>
  </si>
  <si>
    <t>HCM_NM_BĐT</t>
  </si>
  <si>
    <t>HCM_NM_BĐT_L</t>
  </si>
  <si>
    <t>Khu vực gần công viên đường số 4, giáp bờ sông, gần đường Chu Văn An, phường Bình Thạnh</t>
  </si>
  <si>
    <t>Bùi Đình Túy - HCM_NM_BĐT - Triều Lên</t>
  </si>
  <si>
    <t>Bùi Đình Túy - Triều Lên</t>
  </si>
  <si>
    <t>Bùi Đình Túy - Triều Lên (QC - Mẫu lặp hiện trường)</t>
  </si>
  <si>
    <t>Bùi Đình Túy - Triều Lên (QC - Mẫu trắng hiện trường)</t>
  </si>
  <si>
    <t>Bùi Đình Túy - Triều Lên (QC - Mẫu trắng vận chuyển)</t>
  </si>
  <si>
    <t>Bùi Đình Túy - Triều Lên (QC - Mẫu trắng thiết bị)</t>
  </si>
  <si>
    <t>HCM_NM_CĐ</t>
  </si>
  <si>
    <t>HCM_NM_CĐ_L</t>
  </si>
  <si>
    <t>Khu vực Cầu Đỏ trên đường Nguyễn Xí, đoạn qua rạch Cầu Sơn</t>
  </si>
  <si>
    <t>Cầu Đỏ - HCM_NM_CĐ - Triều Lên</t>
  </si>
  <si>
    <t>Cầu Đỏ - Triều Lên</t>
  </si>
  <si>
    <t>Cầu Đỏ - Triều Lên (QC - Mẫu lặp hiện trường)</t>
  </si>
  <si>
    <t>Cầu Đỏ - Triều Lên (QC - Mẫu trắng hiện trường)</t>
  </si>
  <si>
    <t>Cầu Đỏ - Triều Lên (QC - Mẫu trắng vận chuyển)</t>
  </si>
  <si>
    <t>Cầu Đỏ - Triều Lên (QC - Mẫu trắng thiết bị)</t>
  </si>
  <si>
    <t>HCM_NM_TN2</t>
  </si>
  <si>
    <t>HCM_NM_TN2_L</t>
  </si>
  <si>
    <t>Khu vực cầu Thị Nghè 2 trên đường Nguyễn Hữu Cảnh, gần Thảo Cầm Viên</t>
  </si>
  <si>
    <t>Thị Nghè 2 - HCM_NM_TN2 - Triều Lên</t>
  </si>
  <si>
    <t>Thị Nghè 2 - Triều Lên</t>
  </si>
  <si>
    <t>Thị Nghè 2 - Triều Lên (QC - Mẫu lặp hiện trường)</t>
  </si>
  <si>
    <t>Thị Nghè 2 - Triều Lên (QC - Mẫu trắng hiện trường)</t>
  </si>
  <si>
    <t>Thị Nghè 2 - Triều Lên (QC - Mẫu trắng vận chuyển)</t>
  </si>
  <si>
    <t>Thị Nghè 2 - Triều Lên (QC - Mẫu trắng thiết bị)</t>
  </si>
  <si>
    <t>HCM_NM_BHN</t>
  </si>
  <si>
    <t>HCM_NM_BHN_L</t>
  </si>
  <si>
    <t>Khu vực cầu Bùi Hữu Nghĩa, đoạn rạch Cầu Bông đổ ra kênh Nhiêu Lộc – Thị Nghè</t>
  </si>
  <si>
    <t>Bùi Hữu Nghĩa - HCM_NM_BHN - Triều Lên</t>
  </si>
  <si>
    <t>Bùi Hữu Nghĩa - Triều Lên</t>
  </si>
  <si>
    <t>Bùi Hữu Nghĩa - Triều Lên (QC - Mẫu lặp hiện trường)</t>
  </si>
  <si>
    <t>Bùi Hữu Nghĩa - Triều Lên (QC - Mẫu trắng hiện trường)</t>
  </si>
  <si>
    <t>Bùi Hữu Nghĩa - Triều Lên (QC - Mẫu trắng vận chuyển)</t>
  </si>
  <si>
    <t>Bùi Hữu Nghĩa - Triều Lên (QC - Mẫu trắng thiết bị)</t>
  </si>
  <si>
    <t>HCM_NM_RVT</t>
  </si>
  <si>
    <t>HCM_NM_RVT_L</t>
  </si>
  <si>
    <t>Khu vực cầu Văn Thánh trên đường Điện Biên Phủ</t>
  </si>
  <si>
    <t>Cầu Văn Thánh - HCM_NM_RVT - Triều Lên</t>
  </si>
  <si>
    <t>Cầu Văn Thánh - Triều Lên</t>
  </si>
  <si>
    <t>Cầu Văn Thánh - Triều Lên (QC - Mẫu lặp hiện trường)</t>
  </si>
  <si>
    <t>Cầu Văn Thánh - Triều Lên (QC - Mẫu trắng hiện trường)</t>
  </si>
  <si>
    <t>Cầu Văn Thánh - Triều Lên (QC - Mẫu trắng vận chuyển)</t>
  </si>
  <si>
    <t>Cầu Văn Thánh - Triều Lên (QC - Mẫu trắng thiết bị)</t>
  </si>
  <si>
    <t>HCM_NM_RVT2</t>
  </si>
  <si>
    <t>HCM_NM_RVT2_L</t>
  </si>
  <si>
    <t>Khu vực cầu Văn Thánh 2 trên đường Nguyễn Hữu Cảnh, đoạn qua rạch Văn Thánh</t>
  </si>
  <si>
    <t>Cầu Văn Thánh 2 - HCM_NM_RVT2 - Triều Lên</t>
  </si>
  <si>
    <t>Cầu Văn Thánh 2 - Triều Lên</t>
  </si>
  <si>
    <t>Cầu Văn Thánh 2 - Triều Lên (QC - Mẫu lặp hiện trường)</t>
  </si>
  <si>
    <t>Cầu Văn Thánh 2 - Triều Lên (QC - Mẫu trắng hiện trường)</t>
  </si>
  <si>
    <t>Cầu Văn Thánh 2 - Triều Lên (QC - Mẫu trắng vận chuyển)</t>
  </si>
  <si>
    <t>Cầu Văn Thánh 2 - Triều Lên (QC - Mẫu trắng thiết bị)</t>
  </si>
  <si>
    <t>HCM_NM_CS1_X</t>
  </si>
  <si>
    <t>Cầu số 1 - HCM_NM_CS1 - Triều Xuống</t>
  </si>
  <si>
    <t>Cầu số 1 - Triều Xuống</t>
  </si>
  <si>
    <t>Cầu số 1 - Triều Xuống (QC - Mẫu lặp hiện trường)</t>
  </si>
  <si>
    <t>Cầu số 1 - Triều Xuống (QC - Mẫu trắng hiện trường)</t>
  </si>
  <si>
    <t>Cầu số 1 - Triều Xuống (QC - Mẫu trắng vận chuyển)</t>
  </si>
  <si>
    <t>Cầu số 1 - Triều Xuống (QC - Mẫu trắng thiết bị)</t>
  </si>
  <si>
    <t>HCM_NM_LVS_X</t>
  </si>
  <si>
    <t>Lê Văn Sỹ - HCM_NM_LVS - Triều Xuống</t>
  </si>
  <si>
    <t>Lê Văn Sỹ - Triều Xuống</t>
  </si>
  <si>
    <t>Lê Văn Sỹ - Triều Xuống (QC - Mẫu lặp hiện trường)</t>
  </si>
  <si>
    <t>Lê Văn Sỹ - Triều Xuống (QC - Mẫu trắng hiện trường)</t>
  </si>
  <si>
    <t>Lê Văn Sỹ - Triều Xuống (QC - Mẫu trắng vận chuyển)</t>
  </si>
  <si>
    <t>Lê Văn Sỹ - Triều Xuống (QC - Mẫu trắng thiết bị)</t>
  </si>
  <si>
    <t>HCM_NM_HĐ_X</t>
  </si>
  <si>
    <t>Hải Đức - HCM_NM_HĐ - Triều Xuống</t>
  </si>
  <si>
    <t>Hải Đức - Triều Xuống</t>
  </si>
  <si>
    <t>Hải Đức - Triều Xuống (QC - Mẫu lặp hiện trường)</t>
  </si>
  <si>
    <t>Hải Đức - Triều Xuống (QC - Mẫu trắng hiện trường)</t>
  </si>
  <si>
    <t>Hải Đức - Triều Xuống (QC - Mẫu trắng vận chuyển)</t>
  </si>
  <si>
    <t>Hải Đức - Triều Xuống (QC - Mẫu trắng thiết bị)</t>
  </si>
  <si>
    <t>HCM_NM_ĐBP_X</t>
  </si>
  <si>
    <t>Điện Biên Phủ - HCM_NM_ĐBP - Triều Xuống</t>
  </si>
  <si>
    <t>Điện Biên Phủ - Triều Xuống</t>
  </si>
  <si>
    <t>Điện Biên Phủ - Triều Xuống (QC - Mẫu lặp hiện trường)</t>
  </si>
  <si>
    <t>Điện Biên Phủ - Triều Xuống (QC - Mẫu trắng hiện trường)</t>
  </si>
  <si>
    <t>Điện Biên Phủ - Triều Xuống (QC - Mẫu trắng vận chuyển)</t>
  </si>
  <si>
    <t>Điện Biên Phủ - Triều Xuống (QC - Mẫu trắng thiết bị)</t>
  </si>
  <si>
    <t>HCM_NM_BĐT_X</t>
  </si>
  <si>
    <t>Bùi Đình Túy - HCM_NM_BĐT - Triều Xuống</t>
  </si>
  <si>
    <t>Bùi Đình Túy - Triều Xuống</t>
  </si>
  <si>
    <t>Bùi Đình Túy - Triều Xuống (QC - Mẫu lặp hiện trường)</t>
  </si>
  <si>
    <t>Bùi Đình Túy - Triều Xuống (QC - Mẫu trắng hiện trường)</t>
  </si>
  <si>
    <t>Bùi Đình Túy - Triều Xuống (QC - Mẫu trắng vận chuyển)</t>
  </si>
  <si>
    <t>Bùi Đình Túy - Triều Xuống (QC - Mẫu trắng thiết bị)</t>
  </si>
  <si>
    <t>HCM_NM_CĐ_X</t>
  </si>
  <si>
    <t>Cầu Đỏ - HCM_NM_CĐ - Triều Xuống</t>
  </si>
  <si>
    <t>Cầu Đỏ - Triều Xuống</t>
  </si>
  <si>
    <t>Cầu Đỏ - Triều Xuống (QC - Mẫu lặp hiện trường)</t>
  </si>
  <si>
    <t>Cầu Đỏ - Triều Xuống (QC - Mẫu trắng hiện trường)</t>
  </si>
  <si>
    <t>Cầu Đỏ - Triều Xuống (QC - Mẫu trắng vận chuyển)</t>
  </si>
  <si>
    <t>Cầu Đỏ - Triều Xuống (QC - Mẫu trắng thiết bị)</t>
  </si>
  <si>
    <t>HCM_NM_TN2_X</t>
  </si>
  <si>
    <t>Thị Nghè 2 - HCM_NM_TN2 - Triều Xuống</t>
  </si>
  <si>
    <t>Thị Nghè 2 - Triều Xuống</t>
  </si>
  <si>
    <t>Thị Nghè 2 - Triều Xuống (QC - Mẫu lặp hiện trường)</t>
  </si>
  <si>
    <t>Thị Nghè 2 - Triều Xuống (QC - Mẫu trắng hiện trường)</t>
  </si>
  <si>
    <t>Thị Nghè 2 - Triều Xuống (QC - Mẫu trắng vận chuyển)</t>
  </si>
  <si>
    <t>Thị Nghè 2 - Triều Xuống (QC - Mẫu trắng thiết bị)</t>
  </si>
  <si>
    <t>HCM_NM_BHN_X</t>
  </si>
  <si>
    <t>Bùi Hữu Nghĩa - HCM_NM_BHN - Triều Xuống</t>
  </si>
  <si>
    <t>Bùi Hữu Nghĩa - Triều Xuống</t>
  </si>
  <si>
    <t>Bùi Hữu Nghĩa - Triều Xuống (QC - Mẫu lặp hiện trường)</t>
  </si>
  <si>
    <t>Bùi Hữu Nghĩa - Triều Xuống (QC - Mẫu trắng hiện trường)</t>
  </si>
  <si>
    <t>Bùi Hữu Nghĩa - Triều Xuống (QC - Mẫu trắng vận chuyển)</t>
  </si>
  <si>
    <t>Bùi Hữu Nghĩa - Triều Xuống (QC - Mẫu trắng thiết bị)</t>
  </si>
  <si>
    <t>HCM_NM_RVT_X</t>
  </si>
  <si>
    <t>Cầu Văn Thánh - HCM_NM_RVT - Triều Xuống</t>
  </si>
  <si>
    <t>Cầu Văn Thánh - Triều Xuống</t>
  </si>
  <si>
    <t>Cầu Văn Thánh - Triều Xuống (QC - Mẫu lặp hiện trường)</t>
  </si>
  <si>
    <t>Cầu Văn Thánh - Triều Xuống (QC - Mẫu trắng hiện trường)</t>
  </si>
  <si>
    <t>Cầu Văn Thánh - Triều Xuống (QC - Mẫu trắng vận chuyển)</t>
  </si>
  <si>
    <t>Cầu Văn Thánh - Triều Xuống (QC - Mẫu trắng thiết bị)</t>
  </si>
  <si>
    <t>HCM_NM_RVT2_X</t>
  </si>
  <si>
    <t>Cầu Văn Thánh 2 - HCM_NM_RVT2 - Triều Xuống</t>
  </si>
  <si>
    <t>Cầu Văn Thánh 2 - Triều Xuống</t>
  </si>
  <si>
    <t>Cầu Văn Thánh 2 - Triều Xuống (QC - Mẫu lặp hiện trường)</t>
  </si>
  <si>
    <t>Cầu Văn Thánh 2 - Triều Xuống (QC - Mẫu trắng hiện trường)</t>
  </si>
  <si>
    <t>Cầu Văn Thánh 2 - Triều Xuống (QC - Mẫu trắng vận chuyển)</t>
  </si>
  <si>
    <t>Cầu Văn Thánh 2 - Triều Xuống (QC - Mẫu trắng thiết bị)</t>
  </si>
  <si>
    <t>01</t>
  </si>
  <si>
    <t>HCM_NM_TBNM15</t>
  </si>
  <si>
    <t>HCM_NM_TBNM15_01</t>
  </si>
  <si>
    <t>Kênh 18 – Cách nhà máy Vietstar 300m về hướng ngược dòng chảy.</t>
  </si>
  <si>
    <t>TBNM15 - HCM_NM_TBNM15 - 01</t>
  </si>
  <si>
    <t>TBNM15 - 01</t>
  </si>
  <si>
    <t>TBNM15 - 01 (QC - Mẫu lặp hiện trường)</t>
  </si>
  <si>
    <t>TBNM15 - 01 (QC - Mẫu trắng hiện trường)</t>
  </si>
  <si>
    <t>TBNM15 - 01 (QC - Mẫu trắng vận chuyển)</t>
  </si>
  <si>
    <t>TBNM15 - 01 (QC - Mẫu trắng thiết bị)</t>
  </si>
  <si>
    <t>HCM_NM_TBNM5</t>
  </si>
  <si>
    <t>HCM_NM_TBNM5_01</t>
  </si>
  <si>
    <t>Kênh Thầy Cai – cách kênh 18 khoảng 500 m, hướng về phía thượng nguồn.</t>
  </si>
  <si>
    <t>TBNM5 - HCM_NM_TBNM5 - 01</t>
  </si>
  <si>
    <t>TBNM5 - 01</t>
  </si>
  <si>
    <t>TBNM5 - 01 (QC - Mẫu lặp hiện trường)</t>
  </si>
  <si>
    <t>TBNM5 - 01 (QC - Mẫu trắng hiện trường)</t>
  </si>
  <si>
    <t>TBNM5 - 01 (QC - Mẫu trắng vận chuyển)</t>
  </si>
  <si>
    <t>TBNM5 - 01 (QC - Mẫu trắng thiết bị)</t>
  </si>
  <si>
    <t>HCM_NM_CTT</t>
  </si>
  <si>
    <t>HCM_NM_CTT_L</t>
  </si>
  <si>
    <t>Cầu Tân Thái, TL 822, ranh giới giữa Phường Thái Mỹ và tỉnh Tây Ninh</t>
  </si>
  <si>
    <t>Cầu Tân Thái - HCM_NM_CTT - Triều Lên</t>
  </si>
  <si>
    <t>Cầu Tân Thái - Triều Lên</t>
  </si>
  <si>
    <t>Cầu Tân Thái - Triều Lên (QC - Mẫu lặp hiện trường)</t>
  </si>
  <si>
    <t>Cầu Tân Thái - Triều Lên (QC - Mẫu trắng hiện trường)</t>
  </si>
  <si>
    <t>Cầu Tân Thái - Triều Lên (QC - Mẫu trắng vận chuyển)</t>
  </si>
  <si>
    <t>Cầu Tân Thái - Triều Lên (QC - Mẫu trắng thiết bị)</t>
  </si>
  <si>
    <t>HCM_NM_TBNM14</t>
  </si>
  <si>
    <t>HCM_NM_TBNM14_01</t>
  </si>
  <si>
    <t>Kênh 17 – Đầu kênh</t>
  </si>
  <si>
    <t>TBNM14 - HCM_NM_TBNM14 - 01</t>
  </si>
  <si>
    <t>TBNM14 - 01</t>
  </si>
  <si>
    <t>TBNM14 - 01 (QC - Mẫu lặp hiện trường)</t>
  </si>
  <si>
    <t>TBNM14 - 01 (QC - Mẫu trắng hiện trường)</t>
  </si>
  <si>
    <t>TBNM14 - 01 (QC - Mẫu trắng vận chuyển)</t>
  </si>
  <si>
    <t>TBNM14 - 01 (QC - Mẫu trắng thiết bị)</t>
  </si>
  <si>
    <t>HCM_NM_TBNM9</t>
  </si>
  <si>
    <t>HCM_NM_TBNM9_01</t>
  </si>
  <si>
    <t>Kênh 15 – Thượng nguồn - Cách bãi số 3 khoảng 500 m ngược hướng dòng chảy</t>
  </si>
  <si>
    <t>TBNM9 - HCM_NM_TBNM9 - 01</t>
  </si>
  <si>
    <t>TBNM9 - 01</t>
  </si>
  <si>
    <t>TBNM9 - 01 (QC - Mẫu lặp hiện trường)</t>
  </si>
  <si>
    <t>TBNM9 - 01 (QC - Mẫu trắng hiện trường)</t>
  </si>
  <si>
    <t>TBNM9 - 01 (QC - Mẫu trắng vận chuyển)</t>
  </si>
  <si>
    <t>TBNM9 - 01 (QC - Mẫu trắng thiết bị)</t>
  </si>
  <si>
    <t>HCM_NM_TBNM11</t>
  </si>
  <si>
    <t>HCM_NM_TBNM11_01</t>
  </si>
  <si>
    <t>Kênh 16 – giáp bãi chôn lấp số 3 (đầu kênh)</t>
  </si>
  <si>
    <t>TBNM11 - HCM_NM_TBNM11 - 01</t>
  </si>
  <si>
    <t>TBNM11 - 01</t>
  </si>
  <si>
    <t>TBNM11 - 01 (QC - Mẫu lặp hiện trường)</t>
  </si>
  <si>
    <t>TBNM11 - 01 (QC - Mẫu trắng hiện trường)</t>
  </si>
  <si>
    <t>TBNM11 - 01 (QC - Mẫu trắng vận chuyển)</t>
  </si>
  <si>
    <t>TBNM11 - 01 (QC - Mẫu trắng thiết bị)</t>
  </si>
  <si>
    <t>HCM_NM_TBNM1</t>
  </si>
  <si>
    <t>HCM_NM_TBNM1_01</t>
  </si>
  <si>
    <t>Kênh Thầy Cai – cách ngã 3 kênh 15 và kênh Thầy Cai khoảng 500 m về hướng dân cư.</t>
  </si>
  <si>
    <t>TBNM1 - HCM_NM_TBNM1 - 01</t>
  </si>
  <si>
    <t>TBNM1 - 01</t>
  </si>
  <si>
    <t>TBNM1 - 01 (QC - Mẫu lặp hiện trường)</t>
  </si>
  <si>
    <t>TBNM1 - 01 (QC - Mẫu trắng hiện trường)</t>
  </si>
  <si>
    <t>TBNM1 - 01 (QC - Mẫu trắng vận chuyển)</t>
  </si>
  <si>
    <t>TBNM1 - 01 (QC - Mẫu trắng thiết bị)</t>
  </si>
  <si>
    <t>HCM_NM_TCa</t>
  </si>
  <si>
    <t>HCM_NM_TCa_L</t>
  </si>
  <si>
    <t>Tại khu vực cầu Thầy Cai.</t>
  </si>
  <si>
    <t>Thầy Cai - HCM_NM_TCa - Triều Lên</t>
  </si>
  <si>
    <t>Thầy Cai - Triều Lên</t>
  </si>
  <si>
    <t>Thầy Cai - Triều Lên (QC - Mẫu lặp hiện trường)</t>
  </si>
  <si>
    <t>Thầy Cai - Triều Lên (QC - Mẫu trắng hiện trường)</t>
  </si>
  <si>
    <t>Thầy Cai - Triều Lên (QC - Mẫu trắng vận chuyển)</t>
  </si>
  <si>
    <t>Thầy Cai - Triều Lên (QC - Mẫu trắng thiết bị)</t>
  </si>
  <si>
    <t>02</t>
  </si>
  <si>
    <t>HCM_NM_TBNM15_02</t>
  </si>
  <si>
    <t>TBNM15 - HCM_NM_TBNM15 - 02</t>
  </si>
  <si>
    <t>TBNM15 - 02</t>
  </si>
  <si>
    <t>TBNM15 - 02 (QC - Mẫu lặp hiện trường)</t>
  </si>
  <si>
    <t>TBNM15 - 02 (QC - Mẫu trắng hiện trường)</t>
  </si>
  <si>
    <t>TBNM15 - 02 (QC - Mẫu trắng vận chuyển)</t>
  </si>
  <si>
    <t>TBNM15 - 02 (QC - Mẫu trắng thiết bị)</t>
  </si>
  <si>
    <t>HCM_NM_TBNM5_02</t>
  </si>
  <si>
    <t>TBNM5 - HCM_NM_TBNM5 - 02</t>
  </si>
  <si>
    <t>TBNM5 - 02</t>
  </si>
  <si>
    <t>TBNM5 - 02 (QC - Mẫu lặp hiện trường)</t>
  </si>
  <si>
    <t>TBNM5 - 02 (QC - Mẫu trắng hiện trường)</t>
  </si>
  <si>
    <t>TBNM5 - 02 (QC - Mẫu trắng vận chuyển)</t>
  </si>
  <si>
    <t>TBNM5 - 02 (QC - Mẫu trắng thiết bị)</t>
  </si>
  <si>
    <t>HCM_NM_CTT_X</t>
  </si>
  <si>
    <t>Cầu Tân Thái - HCM_NM_CTT - Triều Xuống</t>
  </si>
  <si>
    <t>Cầu Tân Thái - Triều Xuống</t>
  </si>
  <si>
    <t>Cầu Tân Thái - Triều Xuống (QC - Mẫu lặp hiện trường)</t>
  </si>
  <si>
    <t>Cầu Tân Thái - Triều Xuống (QC - Mẫu trắng hiện trường)</t>
  </si>
  <si>
    <t>Cầu Tân Thái - Triều Xuống (QC - Mẫu trắng vận chuyển)</t>
  </si>
  <si>
    <t>Cầu Tân Thái - Triều Xuống (QC - Mẫu trắng thiết bị)</t>
  </si>
  <si>
    <t>HCM_NM_TBNM14_02</t>
  </si>
  <si>
    <t>TBNM14 - HCM_NM_TBNM14 - 02</t>
  </si>
  <si>
    <t>TBNM14 - 02</t>
  </si>
  <si>
    <t>TBNM14 - 02 (QC - Mẫu lặp hiện trường)</t>
  </si>
  <si>
    <t>TBNM14 - 02 (QC - Mẫu trắng hiện trường)</t>
  </si>
  <si>
    <t>TBNM14 - 02 (QC - Mẫu trắng vận chuyển)</t>
  </si>
  <si>
    <t>TBNM14 - 02 (QC - Mẫu trắng thiết bị)</t>
  </si>
  <si>
    <t>HCM_NM_TBNM9_02</t>
  </si>
  <si>
    <t>TBNM9 - HCM_NM_TBNM9 - 02</t>
  </si>
  <si>
    <t>TBNM9 - 02</t>
  </si>
  <si>
    <t>TBNM9 - 02 (QC - Mẫu lặp hiện trường)</t>
  </si>
  <si>
    <t>TBNM9 - 02 (QC - Mẫu trắng hiện trường)</t>
  </si>
  <si>
    <t>TBNM9 - 02 (QC - Mẫu trắng vận chuyển)</t>
  </si>
  <si>
    <t>TBNM9 - 02 (QC - Mẫu trắng thiết bị)</t>
  </si>
  <si>
    <t>HCM_NM_TBNM11_02</t>
  </si>
  <si>
    <t>TBNM11 - HCM_NM_TBNM11 - 02</t>
  </si>
  <si>
    <t>TBNM11 - 02</t>
  </si>
  <si>
    <t>TBNM11 - 02 (QC - Mẫu lặp hiện trường)</t>
  </si>
  <si>
    <t>TBNM11 - 02 (QC - Mẫu trắng hiện trường)</t>
  </si>
  <si>
    <t>TBNM11 - 02 (QC - Mẫu trắng vận chuyển)</t>
  </si>
  <si>
    <t>TBNM11 - 02 (QC - Mẫu trắng thiết bị)</t>
  </si>
  <si>
    <t>HCM_NM_TBNM1_02</t>
  </si>
  <si>
    <t>TBNM1 - HCM_NM_TBNM1 - 02</t>
  </si>
  <si>
    <t>TBNM1 - 02</t>
  </si>
  <si>
    <t>TBNM1 - 02 (QC - Mẫu lặp hiện trường)</t>
  </si>
  <si>
    <t>TBNM1 - 02 (QC - Mẫu trắng hiện trường)</t>
  </si>
  <si>
    <t>TBNM1 - 02 (QC - Mẫu trắng vận chuyển)</t>
  </si>
  <si>
    <t>TBNM1 - 02 (QC - Mẫu trắng thiết bị)</t>
  </si>
  <si>
    <t>HCM_NM_TCa_X</t>
  </si>
  <si>
    <t>Thầy Cai - HCM_NM_TCa - Triều Xuống</t>
  </si>
  <si>
    <t>Thầy Cai - Triều Xuống</t>
  </si>
  <si>
    <t>Thầy Cai - Triều Xuống (QC - Mẫu lặp hiện trường)</t>
  </si>
  <si>
    <t>Thầy Cai - Triều Xuống (QC - Mẫu trắng hiện trường)</t>
  </si>
  <si>
    <t>Thầy Cai - Triều Xuống (QC - Mẫu trắng vận chuyển)</t>
  </si>
  <si>
    <t>Thầy Cai - Triều Xuống (QC - Mẫu trắng thiết bị)</t>
  </si>
  <si>
    <t>HCM_NM_N46</t>
  </si>
  <si>
    <t>HCM_NM_N46_L</t>
  </si>
  <si>
    <t>Hồ chứa nước kênh Đông, xã Củ Chi</t>
  </si>
  <si>
    <t>Kênh N46 - HCM_NM_N46 - Triều Lên</t>
  </si>
  <si>
    <t>Kênh N46 - Triều Lên</t>
  </si>
  <si>
    <t>Kênh N46 - Triều Lên (QC - Mẫu lặp hiện trường)</t>
  </si>
  <si>
    <t>Kênh N46 - Triều Lên (QC - Mẫu trắng hiện trường)</t>
  </si>
  <si>
    <t>Kênh N46 - Triều Lên (QC - Mẫu trắng vận chuyển)</t>
  </si>
  <si>
    <t>Kênh N46 - Triều Lên (QC - Mẫu trắng thiết bị)</t>
  </si>
  <si>
    <t>HCM_NM_TPT</t>
  </si>
  <si>
    <t>HCM_NM_TPT_L</t>
  </si>
  <si>
    <t>Dọc đường Tam Tân cách ngã giao kênh Thầy Cai và kênh An Hạ 1km về phía Tây</t>
  </si>
  <si>
    <t>Tân Phú Trung - HCM_NM_TPT - Triều Lên</t>
  </si>
  <si>
    <t>Tân Phú Trung - Triều Lên</t>
  </si>
  <si>
    <t>Tân Phú Trung - Triều Lên (QC - Mẫu lặp hiện trường)</t>
  </si>
  <si>
    <t>Tân Phú Trung - Triều Lên (QC - Mẫu trắng hiện trường)</t>
  </si>
  <si>
    <t>Tân Phú Trung - Triều Lên (QC - Mẫu trắng vận chuyển)</t>
  </si>
  <si>
    <t>Tân Phú Trung - Triều Lên (QC - Mẫu trắng thiết bị)</t>
  </si>
  <si>
    <t>HCM_NM_TC18A</t>
  </si>
  <si>
    <t>HCM_NM_TC18A_L</t>
  </si>
  <si>
    <t>Trước cổng công ty Fujifilm</t>
  </si>
  <si>
    <t>TC18A - HCM_NM_TC18A - Triều Lên</t>
  </si>
  <si>
    <t>TC18A - Triều Lên</t>
  </si>
  <si>
    <t>TC18A - Triều Lên (QC - Mẫu lặp hiện trường)</t>
  </si>
  <si>
    <t>TC18A - Triều Lên (QC - Mẫu trắng hiện trường)</t>
  </si>
  <si>
    <t>TC18A - Triều Lên (QC - Mẫu trắng vận chuyển)</t>
  </si>
  <si>
    <t>TC18A - Triều Lên (QC - Mẫu trắng thiết bị)</t>
  </si>
  <si>
    <t>HCM_NM_AH1</t>
  </si>
  <si>
    <t>HCM_NM_AH1_L</t>
  </si>
  <si>
    <t>Cầu An Hạ, QL 22</t>
  </si>
  <si>
    <t>An Hạ 1 - HCM_NM_AH1 - Triều Lên</t>
  </si>
  <si>
    <t>An Hạ 1 - Triều Lên</t>
  </si>
  <si>
    <t>An Hạ 1 - Triều Lên (QC - Mẫu lặp hiện trường)</t>
  </si>
  <si>
    <t>An Hạ 1 - Triều Lên (QC - Mẫu trắng hiện trường)</t>
  </si>
  <si>
    <t>An Hạ 1 - Triều Lên (QC - Mẫu trắng vận chuyển)</t>
  </si>
  <si>
    <t>An Hạ 1 - Triều Lên (QC - Mẫu trắng thiết bị)</t>
  </si>
  <si>
    <t>HCM_NM_CTL9</t>
  </si>
  <si>
    <t>HCM_NM_CTL9_L</t>
  </si>
  <si>
    <t>Tại khu vực cầu TL9</t>
  </si>
  <si>
    <t>Cầu TL9 - HCM_NM_CTL9 - Triều Lên</t>
  </si>
  <si>
    <t>Cầu TL9 - Triều Lên</t>
  </si>
  <si>
    <t>Cầu TL9 - Triều Lên (QC - Mẫu lặp hiện trường)</t>
  </si>
  <si>
    <t>Cầu TL9 - Triều Lên (QC - Mẫu trắng hiện trường)</t>
  </si>
  <si>
    <t>Cầu TL9 - Triều Lên (QC - Mẫu trắng vận chuyển)</t>
  </si>
  <si>
    <t>Cầu TL9 - Triều Lên (QC - Mẫu trắng thiết bị)</t>
  </si>
  <si>
    <t>HCM_NM_XTS</t>
  </si>
  <si>
    <t>HCM_NM_XTS_L</t>
  </si>
  <si>
    <t>Dọc đường Thanh Niên đối diện với cơ sở xã hội Nhị Xuân</t>
  </si>
  <si>
    <t>Xuân Thới Sơn - HCM_NM_XTS - Triều Lên</t>
  </si>
  <si>
    <t>Xuân Thới Sơn - Triều Lên</t>
  </si>
  <si>
    <t>Xuân Thới Sơn - Triều Lên (QC - Mẫu lặp hiện trường)</t>
  </si>
  <si>
    <t>Xuân Thới Sơn - Triều Lên (QC - Mẫu trắng hiện trường)</t>
  </si>
  <si>
    <t>Xuân Thới Sơn - Triều Lên (QC - Mẫu trắng vận chuyển)</t>
  </si>
  <si>
    <t>Xuân Thới Sơn - Triều Lên (QC - Mẫu trắng thiết bị)</t>
  </si>
  <si>
    <t>HCM_NM_CLo</t>
  </si>
  <si>
    <t>HCM_NM_CLo_L</t>
  </si>
  <si>
    <t>Tại khu vực cầu Lớn</t>
  </si>
  <si>
    <t>Cầu Lớn - HCM_NM_CLo - Triều Lên</t>
  </si>
  <si>
    <t>Cầu Lớn - Triều Lên</t>
  </si>
  <si>
    <t>Cầu Lớn - Triều Lên (QC - Mẫu lặp hiện trường)</t>
  </si>
  <si>
    <t>Cầu Lớn - Triều Lên (QC - Mẫu trắng hiện trường)</t>
  </si>
  <si>
    <t>Cầu Lớn - Triều Lên (QC - Mẫu trắng vận chuyển)</t>
  </si>
  <si>
    <t>Cầu Lớn - Triều Lên (QC - Mẫu trắng thiết bị)</t>
  </si>
  <si>
    <t>HCM_NM_AH</t>
  </si>
  <si>
    <t>HCM_NM_AH_L</t>
  </si>
  <si>
    <t>Cầu Xáng, đường Trần Văn Giàu, Xã Tân Vĩnh Lộc</t>
  </si>
  <si>
    <t>An Hạ - HCM_NM_AH - Triều Lên</t>
  </si>
  <si>
    <t>An Hạ - Triều Lên</t>
  </si>
  <si>
    <t>An Hạ - Triều Lên (QC - Mẫu lặp hiện trường)</t>
  </si>
  <si>
    <t>An Hạ - Triều Lên (QC - Mẫu trắng hiện trường)</t>
  </si>
  <si>
    <t>An Hạ - Triều Lên (QC - Mẫu trắng vận chuyển)</t>
  </si>
  <si>
    <t>An Hạ - Triều Lên (QC - Mẫu trắng thiết bị)</t>
  </si>
  <si>
    <t>HCM_NM_RR</t>
  </si>
  <si>
    <t>HCM_NM_RR_L</t>
  </si>
  <si>
    <t>Tại khu vực cầu Rau Răm</t>
  </si>
  <si>
    <t>Rau Răm - HCM_NM_RR - Triều Lên</t>
  </si>
  <si>
    <t>Rau Răm - Triều Lên</t>
  </si>
  <si>
    <t>Rau Răm - Triều Lên (QC - Mẫu lặp hiện trường)</t>
  </si>
  <si>
    <t>Rau Răm - Triều Lên (QC - Mẫu trắng hiện trường)</t>
  </si>
  <si>
    <t>Rau Răm - Triều Lên (QC - Mẫu trắng vận chuyển)</t>
  </si>
  <si>
    <t>Rau Răm - Triều Lên (QC - Mẫu trắng thiết bị)</t>
  </si>
  <si>
    <t>HCM_NM_N46_X</t>
  </si>
  <si>
    <t>Kênh N46 - HCM_NM_N46 - Triều Xuống</t>
  </si>
  <si>
    <t>Kênh N46 - Triều Xuống</t>
  </si>
  <si>
    <t>Kênh N46 - Triều Xuống (QC - Mẫu lặp hiện trường)</t>
  </si>
  <si>
    <t>Kênh N46 - Triều Xuống (QC - Mẫu trắng hiện trường)</t>
  </si>
  <si>
    <t>Kênh N46 - Triều Xuống (QC - Mẫu trắng vận chuyển)</t>
  </si>
  <si>
    <t>Kênh N46 - Triều Xuống (QC - Mẫu trắng thiết bị)</t>
  </si>
  <si>
    <t>HCM_NM_TPT_X</t>
  </si>
  <si>
    <t>Tân Phú Trung - HCM_NM_TPT - Triều Xuống</t>
  </si>
  <si>
    <t>Tân Phú Trung - Triều Xuống</t>
  </si>
  <si>
    <t>Tân Phú Trung - Triều Xuống (QC - Mẫu lặp hiện trường)</t>
  </si>
  <si>
    <t>Tân Phú Trung - Triều Xuống (QC - Mẫu trắng hiện trường)</t>
  </si>
  <si>
    <t>Tân Phú Trung - Triều Xuống (QC - Mẫu trắng vận chuyển)</t>
  </si>
  <si>
    <t>Tân Phú Trung - Triều Xuống (QC - Mẫu trắng thiết bị)</t>
  </si>
  <si>
    <t>HCM_NM_TC18A_X</t>
  </si>
  <si>
    <t>TC18A - HCM_NM_TC18A - Triều Xuống</t>
  </si>
  <si>
    <t>TC18A - Triều Xuống</t>
  </si>
  <si>
    <t>TC18A - Triều Xuống (QC - Mẫu lặp hiện trường)</t>
  </si>
  <si>
    <t>TC18A - Triều Xuống (QC - Mẫu trắng hiện trường)</t>
  </si>
  <si>
    <t>TC18A - Triều Xuống (QC - Mẫu trắng vận chuyển)</t>
  </si>
  <si>
    <t>TC18A - Triều Xuống (QC - Mẫu trắng thiết bị)</t>
  </si>
  <si>
    <t>HCM_NM_AH1_X</t>
  </si>
  <si>
    <t>An Hạ 1 - HCM_NM_AH1 - Triều Xuống</t>
  </si>
  <si>
    <t>An Hạ 1 - Triều Xuống</t>
  </si>
  <si>
    <t>An Hạ 1 - Triều Xuống (QC - Mẫu lặp hiện trường)</t>
  </si>
  <si>
    <t>An Hạ 1 - Triều Xuống (QC - Mẫu trắng hiện trường)</t>
  </si>
  <si>
    <t>An Hạ 1 - Triều Xuống (QC - Mẫu trắng vận chuyển)</t>
  </si>
  <si>
    <t>An Hạ 1 - Triều Xuống (QC - Mẫu trắng thiết bị)</t>
  </si>
  <si>
    <t>HCM_NM_CTL9_X</t>
  </si>
  <si>
    <t>Cầu TL9 - HCM_NM_CTL9 - Triều Xuống</t>
  </si>
  <si>
    <t>Cầu TL9 - Triều Xuống</t>
  </si>
  <si>
    <t>Cầu TL9 - Triều Xuống (QC - Mẫu lặp hiện trường)</t>
  </si>
  <si>
    <t>Cầu TL9 - Triều Xuống (QC - Mẫu trắng hiện trường)</t>
  </si>
  <si>
    <t>Cầu TL9 - Triều Xuống (QC - Mẫu trắng vận chuyển)</t>
  </si>
  <si>
    <t>Cầu TL9 - Triều Xuống (QC - Mẫu trắng thiết bị)</t>
  </si>
  <si>
    <t>HCM_NM_XTS_X</t>
  </si>
  <si>
    <t>Xuân Thới Sơn - HCM_NM_XTS - Triều Xuống</t>
  </si>
  <si>
    <t>Xuân Thới Sơn - Triều Xuống</t>
  </si>
  <si>
    <t>Xuân Thới Sơn - Triều Xuống (QC - Mẫu lặp hiện trường)</t>
  </si>
  <si>
    <t>Xuân Thới Sơn - Triều Xuống (QC - Mẫu trắng hiện trường)</t>
  </si>
  <si>
    <t>Xuân Thới Sơn - Triều Xuống (QC - Mẫu trắng vận chuyển)</t>
  </si>
  <si>
    <t>Xuân Thới Sơn - Triều Xuống (QC - Mẫu trắng thiết bị)</t>
  </si>
  <si>
    <t>HCM_NM_CLo_X</t>
  </si>
  <si>
    <t>Cầu Lớn - HCM_NM_CLo - Triều Xuống</t>
  </si>
  <si>
    <t>Cầu Lớn - Triều Xuống</t>
  </si>
  <si>
    <t>Cầu Lớn - Triều Xuống (QC - Mẫu lặp hiện trường)</t>
  </si>
  <si>
    <t>Cầu Lớn - Triều Xuống (QC - Mẫu trắng hiện trường)</t>
  </si>
  <si>
    <t>Cầu Lớn - Triều Xuống (QC - Mẫu trắng vận chuyển)</t>
  </si>
  <si>
    <t>Cầu Lớn - Triều Xuống (QC - Mẫu trắng thiết bị)</t>
  </si>
  <si>
    <t>HCM_NM_AH_X</t>
  </si>
  <si>
    <t>An Hạ - HCM_NM_AH - Triều Xuống</t>
  </si>
  <si>
    <t>An Hạ - Triều Xuống</t>
  </si>
  <si>
    <t>An Hạ - Triều Xuống (QC - Mẫu lặp hiện trường)</t>
  </si>
  <si>
    <t>An Hạ - Triều Xuống (QC - Mẫu trắng hiện trường)</t>
  </si>
  <si>
    <t>An Hạ - Triều Xuống (QC - Mẫu trắng vận chuyển)</t>
  </si>
  <si>
    <t>An Hạ - Triều Xuống (QC - Mẫu trắng thiết bị)</t>
  </si>
  <si>
    <t>HCM_NM_RR_X</t>
  </si>
  <si>
    <t>Rau Răm - HCM_NM_RR - Triều Xuống</t>
  </si>
  <si>
    <t>Rau Răm - Triều Xuống</t>
  </si>
  <si>
    <t>Rau Răm - Triều Xuống (QC - Mẫu lặp hiện trường)</t>
  </si>
  <si>
    <t>Rau Răm - Triều Xuống (QC - Mẫu trắng hiện trường)</t>
  </si>
  <si>
    <t>Rau Răm - Triều Xuống (QC - Mẫu trắng vận chuyển)</t>
  </si>
  <si>
    <t>Rau Răm - Triều Xuống (QC - Mẫu trắng thiết bị)</t>
  </si>
  <si>
    <t>HCM_NM_CMo</t>
  </si>
  <si>
    <t>HCM_NM_CMo_L</t>
  </si>
  <si>
    <t>Khu vực cầu Mống, phường Xóm Chiểu</t>
  </si>
  <si>
    <t>Cầu Mống - HCM_NM_CMo - Triều Lên</t>
  </si>
  <si>
    <t>Cầu Mống - Triều Lên</t>
  </si>
  <si>
    <t>Cầu Mống - Triều Lên (QC - Mẫu lặp hiện trường)</t>
  </si>
  <si>
    <t>Cầu Mống - Triều Lên (QC - Mẫu trắng hiện trường)</t>
  </si>
  <si>
    <t>Cầu Mống - Triều Lên (QC - Mẫu trắng vận chuyển)</t>
  </si>
  <si>
    <t>Cầu Mống - Triều Lên (QC - Mẫu trắng thiết bị)</t>
  </si>
  <si>
    <t>HCM_NM_TThu</t>
  </si>
  <si>
    <t>HCM_NM_TThu_L</t>
  </si>
  <si>
    <t>Khu vực cầu Tân Thuận, phường Tân Thuận. Đoạn kênh Tẻ đổ ra sông Sài Gòn</t>
  </si>
  <si>
    <t>Tân Thuận - HCM_NM_TThu - Triều Lên</t>
  </si>
  <si>
    <t>Tân Thuận - Triều Lên</t>
  </si>
  <si>
    <t>Tân Thuận - Triều Lên (QC - Mẫu lặp hiện trường)</t>
  </si>
  <si>
    <t>Tân Thuận - Triều Lên (QC - Mẫu trắng hiện trường)</t>
  </si>
  <si>
    <t>Tân Thuận - Triều Lên (QC - Mẫu trắng vận chuyển)</t>
  </si>
  <si>
    <t>Tân Thuận - Triều Lên (QC - Mẫu trắng thiết bị)</t>
  </si>
  <si>
    <t>HCM_NM_KT</t>
  </si>
  <si>
    <t>HCM_NM_KT_L</t>
  </si>
  <si>
    <t>Khu vực cầu Kênh Tẻ trên đường Nguyễn Hữu Thọ</t>
  </si>
  <si>
    <t>Kênh Tẻ - HCM_NM_KT - Triều Lên</t>
  </si>
  <si>
    <t>Kênh Tẻ - Triều Lên</t>
  </si>
  <si>
    <t>Kênh Tẻ - Triều Lên (QC - Mẫu lặp hiện trường)</t>
  </si>
  <si>
    <t>Kênh Tẻ - Triều Lên (QC - Mẫu trắng hiện trường)</t>
  </si>
  <si>
    <t>Kênh Tẻ - Triều Lên (QC - Mẫu trắng vận chuyển)</t>
  </si>
  <si>
    <t>Kênh Tẻ - Triều Lên (QC - Mẫu trắng thiết bị)</t>
  </si>
  <si>
    <t>HCM_NM_CCY</t>
  </si>
  <si>
    <t>HCM_NM_CCY_L</t>
  </si>
  <si>
    <t>Khu vực cầu Chữ Y, đoạn hợp lưu kênh Đôi - Kênh Tàu Hũ</t>
  </si>
  <si>
    <t>Cầu Chữ Y - HCM_NM_CCY - Triều Lên</t>
  </si>
  <si>
    <t>Cầu Chữ Y - Triều Lên</t>
  </si>
  <si>
    <t>Cầu Chữ Y - Triều Lên (QC - Mẫu lặp hiện trường)</t>
  </si>
  <si>
    <t>Cầu Chữ Y - Triều Lên (QC - Mẫu trắng hiện trường)</t>
  </si>
  <si>
    <t>Cầu Chữ Y - Triều Lên (QC - Mẫu trắng vận chuyển)</t>
  </si>
  <si>
    <t>Cầu Chữ Y - Triều Lên (QC - Mẫu trắng thiết bị)</t>
  </si>
  <si>
    <t>HCM_NM_CV</t>
  </si>
  <si>
    <t>HCM_NM_CV_L</t>
  </si>
  <si>
    <t>Khu vực cầu Chà Và, Phường Phú Định</t>
  </si>
  <si>
    <t>Chà Và - HCM_NM_CV - Triều Lên</t>
  </si>
  <si>
    <t>Chà Và - Triều Lên</t>
  </si>
  <si>
    <t>Chà Và - Triều Lên (QC - Mẫu lặp hiện trường)</t>
  </si>
  <si>
    <t>Chà Và - Triều Lên (QC - Mẫu trắng hiện trường)</t>
  </si>
  <si>
    <t>Chà Và - Triều Lên (QC - Mẫu trắng vận chuyển)</t>
  </si>
  <si>
    <t>Chà Và - Triều Lên (QC - Mẫu trắng thiết bị)</t>
  </si>
  <si>
    <t>HCM_NM_CH</t>
  </si>
  <si>
    <t>HCM_NM_CH_L</t>
  </si>
  <si>
    <t>Khu vực cầu Chánh Hưng, phường Chánh Hưng</t>
  </si>
  <si>
    <t>Chánh Hưng - HCM_NM_CH - Triều Lên</t>
  </si>
  <si>
    <t>Chánh Hưng - Triều Lên</t>
  </si>
  <si>
    <t>Chánh Hưng - Triều Lên (QC - Mẫu lặp hiện trường)</t>
  </si>
  <si>
    <t>Chánh Hưng - Triều Lên (QC - Mẫu trắng hiện trường)</t>
  </si>
  <si>
    <t>Chánh Hưng - Triều Lên (QC - Mẫu trắng vận chuyển)</t>
  </si>
  <si>
    <t>Chánh Hưng - Triều Lên (QC - Mẫu trắng thiết bị)</t>
  </si>
  <si>
    <t>HCM_NM_NTĐ</t>
  </si>
  <si>
    <t>HCM_NM_NTĐ_L</t>
  </si>
  <si>
    <t>Khu vực cầu Nhị Thiên Đường, phường Bình Đông</t>
  </si>
  <si>
    <t>Nhị Thiên Đường - HCM_NM_NTĐ - Triều Lên</t>
  </si>
  <si>
    <t>Nhị Thiên Đường - Triều Lên</t>
  </si>
  <si>
    <t>Nhị Thiên Đường - Triều Lên (QC - Mẫu lặp hiện trường)</t>
  </si>
  <si>
    <t>Nhị Thiên Đường - Triều Lên (QC - Mẫu trắng hiện trường)</t>
  </si>
  <si>
    <t>Nhị Thiên Đường - Triều Lên (QC - Mẫu trắng vận chuyển)</t>
  </si>
  <si>
    <t>Nhị Thiên Đường - Triều Lên (QC - Mẫu trắng thiết bị)</t>
  </si>
  <si>
    <t>HCM_NM_CMo_X</t>
  </si>
  <si>
    <t>Cầu Mống - HCM_NM_CMo - Triều Xuống</t>
  </si>
  <si>
    <t>Cầu Mống - Triều Xuống</t>
  </si>
  <si>
    <t>Cầu Mống - Triều Xuống (QC - Mẫu lặp hiện trường)</t>
  </si>
  <si>
    <t>Cầu Mống - Triều Xuống (QC - Mẫu trắng hiện trường)</t>
  </si>
  <si>
    <t>Cầu Mống - Triều Xuống (QC - Mẫu trắng vận chuyển)</t>
  </si>
  <si>
    <t>Cầu Mống - Triều Xuống (QC - Mẫu trắng thiết bị)</t>
  </si>
  <si>
    <t>HCM_NM_TThu_X</t>
  </si>
  <si>
    <t>Tân Thuận - HCM_NM_TThu - Triều Xuống</t>
  </si>
  <si>
    <t>Tân Thuận - Triều Xuống</t>
  </si>
  <si>
    <t>Tân Thuận - Triều Xuống (QC - Mẫu lặp hiện trường)</t>
  </si>
  <si>
    <t>Tân Thuận - Triều Xuống (QC - Mẫu trắng hiện trường)</t>
  </si>
  <si>
    <t>Tân Thuận - Triều Xuống (QC - Mẫu trắng vận chuyển)</t>
  </si>
  <si>
    <t>Tân Thuận - Triều Xuống (QC - Mẫu trắng thiết bị)</t>
  </si>
  <si>
    <t>HCM_NM_KT_X</t>
  </si>
  <si>
    <t>Kênh Tẻ - HCM_NM_KT - Triều Xuống</t>
  </si>
  <si>
    <t>Kênh Tẻ - Triều Xuống</t>
  </si>
  <si>
    <t>Kênh Tẻ - Triều Xuống (QC - Mẫu lặp hiện trường)</t>
  </si>
  <si>
    <t>Kênh Tẻ - Triều Xuống (QC - Mẫu trắng hiện trường)</t>
  </si>
  <si>
    <t>Kênh Tẻ - Triều Xuống (QC - Mẫu trắng vận chuyển)</t>
  </si>
  <si>
    <t>Kênh Tẻ - Triều Xuống (QC - Mẫu trắng thiết bị)</t>
  </si>
  <si>
    <t>HCM_NM_CCY_X</t>
  </si>
  <si>
    <t>Cầu Chữ Y - HCM_NM_CCY - Triều Xuống</t>
  </si>
  <si>
    <t>Cầu Chữ Y - Triều Xuống</t>
  </si>
  <si>
    <t>Cầu Chữ Y - Triều Xuống (QC - Mẫu lặp hiện trường)</t>
  </si>
  <si>
    <t>Cầu Chữ Y - Triều Xuống (QC - Mẫu trắng hiện trường)</t>
  </si>
  <si>
    <t>Cầu Chữ Y - Triều Xuống (QC - Mẫu trắng vận chuyển)</t>
  </si>
  <si>
    <t>Cầu Chữ Y - Triều Xuống (QC - Mẫu trắng thiết bị)</t>
  </si>
  <si>
    <t>HCM_NM_CV_X</t>
  </si>
  <si>
    <t>Chà Và - HCM_NM_CV - Triều Xuống</t>
  </si>
  <si>
    <t>Chà Và - Triều Xuống</t>
  </si>
  <si>
    <t>Chà Và - Triều Xuống (QC - Mẫu lặp hiện trường)</t>
  </si>
  <si>
    <t>Chà Và - Triều Xuống (QC - Mẫu trắng hiện trường)</t>
  </si>
  <si>
    <t>Chà Và - Triều Xuống (QC - Mẫu trắng vận chuyển)</t>
  </si>
  <si>
    <t>Chà Và - Triều Xuống (QC - Mẫu trắng thiết bị)</t>
  </si>
  <si>
    <t>HCM_NM_CH_X</t>
  </si>
  <si>
    <t>Chánh Hưng - HCM_NM_CH - Triều Xuống</t>
  </si>
  <si>
    <t>Chánh Hưng - Triều Xuống</t>
  </si>
  <si>
    <t>Chánh Hưng - Triều Xuống (QC - Mẫu lặp hiện trường)</t>
  </si>
  <si>
    <t>Chánh Hưng - Triều Xuống (QC - Mẫu trắng hiện trường)</t>
  </si>
  <si>
    <t>Chánh Hưng - Triều Xuống (QC - Mẫu trắng vận chuyển)</t>
  </si>
  <si>
    <t>Chánh Hưng - Triều Xuống (QC - Mẫu trắng thiết bị)</t>
  </si>
  <si>
    <t>HCM_NM_NTĐ_X</t>
  </si>
  <si>
    <t>Nhị Thiên Đường - HCM_NM_NTĐ - Triều Xuống</t>
  </si>
  <si>
    <t>Nhị Thiên Đường - Triều Xuống</t>
  </si>
  <si>
    <t>Nhị Thiên Đường - Triều Xuống (QC - Mẫu lặp hiện trường)</t>
  </si>
  <si>
    <t>Nhị Thiên Đường - Triều Xuống (QC - Mẫu trắng hiện trường)</t>
  </si>
  <si>
    <t>Nhị Thiên Đường - Triều Xuống (QC - Mẫu trắng vận chuyển)</t>
  </si>
  <si>
    <t>Nhị Thiên Đường - Triều Xuống (QC - Mẫu trắng thiết bị)</t>
  </si>
  <si>
    <t>HCM_NM_HB</t>
  </si>
  <si>
    <t>HCM_NM_HB_L</t>
  </si>
  <si>
    <t>Khu vực cống xả Hòa Bình, phía sau Công viên Văn hóa Đầm Sen, đoạn đường Nguyễn Trọng Quyền</t>
  </si>
  <si>
    <t>Hòa Bình - HCM_NM_HB - Triều Lên</t>
  </si>
  <si>
    <t>Hòa Bình - Triều Lên</t>
  </si>
  <si>
    <t>Hòa Bình - Triều Lên (QC - Mẫu lặp hiện trường)</t>
  </si>
  <si>
    <t>Hòa Bình - Triều Lên (QC - Mẫu trắng hiện trường)</t>
  </si>
  <si>
    <t>Hòa Bình - Triều Lên (QC - Mẫu trắng vận chuyển)</t>
  </si>
  <si>
    <t>Hòa Bình - Triều Lên (QC - Mẫu trắng thiết bị)</t>
  </si>
  <si>
    <t>HCM_NM_OB</t>
  </si>
  <si>
    <t>HCM_NM_OB_L</t>
  </si>
  <si>
    <t>Khu vực cầu Ông Buông, Phường Bình Tây</t>
  </si>
  <si>
    <t>Ông Buông - HCM_NM_OB - Triều Lên</t>
  </si>
  <si>
    <t>Ông Buông - Triều Lên</t>
  </si>
  <si>
    <t>Ông Buông - Triều Lên (QC - Mẫu lặp hiện trường)</t>
  </si>
  <si>
    <t>Ông Buông - Triều Lên (QC - Mẫu trắng hiện trường)</t>
  </si>
  <si>
    <t>Ông Buông - Triều Lên (QC - Mẫu trắng vận chuyển)</t>
  </si>
  <si>
    <t>Ông Buông - Triều Lên (QC - Mẫu trắng thiết bị)</t>
  </si>
  <si>
    <t>HCM_NM_RN</t>
  </si>
  <si>
    <t>HCM_NM_RN_L</t>
  </si>
  <si>
    <t>Khu vực cầu Phú Định, đoạn hợp lưu rạch Ruột Ngựa – kênh Lò Gốm</t>
  </si>
  <si>
    <t>Rạch Ngựa - HCM_NM_RN - Triều Lên</t>
  </si>
  <si>
    <t>Rạch Ngựa - Triều Lên</t>
  </si>
  <si>
    <t>Rạch Ngựa - Triều Lên (QC - Mẫu lặp hiện trường)</t>
  </si>
  <si>
    <t>Rạch Ngựa - Triều Lên (QC - Mẫu trắng hiện trường)</t>
  </si>
  <si>
    <t>Rạch Ngựa - Triều Lên (QC - Mẫu trắng vận chuyển)</t>
  </si>
  <si>
    <t>Rạch Ngựa - Triều Lên (QC - Mẫu trắng thiết bị)</t>
  </si>
  <si>
    <t>HCM_NM_PĐ</t>
  </si>
  <si>
    <t>HCM_NM_PĐ_L</t>
  </si>
  <si>
    <t>Khu vực gần Bến đò Hội Đồng, khúc giao giữa đường Lưu Hữu Phước và đường Cầu Bến Tranh</t>
  </si>
  <si>
    <t>Phú Định - HCM_NM_PĐ - Triều Lên</t>
  </si>
  <si>
    <t>Phú Định - Triều Lên</t>
  </si>
  <si>
    <t>Phú Định - Triều Lên (QC - Mẫu lặp hiện trường)</t>
  </si>
  <si>
    <t>Phú Định - Triều Lên (QC - Mẫu trắng hiện trường)</t>
  </si>
  <si>
    <t>Phú Định - Triều Lên (QC - Mẫu trắng vận chuyển)</t>
  </si>
  <si>
    <t>Phú Định - Triều Lên (QC - Mẫu trắng thiết bị)</t>
  </si>
  <si>
    <t>HCM_NM_HNL</t>
  </si>
  <si>
    <t>HCM_NM_HNL_L</t>
  </si>
  <si>
    <t>Tại bến phà Phú Định</t>
  </si>
  <si>
    <t>Hồ Ngọc Lãm - HCM_NM_HNL - Triều Lên</t>
  </si>
  <si>
    <t>Hồ Ngọc Lãm - Triều Lên</t>
  </si>
  <si>
    <t>Hồ Ngọc Lãm - Triều Lên (QC - Mẫu lặp hiện trường)</t>
  </si>
  <si>
    <t>Hồ Ngọc Lãm - Triều Lên (QC - Mẫu trắng hiện trường)</t>
  </si>
  <si>
    <t>Hồ Ngọc Lãm - Triều Lên (QC - Mẫu trắng vận chuyển)</t>
  </si>
  <si>
    <t>Hồ Ngọc Lãm - Triều Lên (QC - Mẫu trắng thiết bị)</t>
  </si>
  <si>
    <t>HCM_NM_BĐ</t>
  </si>
  <si>
    <t>HCM_NM_BĐ_L</t>
  </si>
  <si>
    <t>Cầu Bình Điền, QL 1A</t>
  </si>
  <si>
    <t>Bình Ðiền - HCM_NM_BĐ - Triều Lên</t>
  </si>
  <si>
    <t>Bình Ðiền - Triều Lên</t>
  </si>
  <si>
    <t>Bình Ðiền - Triều Lên (QC - Mẫu lặp hiện trường)</t>
  </si>
  <si>
    <t>Bình Ðiền - Triều Lên (QC - Mẫu trắng hiện trường)</t>
  </si>
  <si>
    <t>Bình Ðiền - Triều Lên (QC - Mẫu trắng vận chuyển)</t>
  </si>
  <si>
    <t>Bình Ðiền - Triều Lên (QC - Mẫu trắng thiết bị)</t>
  </si>
  <si>
    <t>HCM_NM_CĐe</t>
  </si>
  <si>
    <t>HCM_NM_CĐe_L</t>
  </si>
  <si>
    <t>Tại khu vực cầu Chợ Đệm</t>
  </si>
  <si>
    <t>Chợ Đệm - HCM_NM_CĐe - Triều Lên</t>
  </si>
  <si>
    <t>Chợ Đệm - Triều Lên</t>
  </si>
  <si>
    <t>Chợ Đệm - Triều Lên (QC - Mẫu lặp hiện trường)</t>
  </si>
  <si>
    <t>Chợ Đệm - Triều Lên (QC - Mẫu trắng hiện trường)</t>
  </si>
  <si>
    <t>Chợ Đệm - Triều Lên (QC - Mẫu trắng vận chuyển)</t>
  </si>
  <si>
    <t>Chợ Đệm - Triều Lên (QC - Mẫu trắng thiết bị)</t>
  </si>
  <si>
    <t>HCM_NM_HB_X</t>
  </si>
  <si>
    <t>Hòa Bình - HCM_NM_HB - Triều Xuống</t>
  </si>
  <si>
    <t>Hòa Bình - Triều Xuống</t>
  </si>
  <si>
    <t>Hòa Bình - Triều Xuống (QC - Mẫu lặp hiện trường)</t>
  </si>
  <si>
    <t>Hòa Bình - Triều Xuống (QC - Mẫu trắng hiện trường)</t>
  </si>
  <si>
    <t>Hòa Bình - Triều Xuống (QC - Mẫu trắng vận chuyển)</t>
  </si>
  <si>
    <t>Hòa Bình - Triều Xuống (QC - Mẫu trắng thiết bị)</t>
  </si>
  <si>
    <t>HCM_NM_OB_X</t>
  </si>
  <si>
    <t>Ông Buông - HCM_NM_OB - Triều Xuống</t>
  </si>
  <si>
    <t>Ông Buông - Triều Xuống</t>
  </si>
  <si>
    <t>Ông Buông - Triều Xuống (QC - Mẫu lặp hiện trường)</t>
  </si>
  <si>
    <t>Ông Buông - Triều Xuống (QC - Mẫu trắng hiện trường)</t>
  </si>
  <si>
    <t>Ông Buông - Triều Xuống (QC - Mẫu trắng vận chuyển)</t>
  </si>
  <si>
    <t>Ông Buông - Triều Xuống (QC - Mẫu trắng thiết bị)</t>
  </si>
  <si>
    <t>HCM_NM_RN_X</t>
  </si>
  <si>
    <t>Rạch Ngựa - HCM_NM_RN - Triều Xuống</t>
  </si>
  <si>
    <t>Rạch Ngựa - Triều Xuống</t>
  </si>
  <si>
    <t>Rạch Ngựa - Triều Xuống (QC - Mẫu lặp hiện trường)</t>
  </si>
  <si>
    <t>Rạch Ngựa - Triều Xuống (QC - Mẫu trắng hiện trường)</t>
  </si>
  <si>
    <t>Rạch Ngựa - Triều Xuống (QC - Mẫu trắng vận chuyển)</t>
  </si>
  <si>
    <t>Rạch Ngựa - Triều Xuống (QC - Mẫu trắng thiết bị)</t>
  </si>
  <si>
    <t>HCM_NM_PĐ_X</t>
  </si>
  <si>
    <t>Phú Định - HCM_NM_PĐ - Triều Xuống</t>
  </si>
  <si>
    <t>Phú Định - Triều Xuống</t>
  </si>
  <si>
    <t>Phú Định - Triều Xuống (QC - Mẫu lặp hiện trường)</t>
  </si>
  <si>
    <t>Phú Định - Triều Xuống (QC - Mẫu trắng hiện trường)</t>
  </si>
  <si>
    <t>Phú Định - Triều Xuống (QC - Mẫu trắng vận chuyển)</t>
  </si>
  <si>
    <t>Phú Định - Triều Xuống (QC - Mẫu trắng thiết bị)</t>
  </si>
  <si>
    <t>HCM_NM_HNL_X</t>
  </si>
  <si>
    <t>Hồ Ngọc Lãm - HCM_NM_HNL - Triều Xuống</t>
  </si>
  <si>
    <t>Hồ Ngọc Lãm - Triều Xuống</t>
  </si>
  <si>
    <t>Hồ Ngọc Lãm - Triều Xuống (QC - Mẫu lặp hiện trường)</t>
  </si>
  <si>
    <t>Hồ Ngọc Lãm - Triều Xuống (QC - Mẫu trắng hiện trường)</t>
  </si>
  <si>
    <t>Hồ Ngọc Lãm - Triều Xuống (QC - Mẫu trắng vận chuyển)</t>
  </si>
  <si>
    <t>Hồ Ngọc Lãm - Triều Xuống (QC - Mẫu trắng thiết bị)</t>
  </si>
  <si>
    <t>HCM_NM_BĐ_X</t>
  </si>
  <si>
    <t>Bình Ðiền - HCM_NM_BĐ - Triều Xuống</t>
  </si>
  <si>
    <t>Bình Ðiền - Triều Xuống</t>
  </si>
  <si>
    <t>Bình Ðiền - Triều Xuống (QC - Mẫu lặp hiện trường)</t>
  </si>
  <si>
    <t>Bình Ðiền - Triều Xuống (QC - Mẫu trắng hiện trường)</t>
  </si>
  <si>
    <t>Bình Ðiền - Triều Xuống (QC - Mẫu trắng vận chuyển)</t>
  </si>
  <si>
    <t>Bình Ðiền - Triều Xuống (QC - Mẫu trắng thiết bị)</t>
  </si>
  <si>
    <t>HCM_NM_CĐe_X</t>
  </si>
  <si>
    <t>Chợ Đệm - HCM_NM_CĐe - Triều Xuống</t>
  </si>
  <si>
    <t>Chợ Đệm - Triều Xuống</t>
  </si>
  <si>
    <t>Chợ Đệm - Triều Xuống (QC - Mẫu lặp hiện trường)</t>
  </si>
  <si>
    <t>Chợ Đệm - Triều Xuống (QC - Mẫu trắng hiện trường)</t>
  </si>
  <si>
    <t>Chợ Đệm - Triều Xuống (QC - Mẫu trắng vận chuyển)</t>
  </si>
  <si>
    <t>Chợ Đệm - Triều Xuống (QC - Mẫu trắng thiết bị)</t>
  </si>
  <si>
    <t>HCM_NM_CRN</t>
  </si>
  <si>
    <t>HCM_NM_CRN_L</t>
  </si>
  <si>
    <t>Trên đường Nguyễn Văn Linh cách Quốc lộ 50 khoảng 280 m theo hướng Đông Bắc</t>
  </si>
  <si>
    <t>Cầu Rạch Ngang - HCM_NM_CRN - Triều Lên</t>
  </si>
  <si>
    <t>Cầu Rạch Ngang - Triều Lên</t>
  </si>
  <si>
    <t>Cầu Rạch Ngang - Triều Lên (QC - Mẫu lặp hiện trường)</t>
  </si>
  <si>
    <t>Cầu Rạch Ngang - Triều Lên (QC - Mẫu trắng hiện trường)</t>
  </si>
  <si>
    <t>Cầu Rạch Ngang - Triều Lên (QC - Mẫu trắng vận chuyển)</t>
  </si>
  <si>
    <t>Cầu Rạch Ngang - Triều Lên (QC - Mẫu trắng thiết bị)</t>
  </si>
  <si>
    <t>HCM_NM_XC</t>
  </si>
  <si>
    <t>HCM_NM_XC_L</t>
  </si>
  <si>
    <t>Trên cầu Xóm Củi giao giữa đường Nguyễn Văn Linh và rạch Hiệp An</t>
  </si>
  <si>
    <t>Xóm Củi - HCM_NM_XC - Triều Lên</t>
  </si>
  <si>
    <t>Xóm Củi - Triều Lên</t>
  </si>
  <si>
    <t>Xóm Củi - Triều Lên (QC - Mẫu lặp hiện trường)</t>
  </si>
  <si>
    <t>Xóm Củi - Triều Lên (QC - Mẫu trắng hiện trường)</t>
  </si>
  <si>
    <t>Xóm Củi - Triều Lên (QC - Mẫu trắng vận chuyển)</t>
  </si>
  <si>
    <t>Xóm Củi - Triều Lên (QC - Mẫu trắng thiết bị)</t>
  </si>
  <si>
    <t>HCM_NM_OL</t>
  </si>
  <si>
    <t>HCM_NM_OL_L</t>
  </si>
  <si>
    <t>Khu vực cầu Ông Lớn trên đường Nguyễn Văn Linh</t>
  </si>
  <si>
    <t>Ông Lớn - HCM_NM_OL - Triều Lên</t>
  </si>
  <si>
    <t>Ông Lớn - Triều Lên</t>
  </si>
  <si>
    <t>Ông Lớn - Triều Lên (QC - Mẫu lặp hiện trường)</t>
  </si>
  <si>
    <t>Ông Lớn - Triều Lên (QC - Mẫu trắng hiện trường)</t>
  </si>
  <si>
    <t>Ông Lớn - Triều Lên (QC - Mẫu trắng vận chuyển)</t>
  </si>
  <si>
    <t>Ông Lớn - Triều Lên (QC - Mẫu trắng thiết bị)</t>
  </si>
  <si>
    <t>HCM_NM_CG</t>
  </si>
  <si>
    <t>HCM_NM_CG_L</t>
  </si>
  <si>
    <t>Tại khu vực cầu Cần Giuộc</t>
  </si>
  <si>
    <t>Cần Giuộc - HCM_NM_CG - Triều Lên</t>
  </si>
  <si>
    <t>Cần Giuộc - Triều Lên</t>
  </si>
  <si>
    <t>Cần Giuộc - Triều Lên (QC - Mẫu lặp hiện trường)</t>
  </si>
  <si>
    <t>Cần Giuộc - Triều Lên (QC - Mẫu trắng hiện trường)</t>
  </si>
  <si>
    <t>Cần Giuộc - Triều Lên (QC - Mẫu trắng vận chuyển)</t>
  </si>
  <si>
    <t>Cần Giuộc - Triều Lên (QC - Mẫu trắng thiết bị)</t>
  </si>
  <si>
    <t>HCM_NM_BLa</t>
  </si>
  <si>
    <t>HCM_NM_BLa_L</t>
  </si>
  <si>
    <t>Tại khu vực cầu Bà Lào</t>
  </si>
  <si>
    <t>Bà Lào - HCM_NM_BLa - Triều Lên</t>
  </si>
  <si>
    <t>Bà Lào - Triều Lên</t>
  </si>
  <si>
    <t>Bà Lào - Triều Lên (QC - Mẫu lặp hiện trường)</t>
  </si>
  <si>
    <t>Bà Lào - Triều Lên (QC - Mẫu trắng hiện trường)</t>
  </si>
  <si>
    <t>Bà Lào - Triều Lên (QC - Mẫu trắng vận chuyển)</t>
  </si>
  <si>
    <t>Bà Lào - Triều Lên (QC - Mẫu trắng thiết bị)</t>
  </si>
  <si>
    <t>HCM_NM_LHTK</t>
  </si>
  <si>
    <t>HCM_NM_LHTK_L</t>
  </si>
  <si>
    <t>Tại bến phà Long Hậu – Tân Kim</t>
  </si>
  <si>
    <t>Long Hậu Tân Kim - HCM_NM_LHTK - Triều Lên</t>
  </si>
  <si>
    <t>Long Hậu Tân Kim - Triều Lên</t>
  </si>
  <si>
    <t>Long Hậu Tân Kim - Triều Lên (QC - Mẫu lặp hiện trường)</t>
  </si>
  <si>
    <t>Long Hậu Tân Kim - Triều Lên (QC - Mẫu trắng hiện trường)</t>
  </si>
  <si>
    <t>Long Hậu Tân Kim - Triều Lên (QC - Mẫu trắng vận chuyển)</t>
  </si>
  <si>
    <t>Long Hậu Tân Kim - Triều Lên (QC - Mẫu trắng thiết bị)</t>
  </si>
  <si>
    <t>HCM_NM_HPh</t>
  </si>
  <si>
    <t>HCM_NM_HPh_L</t>
  </si>
  <si>
    <t>Khu vực gần cầu Đồng Điền</t>
  </si>
  <si>
    <t>Hiệp Phước - HCM_NM_HPh - Triều Lên</t>
  </si>
  <si>
    <t>Hiệp Phước - Triều Lên</t>
  </si>
  <si>
    <t>Hiệp Phước - Triều Lên (QC - Mẫu lặp hiện trường)</t>
  </si>
  <si>
    <t>Hiệp Phước - Triều Lên (QC - Mẫu trắng hiện trường)</t>
  </si>
  <si>
    <t>Hiệp Phước - Triều Lên (QC - Mẫu trắng vận chuyển)</t>
  </si>
  <si>
    <t>Hiệp Phước - Triều Lên (QC - Mẫu trắng thiết bị)</t>
  </si>
  <si>
    <t>HCM_NM_CRN_X</t>
  </si>
  <si>
    <t>Cầu Rạch Ngang - HCM_NM_CRN - Triều Xuống</t>
  </si>
  <si>
    <t>Cầu Rạch Ngang - Triều Xuống</t>
  </si>
  <si>
    <t>Cầu Rạch Ngang - Triều Xuống (QC - Mẫu lặp hiện trường)</t>
  </si>
  <si>
    <t>Cầu Rạch Ngang - Triều Xuống (QC - Mẫu trắng hiện trường)</t>
  </si>
  <si>
    <t>Cầu Rạch Ngang - Triều Xuống (QC - Mẫu trắng vận chuyển)</t>
  </si>
  <si>
    <t>Cầu Rạch Ngang - Triều Xuống (QC - Mẫu trắng thiết bị)</t>
  </si>
  <si>
    <t>HCM_NM_XC_X</t>
  </si>
  <si>
    <t>Xóm Củi - HCM_NM_XC - Triều Xuống</t>
  </si>
  <si>
    <t>Xóm Củi - Triều Xuống</t>
  </si>
  <si>
    <t>Xóm Củi - Triều Xuống (QC - Mẫu lặp hiện trường)</t>
  </si>
  <si>
    <t>Xóm Củi - Triều Xuống (QC - Mẫu trắng hiện trường)</t>
  </si>
  <si>
    <t>Xóm Củi - Triều Xuống (QC - Mẫu trắng vận chuyển)</t>
  </si>
  <si>
    <t>Xóm Củi - Triều Xuống (QC - Mẫu trắng thiết bị)</t>
  </si>
  <si>
    <t>HCM_NM_OL_X</t>
  </si>
  <si>
    <t>Ông Lớn - HCM_NM_OL - Triều Xuống</t>
  </si>
  <si>
    <t>Ông Lớn - Triều Xuống</t>
  </si>
  <si>
    <t>Ông Lớn - Triều Xuống (QC - Mẫu lặp hiện trường)</t>
  </si>
  <si>
    <t>Ông Lớn - Triều Xuống (QC - Mẫu trắng hiện trường)</t>
  </si>
  <si>
    <t>Ông Lớn - Triều Xuống (QC - Mẫu trắng vận chuyển)</t>
  </si>
  <si>
    <t>Ông Lớn - Triều Xuống (QC - Mẫu trắng thiết bị)</t>
  </si>
  <si>
    <t>HCM_NM_CG_X</t>
  </si>
  <si>
    <t>Cần Giuộc - HCM_NM_CG - Triều Xuống</t>
  </si>
  <si>
    <t>Cần Giuộc - Triều Xuống</t>
  </si>
  <si>
    <t>Cần Giuộc - Triều Xuống (QC - Mẫu lặp hiện trường)</t>
  </si>
  <si>
    <t>Cần Giuộc - Triều Xuống (QC - Mẫu trắng hiện trường)</t>
  </si>
  <si>
    <t>Cần Giuộc - Triều Xuống (QC - Mẫu trắng vận chuyển)</t>
  </si>
  <si>
    <t>Cần Giuộc - Triều Xuống (QC - Mẫu trắng thiết bị)</t>
  </si>
  <si>
    <t>HCM_NM_BLa_X</t>
  </si>
  <si>
    <t>Bà Lào - HCM_NM_BLa - Triều Xuống</t>
  </si>
  <si>
    <t>Bà Lào - Triều Xuống</t>
  </si>
  <si>
    <t>Bà Lào - Triều Xuống (QC - Mẫu lặp hiện trường)</t>
  </si>
  <si>
    <t>Bà Lào - Triều Xuống (QC - Mẫu trắng hiện trường)</t>
  </si>
  <si>
    <t>Bà Lào - Triều Xuống (QC - Mẫu trắng vận chuyển)</t>
  </si>
  <si>
    <t>Bà Lào - Triều Xuống (QC - Mẫu trắng thiết bị)</t>
  </si>
  <si>
    <t>HCM_NM_LHTK_X</t>
  </si>
  <si>
    <t>Long Hậu Tân Kim - HCM_NM_LHTK - Triều Xuống</t>
  </si>
  <si>
    <t>Long Hậu Tân Kim - Triều Xuống</t>
  </si>
  <si>
    <t>Long Hậu Tân Kim - Triều Xuống (QC - Mẫu lặp hiện trường)</t>
  </si>
  <si>
    <t>Long Hậu Tân Kim - Triều Xuống (QC - Mẫu trắng hiện trường)</t>
  </si>
  <si>
    <t>Long Hậu Tân Kim - Triều Xuống (QC - Mẫu trắng vận chuyển)</t>
  </si>
  <si>
    <t>Long Hậu Tân Kim - Triều Xuống (QC - Mẫu trắng thiết bị)</t>
  </si>
  <si>
    <t>HCM_NM_HPh_X</t>
  </si>
  <si>
    <t>Hiệp Phước - HCM_NM_HPh - Triều Xuống</t>
  </si>
  <si>
    <t>Hiệp Phước - Triều Xuống</t>
  </si>
  <si>
    <t>Hiệp Phước - Triều Xuống (QC - Mẫu lặp hiện trường)</t>
  </si>
  <si>
    <t>Hiệp Phước - Triều Xuống (QC - Mẫu trắng hiện trường)</t>
  </si>
  <si>
    <t>Hiệp Phước - Triều Xuống (QC - Mẫu trắng vận chuyển)</t>
  </si>
  <si>
    <t>Hiệp Phước - Triều Xuống (QC - Mẫu trắng thiết bị)</t>
  </si>
  <si>
    <t>HCM_NM_VT</t>
  </si>
  <si>
    <t>HCM_NM_VT_L</t>
  </si>
  <si>
    <t>Đoạn sông Vàm Thuật đi qua Khu dân cư Bình Lợi, khu vực cuối Đường Trục, phường Bình Lợi Trung</t>
  </si>
  <si>
    <t>Cống Vàm Thuật - HCM_NM_VT - Triều Lên</t>
  </si>
  <si>
    <t>Cống Vàm Thuật - Triều Lên</t>
  </si>
  <si>
    <t>Cống Vàm Thuật - Triều Lên (QC - Mẫu lặp hiện trường)</t>
  </si>
  <si>
    <t>Cống Vàm Thuật - Triều Lên (QC - Mẫu trắng hiện trường)</t>
  </si>
  <si>
    <t>Cống Vàm Thuật - Triều Lên (QC - Mẫu trắng vận chuyển)</t>
  </si>
  <si>
    <t>Cống Vàm Thuật - Triều Lên (QC - Mẫu trắng thiết bị)</t>
  </si>
  <si>
    <t>HCM_NM_AL</t>
  </si>
  <si>
    <t>HCM_NM_AL_L</t>
  </si>
  <si>
    <t>Khu vực cầu An Lộc, nối đường Hà Huy Giáp và đường Nguyễn Oanh</t>
  </si>
  <si>
    <t>An Lộc - HCM_NM_AL - Triều Lên</t>
  </si>
  <si>
    <t>An Lộc - Triều Lên</t>
  </si>
  <si>
    <t>An Lộc - Triều Lên (QC - Mẫu lặp hiện trường)</t>
  </si>
  <si>
    <t>An Lộc - Triều Lên (QC - Mẫu trắng hiện trường)</t>
  </si>
  <si>
    <t>An Lộc - Triều Lên (QC - Mẫu trắng vận chuyển)</t>
  </si>
  <si>
    <t>An Lộc - Triều Lên (QC - Mẫu trắng thiết bị)</t>
  </si>
  <si>
    <t>HCM_NM_BCa</t>
  </si>
  <si>
    <t>HCM_NM_BCa_L</t>
  </si>
  <si>
    <t>Khu vực cầu Bến Cát nằm trên Quốc lộ 1A</t>
  </si>
  <si>
    <t>Bến Cát - HCM_NM_BCa - Triều Lên</t>
  </si>
  <si>
    <t>Bến Cát - Triều Lên</t>
  </si>
  <si>
    <t>Bến Cát - Triều Lên (QC - Mẫu lặp hiện trường)</t>
  </si>
  <si>
    <t>Bến Cát - Triều Lên (QC - Mẫu trắng hiện trường)</t>
  </si>
  <si>
    <t>Bến Cát - Triều Lên (QC - Mẫu trắng vận chuyển)</t>
  </si>
  <si>
    <t>Bến Cát - Triều Lên (QC - Mẫu trắng thiết bị)</t>
  </si>
  <si>
    <t>HCM_NM_TĐ</t>
  </si>
  <si>
    <t>HCM_NM_TĐ_L</t>
  </si>
  <si>
    <t>Tại khu vực cầu Trường Đai</t>
  </si>
  <si>
    <t>Trường Đai - HCM_NM_TĐ - Triều Lên</t>
  </si>
  <si>
    <t>Trường Đai - Triều Lên</t>
  </si>
  <si>
    <t>Trường Đai - Triều Lên (QC - Mẫu lặp hiện trường)</t>
  </si>
  <si>
    <t>Trường Đai - Triều Lên (QC - Mẫu trắng hiện trường)</t>
  </si>
  <si>
    <t>Trường Đai - Triều Lên (QC - Mẫu trắng vận chuyển)</t>
  </si>
  <si>
    <t>Trường Đai - Triều Lên (QC - Mẫu trắng thiết bị)</t>
  </si>
  <si>
    <t>HCM_NM_CC</t>
  </si>
  <si>
    <t>HCM_NM_CC_L</t>
  </si>
  <si>
    <t>Tại khu vực cầu Chợ Cầu</t>
  </si>
  <si>
    <t>Chợ Cầu - HCM_NM_CC - Triều Lên</t>
  </si>
  <si>
    <t>Chợ Cầu - Triều Lên</t>
  </si>
  <si>
    <t>Chợ Cầu - Triều Lên (QC - Mẫu lặp hiện trường)</t>
  </si>
  <si>
    <t>Chợ Cầu - Triều Lên (QC - Mẫu trắng hiện trường)</t>
  </si>
  <si>
    <t>Chợ Cầu - Triều Lên (QC - Mẫu trắng vận chuyển)</t>
  </si>
  <si>
    <t>Chợ Cầu - Triều Lên (QC - Mẫu trắng thiết bị)</t>
  </si>
  <si>
    <t>HCM_NM_TL</t>
  </si>
  <si>
    <t>HCM_NM_TL_L</t>
  </si>
  <si>
    <t>Khu vực cầu Tham Lương trên đường Trường Chinh</t>
  </si>
  <si>
    <t>Tham Lương - HCM_NM_TL - Triều Lên</t>
  </si>
  <si>
    <t>Tham Lương - Triều Lên</t>
  </si>
  <si>
    <t>Tham Lương - Triều Lên (QC - Mẫu lặp hiện trường)</t>
  </si>
  <si>
    <t>Tham Lương - Triều Lên (QC - Mẫu trắng hiện trường)</t>
  </si>
  <si>
    <t>Tham Lương - Triều Lên (QC - Mẫu trắng vận chuyển)</t>
  </si>
  <si>
    <t>Tham Lương - Triều Lên (QC - Mẫu trắng thiết bị)</t>
  </si>
  <si>
    <t>HCM_NM_CB</t>
  </si>
  <si>
    <t>HCM_NM_CB_L</t>
  </si>
  <si>
    <t>Cách cầu Bưng 760m về phía Đông Bắc</t>
  </si>
  <si>
    <t>Cầu Bưng - HCM_NM_CB - Triều Lên</t>
  </si>
  <si>
    <t>Cầu Bưng - Triều Lên</t>
  </si>
  <si>
    <t>Cầu Bưng - Triều Lên (QC - Mẫu lặp hiện trường)</t>
  </si>
  <si>
    <t>Cầu Bưng - Triều Lên (QC - Mẫu trắng hiện trường)</t>
  </si>
  <si>
    <t>Cầu Bưng - Triều Lên (QC - Mẫu trắng vận chuyển)</t>
  </si>
  <si>
    <t>Cầu Bưng - Triều Lên (QC - Mẫu trắng thiết bị)</t>
  </si>
  <si>
    <t>HCM_NM_CN1</t>
  </si>
  <si>
    <t>HCM_NM_CN1_L</t>
  </si>
  <si>
    <t>Khu vực giao cầu của đường CN1 và kênh 19/5</t>
  </si>
  <si>
    <t>CN1 - HCM_NM_CN1 - Triều Lên</t>
  </si>
  <si>
    <t>CN1 - Triều Lên</t>
  </si>
  <si>
    <t>CN1 - Triều Lên (QC - Mẫu lặp hiện trường)</t>
  </si>
  <si>
    <t>CN1 - Triều Lên (QC - Mẫu trắng hiện trường)</t>
  </si>
  <si>
    <t>CN1 - Triều Lên (QC - Mẫu trắng vận chuyển)</t>
  </si>
  <si>
    <t>CN1 - Triều Lên (QC - Mẫu trắng thiết bị)</t>
  </si>
  <si>
    <t>HCM_NM_VT_X</t>
  </si>
  <si>
    <t>Cống Vàm Thuật - HCM_NM_VT - Triều Xuống</t>
  </si>
  <si>
    <t>Cống Vàm Thuật - Triều Xuống</t>
  </si>
  <si>
    <t>Cống Vàm Thuật - Triều Xuống (QC - Mẫu lặp hiện trường)</t>
  </si>
  <si>
    <t>Cống Vàm Thuật - Triều Xuống (QC - Mẫu trắng hiện trường)</t>
  </si>
  <si>
    <t>Cống Vàm Thuật - Triều Xuống (QC - Mẫu trắng vận chuyển)</t>
  </si>
  <si>
    <t>Cống Vàm Thuật - Triều Xuống (QC - Mẫu trắng thiết bị)</t>
  </si>
  <si>
    <t>HCM_NM_AL_X</t>
  </si>
  <si>
    <t>An Lộc - HCM_NM_AL - Triều Xuống</t>
  </si>
  <si>
    <t>An Lộc - Triều Xuống</t>
  </si>
  <si>
    <t>An Lộc - Triều Xuống (QC - Mẫu lặp hiện trường)</t>
  </si>
  <si>
    <t>An Lộc - Triều Xuống (QC - Mẫu trắng hiện trường)</t>
  </si>
  <si>
    <t>An Lộc - Triều Xuống (QC - Mẫu trắng vận chuyển)</t>
  </si>
  <si>
    <t>An Lộc - Triều Xuống (QC - Mẫu trắng thiết bị)</t>
  </si>
  <si>
    <t>HCM_NM_BCa_X</t>
  </si>
  <si>
    <t>Bến Cát - HCM_NM_BCa - Triều Xuống</t>
  </si>
  <si>
    <t>Bến Cát - Triều Xuống</t>
  </si>
  <si>
    <t>Bến Cát - Triều Xuống (QC - Mẫu lặp hiện trường)</t>
  </si>
  <si>
    <t>Bến Cát - Triều Xuống (QC - Mẫu trắng hiện trường)</t>
  </si>
  <si>
    <t>Bến Cát - Triều Xuống (QC - Mẫu trắng vận chuyển)</t>
  </si>
  <si>
    <t>Bến Cát - Triều Xuống (QC - Mẫu trắng thiết bị)</t>
  </si>
  <si>
    <t>HCM_NM_TĐ_X</t>
  </si>
  <si>
    <t>Trường Đai - HCM_NM_TĐ - Triều Xuống</t>
  </si>
  <si>
    <t>Trường Đai - Triều Xuống</t>
  </si>
  <si>
    <t>Trường Đai - Triều Xuống (QC - Mẫu lặp hiện trường)</t>
  </si>
  <si>
    <t>Trường Đai - Triều Xuống (QC - Mẫu trắng hiện trường)</t>
  </si>
  <si>
    <t>Trường Đai - Triều Xuống (QC - Mẫu trắng vận chuyển)</t>
  </si>
  <si>
    <t>Trường Đai - Triều Xuống (QC - Mẫu trắng thiết bị)</t>
  </si>
  <si>
    <t>HCM_NM_CC_X</t>
  </si>
  <si>
    <t>Chợ Cầu - HCM_NM_CC - Triều Xuống</t>
  </si>
  <si>
    <t>Chợ Cầu - Triều Xuống</t>
  </si>
  <si>
    <t>Chợ Cầu - Triều Xuống (QC - Mẫu lặp hiện trường)</t>
  </si>
  <si>
    <t>Chợ Cầu - Triều Xuống (QC - Mẫu trắng hiện trường)</t>
  </si>
  <si>
    <t>Chợ Cầu - Triều Xuống (QC - Mẫu trắng vận chuyển)</t>
  </si>
  <si>
    <t>Chợ Cầu - Triều Xuống (QC - Mẫu trắng thiết bị)</t>
  </si>
  <si>
    <t>HCM_NM_TL_X</t>
  </si>
  <si>
    <t>Tham Lương - HCM_NM_TL - Triều Xuống</t>
  </si>
  <si>
    <t>Tham Lương - Triều Xuống</t>
  </si>
  <si>
    <t>Tham Lương - Triều Xuống (QC - Mẫu lặp hiện trường)</t>
  </si>
  <si>
    <t>Tham Lương - Triều Xuống (QC - Mẫu trắng hiện trường)</t>
  </si>
  <si>
    <t>Tham Lương - Triều Xuống (QC - Mẫu trắng vận chuyển)</t>
  </si>
  <si>
    <t>Tham Lương - Triều Xuống (QC - Mẫu trắng thiết bị)</t>
  </si>
  <si>
    <t>HCM_NM_CB_X</t>
  </si>
  <si>
    <t>Cầu Bưng - HCM_NM_CB - Triều Xuống</t>
  </si>
  <si>
    <t>Cầu Bưng - Triều Xuống</t>
  </si>
  <si>
    <t>Cầu Bưng - Triều Xuống (QC - Mẫu lặp hiện trường)</t>
  </si>
  <si>
    <t>Cầu Bưng - Triều Xuống (QC - Mẫu trắng hiện trường)</t>
  </si>
  <si>
    <t>Cầu Bưng - Triều Xuống (QC - Mẫu trắng vận chuyển)</t>
  </si>
  <si>
    <t>Cầu Bưng - Triều Xuống (QC - Mẫu trắng thiết bị)</t>
  </si>
  <si>
    <t>HCM_NM_CN1_X</t>
  </si>
  <si>
    <t>CN1 - HCM_NM_CN1 - Triều Xuống</t>
  </si>
  <si>
    <t>CN1 - Triều Xuống</t>
  </si>
  <si>
    <t>CN1 - Triều Xuống (QC - Mẫu lặp hiện trường)</t>
  </si>
  <si>
    <t>CN1 - Triều Xuống (QC - Mẫu trắng hiện trường)</t>
  </si>
  <si>
    <t>CN1 - Triều Xuống (QC - Mẫu trắng vận chuyển)</t>
  </si>
  <si>
    <t>CN1 - Triều Xuống (QC - Mẫu trắng thiết bị)</t>
  </si>
  <si>
    <t>HCM_NM_GCNM2</t>
  </si>
  <si>
    <t>HCM_NM_GCNM2_01</t>
  </si>
  <si>
    <t xml:space="preserve">Rạch nước đen – cách cống xả 500 m thượng nguồn. </t>
  </si>
  <si>
    <t>GCNM2 - HCM_NM_GCNM2 - 01</t>
  </si>
  <si>
    <t>GCNM2 - 01</t>
  </si>
  <si>
    <t>GCNM2 - 01 (QC - Mẫu lặp hiện trường)</t>
  </si>
  <si>
    <t>GCNM2 - 01 (QC - Mẫu trắng hiện trường)</t>
  </si>
  <si>
    <t>GCNM2 - 01 (QC - Mẫu trắng vận chuyển)</t>
  </si>
  <si>
    <t>GCNM2 - 01 (QC - Mẫu trắng thiết bị)</t>
  </si>
  <si>
    <t>HCM_NM_GCNM3</t>
  </si>
  <si>
    <t>HCM_NM_GCNM3_01</t>
  </si>
  <si>
    <t>Rạch nước đen – cách cống xả 500m hạ nguồn.</t>
  </si>
  <si>
    <t>GCNM3 - HCM_NM_GCNM3 - 01</t>
  </si>
  <si>
    <t>GCNM3 - 01</t>
  </si>
  <si>
    <t>GCNM3 - 01 (QC - Mẫu lặp hiện trường)</t>
  </si>
  <si>
    <t>GCNM3 - 01 (QC - Mẫu trắng hiện trường)</t>
  </si>
  <si>
    <t>GCNM3 - 01 (QC - Mẫu trắng vận chuyển)</t>
  </si>
  <si>
    <t>GCNM3 - 01 (QC - Mẫu trắng thiết bị)</t>
  </si>
  <si>
    <t>HCM_NM_BT2</t>
  </si>
  <si>
    <t>HCM_NM_BT2_L</t>
  </si>
  <si>
    <t>Khu vực cầu Bình Thuận, trên tuyến Quốc lộ 1A, Phường Bình Hưng Hòa</t>
  </si>
  <si>
    <t>Cầu Bình Thuận - HCM_NM_BT2 - Triều Lên</t>
  </si>
  <si>
    <t>Cầu Bình Thuận - Triều Lên</t>
  </si>
  <si>
    <t>Cầu Bình Thuận - Triều Lên (QC - Mẫu lặp hiện trường)</t>
  </si>
  <si>
    <t>Cầu Bình Thuận - Triều Lên (QC - Mẫu trắng hiện trường)</t>
  </si>
  <si>
    <t>Cầu Bình Thuận - Triều Lên (QC - Mẫu trắng vận chuyển)</t>
  </si>
  <si>
    <t>Cầu Bình Thuận - Triều Lên (QC - Mẫu trắng thiết bị)</t>
  </si>
  <si>
    <t>HCM_NM_NĐ</t>
  </si>
  <si>
    <t>HCM_NM_NĐ_L</t>
  </si>
  <si>
    <t>Gần khu vực đường Tân Kỳ Tân Quý giao kênh Nước Đen</t>
  </si>
  <si>
    <t>Nước Đen - HCM_NM_NĐ - Triều Lên</t>
  </si>
  <si>
    <t>Nước Đen - Triều Lên</t>
  </si>
  <si>
    <t>Nước Đen - Triều Lên (QC - Mẫu lặp hiện trường)</t>
  </si>
  <si>
    <t>Nước Đen - Triều Lên (QC - Mẫu trắng hiện trường)</t>
  </si>
  <si>
    <t>Nước Đen - Triều Lên (QC - Mẫu trắng vận chuyển)</t>
  </si>
  <si>
    <t>Nước Đen - Triều Lên (QC - Mẫu trắng thiết bị)</t>
  </si>
  <si>
    <t>HCM_NM_CSC</t>
  </si>
  <si>
    <t>HCM_NM_CSC_L</t>
  </si>
  <si>
    <t>Tại khu vực cầu Sông Chùa</t>
  </si>
  <si>
    <t>Cầu Sông Chùa - HCM_NM_CSC - Triều Lên</t>
  </si>
  <si>
    <t>Cầu Sông Chùa - Triều Lên</t>
  </si>
  <si>
    <t>Cầu Sông Chùa - Triều Lên (QC - Mẫu lặp hiện trường)</t>
  </si>
  <si>
    <t>Cầu Sông Chùa - Triều Lên (QC - Mẫu trắng hiện trường)</t>
  </si>
  <si>
    <t>Cầu Sông Chùa - Triều Lên (QC - Mẫu trắng vận chuyển)</t>
  </si>
  <si>
    <t>Cầu Sông Chùa - Triều Lên (QC - Mẫu trắng thiết bị)</t>
  </si>
  <si>
    <t>HCM_NM_CĐA</t>
  </si>
  <si>
    <t>HCM_NM_CĐA_L</t>
  </si>
  <si>
    <t>Tại khu vực cầu đường A cách đường Số 2 khoảng 140 m theo hướng Tây</t>
  </si>
  <si>
    <t>Cầu Đường A - HCM_NM_CĐA - Triều Lên</t>
  </si>
  <si>
    <t>Cầu Đường A - Triều Lên</t>
  </si>
  <si>
    <t>Cầu Đường A - Triều Lên (QC - Mẫu lặp hiện trường)</t>
  </si>
  <si>
    <t>Cầu Đường A - Triều Lên (QC - Mẫu trắng hiện trường)</t>
  </si>
  <si>
    <t>Cầu Đường A - Triều Lên (QC - Mẫu trắng vận chuyển)</t>
  </si>
  <si>
    <t>Cầu Đường A - Triều Lên (QC - Mẫu trắng thiết bị)</t>
  </si>
  <si>
    <t>HCM_NM_TrT</t>
  </si>
  <si>
    <t>HCM_NM_TrT_L</t>
  </si>
  <si>
    <t>Khu vực Cầu Đường C, đường Trung Tâm, phường Tân Tạo</t>
  </si>
  <si>
    <t>Trung Tâm - HCM_NM_TrT - Triều Lên</t>
  </si>
  <si>
    <t>Trung Tâm - Triều Lên</t>
  </si>
  <si>
    <t>Trung Tâm - Triều Lên (QC - Mẫu lặp hiện trường)</t>
  </si>
  <si>
    <t>Trung Tâm - Triều Lên (QC - Mẫu trắng hiện trường)</t>
  </si>
  <si>
    <t>Trung Tâm - Triều Lên (QC - Mẫu trắng vận chuyển)</t>
  </si>
  <si>
    <t>Trung Tâm - Triều Lên (QC - Mẫu trắng thiết bị)</t>
  </si>
  <si>
    <t>HCM_NM_NL</t>
  </si>
  <si>
    <t>HCM_NM_NL_L</t>
  </si>
  <si>
    <t>Khu vực cách cầu Nước Lên 20m về phía thượng nguồn</t>
  </si>
  <si>
    <t>Nước Lên - HCM_NM_NL - Triều Lên</t>
  </si>
  <si>
    <t>Nước Lên - Triều Lên</t>
  </si>
  <si>
    <t>Nước Lên - Triều Lên (QC - Mẫu lặp hiện trường)</t>
  </si>
  <si>
    <t>Nước Lên - Triều Lên (QC - Mẫu trắng hiện trường)</t>
  </si>
  <si>
    <t>Nước Lên - Triều Lên (QC - Mẫu trắng vận chuyển)</t>
  </si>
  <si>
    <t>Nước Lên - Triều Lên (QC - Mẫu trắng thiết bị)</t>
  </si>
  <si>
    <t>HCM_NM_LB</t>
  </si>
  <si>
    <t>HCM_NM_LB_L</t>
  </si>
  <si>
    <t>Tại khu vực cầu Lương Bèo</t>
  </si>
  <si>
    <t>Lương Bèo - HCM_NM_LB - Triều Lên</t>
  </si>
  <si>
    <t>Lương Bèo - Triều Lên</t>
  </si>
  <si>
    <t>Lương Bèo - Triều Lên (QC - Mẫu lặp hiện trường)</t>
  </si>
  <si>
    <t>Lương Bèo - Triều Lên (QC - Mẫu trắng hiện trường)</t>
  </si>
  <si>
    <t>Lương Bèo - Triều Lên (QC - Mẫu trắng vận chuyển)</t>
  </si>
  <si>
    <t>Lương Bèo - Triều Lên (QC - Mẫu trắng thiết bị)</t>
  </si>
  <si>
    <t>HCM_NM_GCNM2_02</t>
  </si>
  <si>
    <t>GCNM2 - HCM_NM_GCNM2 - 02</t>
  </si>
  <si>
    <t>GCNM2 - 02</t>
  </si>
  <si>
    <t>GCNM2 - 02 (QC - Mẫu lặp hiện trường)</t>
  </si>
  <si>
    <t>GCNM2 - 02 (QC - Mẫu trắng hiện trường)</t>
  </si>
  <si>
    <t>GCNM2 - 02 (QC - Mẫu trắng vận chuyển)</t>
  </si>
  <si>
    <t>GCNM2 - 02 (QC - Mẫu trắng thiết bị)</t>
  </si>
  <si>
    <t>HCM_NM_GCNM3_02</t>
  </si>
  <si>
    <t>GCNM3 - HCM_NM_GCNM3 - 02</t>
  </si>
  <si>
    <t>GCNM3 - 02</t>
  </si>
  <si>
    <t>GCNM3 - 02 (QC - Mẫu lặp hiện trường)</t>
  </si>
  <si>
    <t>GCNM3 - 02 (QC - Mẫu trắng hiện trường)</t>
  </si>
  <si>
    <t>GCNM3 - 02 (QC - Mẫu trắng vận chuyển)</t>
  </si>
  <si>
    <t>GCNM3 - 02 (QC - Mẫu trắng thiết bị)</t>
  </si>
  <si>
    <t>HCM_NM_BT2_X</t>
  </si>
  <si>
    <t>Cầu Bình Thuận - HCM_NM_BT2 - Triều Xuống</t>
  </si>
  <si>
    <t>Cầu Bình Thuận - Triều Xuống</t>
  </si>
  <si>
    <t>Cầu Bình Thuận - Triều Xuống (QC - Mẫu lặp hiện trường)</t>
  </si>
  <si>
    <t>Cầu Bình Thuận - Triều Xuống (QC - Mẫu trắng hiện trường)</t>
  </si>
  <si>
    <t>Cầu Bình Thuận - Triều Xuống (QC - Mẫu trắng vận chuyển)</t>
  </si>
  <si>
    <t>Cầu Bình Thuận - Triều Xuống (QC - Mẫu trắng thiết bị)</t>
  </si>
  <si>
    <t>HCM_NM_NĐ_X</t>
  </si>
  <si>
    <t>Nước Đen - HCM_NM_NĐ - Triều Xuống</t>
  </si>
  <si>
    <t>Nước Đen - Triều Xuống</t>
  </si>
  <si>
    <t>Nước Đen - Triều Xuống (QC - Mẫu lặp hiện trường)</t>
  </si>
  <si>
    <t>Nước Đen - Triều Xuống (QC - Mẫu trắng hiện trường)</t>
  </si>
  <si>
    <t>Nước Đen - Triều Xuống (QC - Mẫu trắng vận chuyển)</t>
  </si>
  <si>
    <t>Nước Đen - Triều Xuống (QC - Mẫu trắng thiết bị)</t>
  </si>
  <si>
    <t>HCM_NM_CSC_X</t>
  </si>
  <si>
    <t>Cầu Sông Chùa - HCM_NM_CSC - Triều Xuống</t>
  </si>
  <si>
    <t>Cầu Sông Chùa - Triều Xuống</t>
  </si>
  <si>
    <t>Cầu Sông Chùa - Triều Xuống (QC - Mẫu lặp hiện trường)</t>
  </si>
  <si>
    <t>Cầu Sông Chùa - Triều Xuống (QC - Mẫu trắng hiện trường)</t>
  </si>
  <si>
    <t>Cầu Sông Chùa - Triều Xuống (QC - Mẫu trắng vận chuyển)</t>
  </si>
  <si>
    <t>Cầu Sông Chùa - Triều Xuống (QC - Mẫu trắng thiết bị)</t>
  </si>
  <si>
    <t>HCM_NM_CĐA_X</t>
  </si>
  <si>
    <t>Cầu Đường A - HCM_NM_CĐA - Triều Xuống</t>
  </si>
  <si>
    <t>Cầu Đường A - Triều Xuống</t>
  </si>
  <si>
    <t>Cầu Đường A - Triều Xuống (QC - Mẫu lặp hiện trường)</t>
  </si>
  <si>
    <t>Cầu Đường A - Triều Xuống (QC - Mẫu trắng hiện trường)</t>
  </si>
  <si>
    <t>Cầu Đường A - Triều Xuống (QC - Mẫu trắng vận chuyển)</t>
  </si>
  <si>
    <t>Cầu Đường A - Triều Xuống (QC - Mẫu trắng thiết bị)</t>
  </si>
  <si>
    <t>HCM_NM_TrT_X</t>
  </si>
  <si>
    <t>Trung Tâm - HCM_NM_TrT - Triều Xuống</t>
  </si>
  <si>
    <t>Trung Tâm - Triều Xuống</t>
  </si>
  <si>
    <t>Trung Tâm - Triều Xuống (QC - Mẫu lặp hiện trường)</t>
  </si>
  <si>
    <t>Trung Tâm - Triều Xuống (QC - Mẫu trắng hiện trường)</t>
  </si>
  <si>
    <t>Trung Tâm - Triều Xuống (QC - Mẫu trắng vận chuyển)</t>
  </si>
  <si>
    <t>Trung Tâm - Triều Xuống (QC - Mẫu trắng thiết bị)</t>
  </si>
  <si>
    <t>HCM_NM_NL_X</t>
  </si>
  <si>
    <t>Nước Lên - HCM_NM_NL - Triều Xuống</t>
  </si>
  <si>
    <t>Nước Lên - Triều Xuống</t>
  </si>
  <si>
    <t>Nước Lên - Triều Xuống (QC - Mẫu lặp hiện trường)</t>
  </si>
  <si>
    <t>Nước Lên - Triều Xuống (QC - Mẫu trắng hiện trường)</t>
  </si>
  <si>
    <t>Nước Lên - Triều Xuống (QC - Mẫu trắng vận chuyển)</t>
  </si>
  <si>
    <t>Nước Lên - Triều Xuống (QC - Mẫu trắng thiết bị)</t>
  </si>
  <si>
    <t>HCM_NM_LB_X</t>
  </si>
  <si>
    <t>Lương Bèo - HCM_NM_LB - Triều Xuống</t>
  </si>
  <si>
    <t>Lương Bèo - Triều Xuống</t>
  </si>
  <si>
    <t>Lương Bèo - Triều Xuống (QC - Mẫu lặp hiện trường)</t>
  </si>
  <si>
    <t>Lương Bèo - Triều Xuống (QC - Mẫu trắng hiện trường)</t>
  </si>
  <si>
    <t>Lương Bèo - Triều Xuống (QC - Mẫu trắng vận chuyển)</t>
  </si>
  <si>
    <t>Lương Bèo - Triều Xuống (QC - Mẫu trắng thiết bị)</t>
  </si>
  <si>
    <t>HCM_NM_CBT</t>
  </si>
  <si>
    <t>HCM_NM_CBT_L</t>
  </si>
  <si>
    <t>Khu vực dọc đường Trần Hải Phụng cách cầu Bà Tri 20m</t>
  </si>
  <si>
    <t>Cầu Bà Tri - HCM_NM_CBT - Triều Lên</t>
  </si>
  <si>
    <t>Cầu Bà Tri - Triều Lên</t>
  </si>
  <si>
    <t>Cầu Bà Tri - Triều Lên (QC - Mẫu lặp hiện trường)</t>
  </si>
  <si>
    <t>Cầu Bà Tri - Triều Lên (QC - Mẫu trắng hiện trường)</t>
  </si>
  <si>
    <t>Cầu Bà Tri - Triều Lên (QC - Mẫu trắng vận chuyển)</t>
  </si>
  <si>
    <t>Cầu Bà Tri - Triều Lên (QC - Mẫu trắng thiết bị)</t>
  </si>
  <si>
    <t>HCM_NM_TTa</t>
  </si>
  <si>
    <t>HCM_NM_TTa_L</t>
  </si>
  <si>
    <t>Gần khu vực cầu Tân Tạo 2</t>
  </si>
  <si>
    <t>Tân Tạo - HCM_NM_TTa - Triều Lên</t>
  </si>
  <si>
    <t>Tân Tạo - Triều Lên</t>
  </si>
  <si>
    <t>Tân Tạo - Triều Lên (QC - Mẫu lặp hiện trường)</t>
  </si>
  <si>
    <t>Tân Tạo - Triều Lên (QC - Mẫu trắng hiện trường)</t>
  </si>
  <si>
    <t>Tân Tạo - Triều Lên (QC - Mẫu trắng vận chuyển)</t>
  </si>
  <si>
    <t>Tân Tạo - Triều Lên (QC - Mẫu trắng thiết bị)</t>
  </si>
  <si>
    <t>HCM_NM_KC</t>
  </si>
  <si>
    <t>HCM_NM_KC_L</t>
  </si>
  <si>
    <t>Cách cầu kênh C khoảng 1,1 km theo hướng Nam</t>
  </si>
  <si>
    <t>Kênh C - HCM_NM_KC - Triều Lên</t>
  </si>
  <si>
    <t>Kênh C - Triều Lên</t>
  </si>
  <si>
    <t>Kênh C - Triều Lên (QC - Mẫu lặp hiện trường)</t>
  </si>
  <si>
    <t>Kênh C - Triều Lên (QC - Mẫu trắng hiện trường)</t>
  </si>
  <si>
    <t>Kênh C - Triều Lên (QC - Mẫu trắng vận chuyển)</t>
  </si>
  <si>
    <t>Kênh C - Triều Lên (QC - Mẫu trắng thiết bị)</t>
  </si>
  <si>
    <t>HCM_NM_KC6</t>
  </si>
  <si>
    <t>HCM_NM_KC6_L</t>
  </si>
  <si>
    <t>Đối diện góc giao lộ giữa đường Số 1 và đường Số 10</t>
  </si>
  <si>
    <t>Kênh C6 - HCM_NM_KC6 - Triều Lên</t>
  </si>
  <si>
    <t>Kênh C6 - Triều Lên</t>
  </si>
  <si>
    <t>Kênh C6 - Triều Lên (QC - Mẫu lặp hiện trường)</t>
  </si>
  <si>
    <t>Kênh C6 - Triều Lên (QC - Mẫu trắng hiện trường)</t>
  </si>
  <si>
    <t>Kênh C6 - Triều Lên (QC - Mẫu trắng vận chuyển)</t>
  </si>
  <si>
    <t>Kênh C6 - Triều Lên (QC - Mẫu trắng thiết bị)</t>
  </si>
  <si>
    <t>HCM_NM_KC8</t>
  </si>
  <si>
    <t>HCM_NM_KC8_L</t>
  </si>
  <si>
    <t>Tại cầu đối diện với công ty Alfa</t>
  </si>
  <si>
    <t>Kênh C8 - HCM_NM_KC8 - Triều Lên</t>
  </si>
  <si>
    <t>Kênh C8 - Triều Lên</t>
  </si>
  <si>
    <t>Kênh C8 - Triều Lên (QC - Mẫu lặp hiện trường)</t>
  </si>
  <si>
    <t>Kênh C8 - Triều Lên (QC - Mẫu trắng hiện trường)</t>
  </si>
  <si>
    <t>Kênh C8 - Triều Lên (QC - Mẫu trắng vận chuyển)</t>
  </si>
  <si>
    <t>Kênh C8 - Triều Lên (QC - Mẫu trắng thiết bị)</t>
  </si>
  <si>
    <t>HCM_NM_ĐPNM1</t>
  </si>
  <si>
    <t>HCM_NM_ĐPNM1_01</t>
  </si>
  <si>
    <t>Rạch Ngã Cạy, trước cổng khu xử lý của công ty VWS</t>
  </si>
  <si>
    <t>ĐPNM1 - HCM_NM_ĐPNM1 - 01</t>
  </si>
  <si>
    <t>ĐPNM1 - 01</t>
  </si>
  <si>
    <t>ĐPNM1 - 01 (QC - Mẫu lặp hiện trường)</t>
  </si>
  <si>
    <t>ĐPNM1 - 01 (QC - Mẫu trắng hiện trường)</t>
  </si>
  <si>
    <t>ĐPNM1 - 01 (QC - Mẫu trắng vận chuyển)</t>
  </si>
  <si>
    <t>ĐPNM1 - 01 (QC - Mẫu trắng thiết bị)</t>
  </si>
  <si>
    <t>HCM_NM_ĐPNM4</t>
  </si>
  <si>
    <t>HCM_NM_ĐPNM4_01</t>
  </si>
  <si>
    <t>Rạch Chiếu – cách khu vực hút bùn của Công ty TNHH Công nghệ sinh học Sài Gòn xanh 500 m về hướng Tây</t>
  </si>
  <si>
    <t>ĐPNM4 - HCM_NM_ĐPNM4 - 01</t>
  </si>
  <si>
    <t>ĐPNM4 - 01</t>
  </si>
  <si>
    <t>ĐPNM4 - 01 (QC - Mẫu lặp hiện trường)</t>
  </si>
  <si>
    <t>ĐPNM4 - 01 (QC - Mẫu trắng hiện trường)</t>
  </si>
  <si>
    <t>ĐPNM4 - 01 (QC - Mẫu trắng vận chuyển)</t>
  </si>
  <si>
    <t>ĐPNM4 - 01 (QC - Mẫu trắng thiết bị)</t>
  </si>
  <si>
    <t>HCM_NM_ĐPNM5</t>
  </si>
  <si>
    <t>HCM_NM_ĐPNM5_01</t>
  </si>
  <si>
    <t>Rạch Chiếu – khu vực hút bùn của Công ty TNHH Công nghệ sinh học Sài Gòn xanh</t>
  </si>
  <si>
    <t>ĐPNM5 - HCM_NM_ĐPNM5 - 01</t>
  </si>
  <si>
    <t>ĐPNM5 - 01</t>
  </si>
  <si>
    <t>ĐPNM5 - 01 (QC - Mẫu lặp hiện trường)</t>
  </si>
  <si>
    <t>ĐPNM5 - 01 (QC - Mẫu trắng hiện trường)</t>
  </si>
  <si>
    <t>ĐPNM5 - 01 (QC - Mẫu trắng vận chuyển)</t>
  </si>
  <si>
    <t>ĐPNM5 - 01 (QC - Mẫu trắng thiết bị)</t>
  </si>
  <si>
    <t>HCM_NM_ĐPNM8</t>
  </si>
  <si>
    <t>HCM_NM_ĐPNM8_01</t>
  </si>
  <si>
    <t>Sông Cần Giuộc – cách ngã 3 Rạch Chiếu và sông Cần Giuộc 200 m về phía thượng nguồn</t>
  </si>
  <si>
    <t>ĐPNM8 - HCM_NM_ĐPNM8 - 01</t>
  </si>
  <si>
    <t>ĐPNM8 - 01</t>
  </si>
  <si>
    <t>ĐPNM8 - 01 (QC - Mẫu lặp hiện trường)</t>
  </si>
  <si>
    <t>ĐPNM8 - 01 (QC - Mẫu trắng hiện trường)</t>
  </si>
  <si>
    <t>ĐPNM8 - 01 (QC - Mẫu trắng vận chuyển)</t>
  </si>
  <si>
    <t>ĐPNM8 - 01 (QC - Mẫu trắng thiết bị)</t>
  </si>
  <si>
    <t>HCM_NM_CBT_X</t>
  </si>
  <si>
    <t>Cầu Bà Tri - HCM_NM_CBT - Triều Xuống</t>
  </si>
  <si>
    <t>Cầu Bà Tri - Triều Xuống</t>
  </si>
  <si>
    <t>Cầu Bà Tri - Triều Xuống (QC - Mẫu lặp hiện trường)</t>
  </si>
  <si>
    <t>Cầu Bà Tri - Triều Xuống (QC - Mẫu trắng hiện trường)</t>
  </si>
  <si>
    <t>Cầu Bà Tri - Triều Xuống (QC - Mẫu trắng vận chuyển)</t>
  </si>
  <si>
    <t>Cầu Bà Tri - Triều Xuống (QC - Mẫu trắng thiết bị)</t>
  </si>
  <si>
    <t>HCM_NM_TTa_X</t>
  </si>
  <si>
    <t>Tân Tạo - HCM_NM_TTa - Triều Xuống</t>
  </si>
  <si>
    <t>Tân Tạo - Triều Xuống</t>
  </si>
  <si>
    <t>Tân Tạo - Triều Xuống (QC - Mẫu lặp hiện trường)</t>
  </si>
  <si>
    <t>Tân Tạo - Triều Xuống (QC - Mẫu trắng hiện trường)</t>
  </si>
  <si>
    <t>Tân Tạo - Triều Xuống (QC - Mẫu trắng vận chuyển)</t>
  </si>
  <si>
    <t>Tân Tạo - Triều Xuống (QC - Mẫu trắng thiết bị)</t>
  </si>
  <si>
    <t>HCM_NM_KC_X</t>
  </si>
  <si>
    <t>Kênh C - HCM_NM_KC - Triều Xuống</t>
  </si>
  <si>
    <t>Kênh C - Triều Xuống</t>
  </si>
  <si>
    <t>Kênh C - Triều Xuống (QC - Mẫu lặp hiện trường)</t>
  </si>
  <si>
    <t>Kênh C - Triều Xuống (QC - Mẫu trắng hiện trường)</t>
  </si>
  <si>
    <t>Kênh C - Triều Xuống (QC - Mẫu trắng vận chuyển)</t>
  </si>
  <si>
    <t>Kênh C - Triều Xuống (QC - Mẫu trắng thiết bị)</t>
  </si>
  <si>
    <t>HCM_NM_KC6_X</t>
  </si>
  <si>
    <t>Kênh C6 - HCM_NM_KC6 - Triều Xuống</t>
  </si>
  <si>
    <t>Kênh C6 - Triều Xuống</t>
  </si>
  <si>
    <t>Kênh C6 - Triều Xuống (QC - Mẫu lặp hiện trường)</t>
  </si>
  <si>
    <t>Kênh C6 - Triều Xuống (QC - Mẫu trắng hiện trường)</t>
  </si>
  <si>
    <t>Kênh C6 - Triều Xuống (QC - Mẫu trắng vận chuyển)</t>
  </si>
  <si>
    <t>Kênh C6 - Triều Xuống (QC - Mẫu trắng thiết bị)</t>
  </si>
  <si>
    <t>HCM_NM_KC8_X</t>
  </si>
  <si>
    <t>Kênh C8 - HCM_NM_KC8 - Triều Xuống</t>
  </si>
  <si>
    <t>Kênh C8 - Triều Xuống</t>
  </si>
  <si>
    <t>Kênh C8 - Triều Xuống (QC - Mẫu lặp hiện trường)</t>
  </si>
  <si>
    <t>Kênh C8 - Triều Xuống (QC - Mẫu trắng hiện trường)</t>
  </si>
  <si>
    <t>Kênh C8 - Triều Xuống (QC - Mẫu trắng vận chuyển)</t>
  </si>
  <si>
    <t>Kênh C8 - Triều Xuống (QC - Mẫu trắng thiết bị)</t>
  </si>
  <si>
    <t>HCM_NM_ĐPNM1_02</t>
  </si>
  <si>
    <t>ĐPNM1 - HCM_NM_ĐPNM1 - 02</t>
  </si>
  <si>
    <t>ĐPNM1 - 02</t>
  </si>
  <si>
    <t>ĐPNM1 - 02 (QC - Mẫu lặp hiện trường)</t>
  </si>
  <si>
    <t>ĐPNM1 - 02 (QC - Mẫu trắng hiện trường)</t>
  </si>
  <si>
    <t>ĐPNM1 - 02 (QC - Mẫu trắng vận chuyển)</t>
  </si>
  <si>
    <t>ĐPNM1 - 02 (QC - Mẫu trắng thiết bị)</t>
  </si>
  <si>
    <t>HCM_NM_ĐPNM4_02</t>
  </si>
  <si>
    <t>ĐPNM4 - HCM_NM_ĐPNM4 - 02</t>
  </si>
  <si>
    <t>ĐPNM4 - 02</t>
  </si>
  <si>
    <t>ĐPNM4 - 02 (QC - Mẫu lặp hiện trường)</t>
  </si>
  <si>
    <t>ĐPNM4 - 02 (QC - Mẫu trắng hiện trường)</t>
  </si>
  <si>
    <t>ĐPNM4 - 02 (QC - Mẫu trắng vận chuyển)</t>
  </si>
  <si>
    <t>ĐPNM4 - 02 (QC - Mẫu trắng thiết bị)</t>
  </si>
  <si>
    <t>HCM_NM_ĐPNM5_02</t>
  </si>
  <si>
    <t>ĐPNM5 - HCM_NM_ĐPNM5 - 02</t>
  </si>
  <si>
    <t>ĐPNM5 - 02</t>
  </si>
  <si>
    <t>ĐPNM5 - 02 (QC - Mẫu lặp hiện trường)</t>
  </si>
  <si>
    <t>ĐPNM5 - 02 (QC - Mẫu trắng hiện trường)</t>
  </si>
  <si>
    <t>ĐPNM5 - 02 (QC - Mẫu trắng vận chuyển)</t>
  </si>
  <si>
    <t>ĐPNM5 - 02 (QC - Mẫu trắng thiết bị)</t>
  </si>
  <si>
    <t>HCM_NM_ĐPNM8_02</t>
  </si>
  <si>
    <t>ĐPNM8 - HCM_NM_ĐPNM8 - 02</t>
  </si>
  <si>
    <t>ĐPNM8 - 02</t>
  </si>
  <si>
    <t>ĐPNM8 - 02 (QC - Mẫu lặp hiện trường)</t>
  </si>
  <si>
    <t>ĐPNM8 - 02 (QC - Mẫu trắng hiện trường)</t>
  </si>
  <si>
    <t>ĐPNM8 - 02 (QC - Mẫu trắng vận chuyển)</t>
  </si>
  <si>
    <t>ĐPNM8 - 02 (QC - Mẫu trắng thiết bị)</t>
  </si>
  <si>
    <t>HCM_NM_PX</t>
  </si>
  <si>
    <t>HCM_NM_PX_L</t>
  </si>
  <si>
    <t>Khu vực cầu Phú Xuân, đường Huỳnh Tấn Phát, Xã Hiệp Phước</t>
  </si>
  <si>
    <t>Phú Xuân - HCM_NM_PX - Triều Lên</t>
  </si>
  <si>
    <t>Phú Xuân - Triều Lên</t>
  </si>
  <si>
    <t>Phú Xuân - Triều Lên (QC - Mẫu lặp hiện trường)</t>
  </si>
  <si>
    <t>Phú Xuân - Triều Lên (QC - Mẫu trắng hiện trường)</t>
  </si>
  <si>
    <t>Phú Xuân - Triều Lên (QC - Mẫu trắng vận chuyển)</t>
  </si>
  <si>
    <t>Phú Xuân - Triều Lên (QC - Mẫu trắng thiết bị)</t>
  </si>
  <si>
    <t>HCM_NM_PX_X</t>
  </si>
  <si>
    <t>Phú Xuân - HCM_NM_PX - Triều Xuống</t>
  </si>
  <si>
    <t>Phú Xuân - Triều Xuống</t>
  </si>
  <si>
    <t>Phú Xuân - Triều Xuống (QC - Mẫu lặp hiện trường)</t>
  </si>
  <si>
    <t>Phú Xuân - Triều Xuống (QC - Mẫu trắng hiện trường)</t>
  </si>
  <si>
    <t>Phú Xuân - Triều Xuống (QC - Mẫu trắng vận chuyển)</t>
  </si>
  <si>
    <t>Phú Xuân - Triều Xuống (QC - Mẫu trắng thiết bị)</t>
  </si>
  <si>
    <t>HCM_NM_CGC</t>
  </si>
  <si>
    <t>HCM_NM_CGC_L</t>
  </si>
  <si>
    <t>Tại khu vực cầu Gò Công trên đường Nguyễn Xiển</t>
  </si>
  <si>
    <t>Cầu Gò Công - HCM_NM_CGC - Triều Lên</t>
  </si>
  <si>
    <t>Cầu Gò Công - Triều Lên</t>
  </si>
  <si>
    <t>Cầu Gò Công - Triều Lên (QC - Mẫu lặp hiện trường)</t>
  </si>
  <si>
    <t>Cầu Gò Công - Triều Lên (QC - Mẫu trắng hiện trường)</t>
  </si>
  <si>
    <t>Cầu Gò Công - Triều Lên (QC - Mẫu trắng vận chuyển)</t>
  </si>
  <si>
    <t>Cầu Gò Công - Triều Lên (QC - Mẫu trắng thiết bị)</t>
  </si>
  <si>
    <t>HCM_NM_CGC_X</t>
  </si>
  <si>
    <t>Cầu Gò Công - HCM_NM_CGC - Triều Xuống</t>
  </si>
  <si>
    <t>Cầu Gò Công - Triều Xuống</t>
  </si>
  <si>
    <t>Cầu Gò Công - Triều Xuống (QC - Mẫu lặp hiện trường)</t>
  </si>
  <si>
    <t>Cầu Gò Công - Triều Xuống (QC - Mẫu trắng hiện trường)</t>
  </si>
  <si>
    <t>Cầu Gò Công - Triều Xuống (QC - Mẫu trắng vận chuyển)</t>
  </si>
  <si>
    <t>Cầu Gò Công - Triều Xuống (QC - Mẫu trắng thiết bị)</t>
  </si>
  <si>
    <t>HCM_NM_BL</t>
  </si>
  <si>
    <t>HCM_NM_BL_L</t>
  </si>
  <si>
    <t>Khu vực Thanh Đa, Phường Bình Quới.</t>
  </si>
  <si>
    <t>Bình Lợi - HCM_NM_BL - Triều Lên</t>
  </si>
  <si>
    <t>Bình Lợi - Triều Lên</t>
  </si>
  <si>
    <t>Bình Lợi - Triều Lên (QC - Mẫu lặp hiện trường)</t>
  </si>
  <si>
    <t>Bình Lợi - Triều Lên (QC - Mẫu trắng hiện trường)</t>
  </si>
  <si>
    <t>Bình Lợi - Triều Lên (QC - Mẫu trắng vận chuyển)</t>
  </si>
  <si>
    <t>Bình Lợi - Triều Lên (QC - Mẫu trắng thiết bị)</t>
  </si>
  <si>
    <t>HCM_NM_SG</t>
  </si>
  <si>
    <t>HCM_NM_SG_L</t>
  </si>
  <si>
    <t>Cầu Sài Gòn KTĐ mới Thủ Thiêm Sông Sài Gòn.</t>
  </si>
  <si>
    <t>Sài Gòn - HCM_NM_SG - Triều Lên</t>
  </si>
  <si>
    <t>Sài Gòn - Triều Lên</t>
  </si>
  <si>
    <t>Sài Gòn - Triều Lên (QC - Mẫu lặp hiện trường)</t>
  </si>
  <si>
    <t>Sài Gòn - Triều Lên (QC - Mẫu trắng hiện trường)</t>
  </si>
  <si>
    <t>Sài Gòn - Triều Lên (QC - Mẫu trắng vận chuyển)</t>
  </si>
  <si>
    <t>Sài Gòn - Triều Lên (QC - Mẫu trắng thiết bị)</t>
  </si>
  <si>
    <t>HCM_NM_PM</t>
  </si>
  <si>
    <t>HCM_NM_PM_L</t>
  </si>
  <si>
    <t>Gần cầu Thời Đại, Phường Bình Trưng.</t>
  </si>
  <si>
    <t>Phú Mỹ - HCM_NM_PM - Triều Lên</t>
  </si>
  <si>
    <t>Phú Mỹ - Triều Lên</t>
  </si>
  <si>
    <t>Phú Mỹ - Triều Lên (QC - Mẫu lặp hiện trường)</t>
  </si>
  <si>
    <t>Phú Mỹ - Triều Lên (QC - Mẫu trắng hiện trường)</t>
  </si>
  <si>
    <t>Phú Mỹ - Triều Lên (QC - Mẫu trắng vận chuyển)</t>
  </si>
  <si>
    <t>Phú Mỹ - Triều Lên (QC - Mẫu trắng thiết bị)</t>
  </si>
  <si>
    <t>HCM_NM_MĐĐ</t>
  </si>
  <si>
    <t>HCM_NM_MĐĐ_L</t>
  </si>
  <si>
    <t>Mũi Đèn Đỏ, Phường Phú Thuận (Cách hợp lưu của Sông Đồng Nai với sông Sài Gòn 2 km).</t>
  </si>
  <si>
    <t>Mũi Đèn Đỏ - HCM_NM_MĐĐ - Triều Lên</t>
  </si>
  <si>
    <t>Mũi Đèn Đỏ - Triều Lên</t>
  </si>
  <si>
    <t>Mũi Đèn Đỏ - Triều Lên (QC - Mẫu lặp hiện trường)</t>
  </si>
  <si>
    <t>Mũi Đèn Đỏ - Triều Lên (QC - Mẫu trắng hiện trường)</t>
  </si>
  <si>
    <t>Mũi Đèn Đỏ - Triều Lên (QC - Mẫu trắng vận chuyển)</t>
  </si>
  <si>
    <t>Mũi Đèn Đỏ - Triều Lên (QC - Mẫu trắng thiết bị)</t>
  </si>
  <si>
    <t>HCM_NM_NB</t>
  </si>
  <si>
    <t>HCM_NM_NB_L</t>
  </si>
  <si>
    <t>Phà Bình Khánh, xã Nhà Bè (Thượng lưu ngã ba Đồng Nai Lòng Tàu 600 m).</t>
  </si>
  <si>
    <t>Nhà Bè - HCM_NM_NB - Triều Lên</t>
  </si>
  <si>
    <t>Nhà Bè - Triều Lên</t>
  </si>
  <si>
    <t>Nhà Bè - Triều Lên (QC - Mẫu lặp hiện trường)</t>
  </si>
  <si>
    <t>Nhà Bè - Triều Lên (QC - Mẫu trắng hiện trường)</t>
  </si>
  <si>
    <t>Nhà Bè - Triều Lên (QC - Mẫu trắng vận chuyển)</t>
  </si>
  <si>
    <t>Nhà Bè - Triều Lên (QC - Mẫu trắng thiết bị)</t>
  </si>
  <si>
    <t>HCM_NM_BL_X</t>
  </si>
  <si>
    <t>Bình Lợi - HCM_NM_BL - Triều Xuống</t>
  </si>
  <si>
    <t>Bình Lợi - Triều Xuống</t>
  </si>
  <si>
    <t>Bình Lợi - Triều Xuống (QC - Mẫu lặp hiện trường)</t>
  </si>
  <si>
    <t>Bình Lợi - Triều Xuống (QC - Mẫu trắng hiện trường)</t>
  </si>
  <si>
    <t>Bình Lợi - Triều Xuống (QC - Mẫu trắng vận chuyển)</t>
  </si>
  <si>
    <t>Bình Lợi - Triều Xuống (QC - Mẫu trắng thiết bị)</t>
  </si>
  <si>
    <t>HCM_NM_SG_X</t>
  </si>
  <si>
    <t>Sài Gòn - HCM_NM_SG - Triều Xuống</t>
  </si>
  <si>
    <t>Sài Gòn - Triều Xuống</t>
  </si>
  <si>
    <t>Sài Gòn - Triều Xuống (QC - Mẫu lặp hiện trường)</t>
  </si>
  <si>
    <t>Sài Gòn - Triều Xuống (QC - Mẫu trắng hiện trường)</t>
  </si>
  <si>
    <t>Sài Gòn - Triều Xuống (QC - Mẫu trắng vận chuyển)</t>
  </si>
  <si>
    <t>Sài Gòn - Triều Xuống (QC - Mẫu trắng thiết bị)</t>
  </si>
  <si>
    <t>HCM_NM_PM_X</t>
  </si>
  <si>
    <t>Phú Mỹ - HCM_NM_PM - Triều Xuống</t>
  </si>
  <si>
    <t>Phú Mỹ - Triều Xuống</t>
  </si>
  <si>
    <t>Phú Mỹ - Triều Xuống (QC - Mẫu lặp hiện trường)</t>
  </si>
  <si>
    <t>Phú Mỹ - Triều Xuống (QC - Mẫu trắng hiện trường)</t>
  </si>
  <si>
    <t>Phú Mỹ - Triều Xuống (QC - Mẫu trắng vận chuyển)</t>
  </si>
  <si>
    <t>Phú Mỹ - Triều Xuống (QC - Mẫu trắng thiết bị)</t>
  </si>
  <si>
    <t>HCM_NM_MĐĐ_X</t>
  </si>
  <si>
    <t>Mũi Đèn Đỏ - HCM_NM_MĐĐ - Triều Xuống</t>
  </si>
  <si>
    <t>Mũi Đèn Đỏ - Triều Xuống</t>
  </si>
  <si>
    <t>Mũi Đèn Đỏ - Triều Xuống (QC - Mẫu lặp hiện trường)</t>
  </si>
  <si>
    <t>Mũi Đèn Đỏ - Triều Xuống (QC - Mẫu trắng hiện trường)</t>
  </si>
  <si>
    <t>Mũi Đèn Đỏ - Triều Xuống (QC - Mẫu trắng vận chuyển)</t>
  </si>
  <si>
    <t>Mũi Đèn Đỏ - Triều Xuống (QC - Mẫu trắng thiết bị)</t>
  </si>
  <si>
    <t>HCM_NM_NB_X</t>
  </si>
  <si>
    <t>Nhà Bè - HCM_NM_NB - Triều Xuống</t>
  </si>
  <si>
    <t>Nhà Bè - Triều Xuống</t>
  </si>
  <si>
    <t>Nhà Bè - Triều Xuống (QC - Mẫu lặp hiện trường)</t>
  </si>
  <si>
    <t>Nhà Bè - Triều Xuống (QC - Mẫu trắng hiện trường)</t>
  </si>
  <si>
    <t>Nhà Bè - Triều Xuống (QC - Mẫu trắng vận chuyển)</t>
  </si>
  <si>
    <t>Nhà Bè - Triều Xuống (QC - Mẫu trắng thiết bị)</t>
  </si>
  <si>
    <t>HCM_NM_LP</t>
  </si>
  <si>
    <t>HCM_NM_LP_L</t>
  </si>
  <si>
    <t>Cách hợp lưu Sông Tắc – Sông Sài Gòn 500m về phía hạ lưu.</t>
  </si>
  <si>
    <t>Long Phước - HCM_NM_LP - Triều Lên</t>
  </si>
  <si>
    <t>Long Phước - Triều Lên</t>
  </si>
  <si>
    <t>Long Phước - Triều Lên (QC - Mẫu lặp hiện trường)</t>
  </si>
  <si>
    <t>Long Phước - Triều Lên (QC - Mẫu trắng hiện trường)</t>
  </si>
  <si>
    <t>Long Phước - Triều Lên (QC - Mẫu trắng vận chuyển)</t>
  </si>
  <si>
    <t>Long Phước - Triều Lên (QC - Mẫu trắng thiết bị)</t>
  </si>
  <si>
    <t>HCM_NM_CL</t>
  </si>
  <si>
    <t>HCM_NM_CL_L</t>
  </si>
  <si>
    <t>Phà Cát Lái, Phường Thạnh Mỹ Lợi (Sông Đồng Nai trước hợp lưu với sông Sài Gòn).</t>
  </si>
  <si>
    <t>Cát Lái - HCM_NM_CL - Triều Lên</t>
  </si>
  <si>
    <t>Cát Lái - Triều Lên</t>
  </si>
  <si>
    <t>Cát Lái - Triều Lên (QC - Mẫu lặp hiện trường)</t>
  </si>
  <si>
    <t>Cát Lái - Triều Lên (QC - Mẫu trắng hiện trường)</t>
  </si>
  <si>
    <t>Cát Lái - Triều Lên (QC - Mẫu trắng vận chuyển)</t>
  </si>
  <si>
    <t>Cát Lái - Triều Lên (QC - Mẫu trắng thiết bị)</t>
  </si>
  <si>
    <t>HCM_NM_LT</t>
  </si>
  <si>
    <t>HCM_NM_LT_L</t>
  </si>
  <si>
    <t>Xã Cần Giờ - Cách đoạn phân nhánh sông Lòng Tàu – Đồng Tranh 1,39km.</t>
  </si>
  <si>
    <t>Lòng Tàu - HCM_NM_LT - Triều Lên</t>
  </si>
  <si>
    <t>Lòng Tàu - Triều Lên</t>
  </si>
  <si>
    <t>Lòng Tàu - Triều Lên (QC - Mẫu lặp hiện trường)</t>
  </si>
  <si>
    <t>Lòng Tàu - Triều Lên (QC - Mẫu trắng hiện trường)</t>
  </si>
  <si>
    <t>Lòng Tàu - Triều Lên (QC - Mẫu trắng vận chuyển)</t>
  </si>
  <si>
    <t>Lòng Tàu - Triều Lên (QC - Mẫu trắng thiết bị)</t>
  </si>
  <si>
    <t>HCM_NM_TTH</t>
  </si>
  <si>
    <t>HCM_NM_TTH_L</t>
  </si>
  <si>
    <t>Xã Cần Giờ - Thượng lưu ngã ba Tắc Rỗi 800m sông Lòng Tàu.</t>
  </si>
  <si>
    <t>Tam Thôn Hiệp - HCM_NM_TTH - Triều Lên</t>
  </si>
  <si>
    <t>Tam Thôn Hiệp - Triều Lên</t>
  </si>
  <si>
    <t>Tam Thôn Hiệp - Triều Lên (QC - Mẫu lặp hiện trường)</t>
  </si>
  <si>
    <t>Tam Thôn Hiệp - Triều Lên (QC - Mẫu trắng hiện trường)</t>
  </si>
  <si>
    <t>Tam Thôn Hiệp - Triều Lên (QC - Mẫu trắng vận chuyển)</t>
  </si>
  <si>
    <t>Tam Thôn Hiệp - Triều Lên (QC - Mẫu trắng thiết bị)</t>
  </si>
  <si>
    <t>HCM_NM_ĐT1</t>
  </si>
  <si>
    <t>HCM_NM_ĐT1_L</t>
  </si>
  <si>
    <t>Xã Cần Giờ - Cách đoạn phân nhánh sông Đồng Tranh thành 3 nhánh nhỏ 1km.</t>
  </si>
  <si>
    <t>Đồng Tranh 1 - HCM_NM_ĐT1 - Triều Lên</t>
  </si>
  <si>
    <t>Đồng Tranh 1 - Triều Lên</t>
  </si>
  <si>
    <t>Đồng Tranh 1 - Triều Lên (QC - Mẫu lặp hiện trường)</t>
  </si>
  <si>
    <t>Đồng Tranh 1 - Triều Lên (QC - Mẫu trắng hiện trường)</t>
  </si>
  <si>
    <t>Đồng Tranh 1 - Triều Lên (QC - Mẫu trắng vận chuyển)</t>
  </si>
  <si>
    <t>Đồng Tranh 1 - Triều Lên (QC - Mẫu trắng thiết bị)</t>
  </si>
  <si>
    <t>HCM_NM_LP_X</t>
  </si>
  <si>
    <t>Long Phước - HCM_NM_LP - Triều Xuống</t>
  </si>
  <si>
    <t>Long Phước - Triều Xuống</t>
  </si>
  <si>
    <t>Long Phước - Triều Xuống (QC - Mẫu lặp hiện trường)</t>
  </si>
  <si>
    <t>Long Phước - Triều Xuống (QC - Mẫu trắng hiện trường)</t>
  </si>
  <si>
    <t>Long Phước - Triều Xuống (QC - Mẫu trắng vận chuyển)</t>
  </si>
  <si>
    <t>Long Phước - Triều Xuống (QC - Mẫu trắng thiết bị)</t>
  </si>
  <si>
    <t>HCM_NM_CL_X</t>
  </si>
  <si>
    <t>Cát Lái - HCM_NM_CL - Triều Xuống</t>
  </si>
  <si>
    <t>Cát Lái - Triều Xuống</t>
  </si>
  <si>
    <t>Cát Lái - Triều Xuống (QC - Mẫu lặp hiện trường)</t>
  </si>
  <si>
    <t>Cát Lái - Triều Xuống (QC - Mẫu trắng hiện trường)</t>
  </si>
  <si>
    <t>Cát Lái - Triều Xuống (QC - Mẫu trắng vận chuyển)</t>
  </si>
  <si>
    <t>Cát Lái - Triều Xuống (QC - Mẫu trắng thiết bị)</t>
  </si>
  <si>
    <t>HCM_NM_LT_X</t>
  </si>
  <si>
    <t>Lòng Tàu - HCM_NM_LT - Triều Xuống</t>
  </si>
  <si>
    <t>Lòng Tàu - Triều Xuống</t>
  </si>
  <si>
    <t>Lòng Tàu - Triều Xuống (QC - Mẫu lặp hiện trường)</t>
  </si>
  <si>
    <t>Lòng Tàu - Triều Xuống (QC - Mẫu trắng hiện trường)</t>
  </si>
  <si>
    <t>Lòng Tàu - Triều Xuống (QC - Mẫu trắng vận chuyển)</t>
  </si>
  <si>
    <t>Lòng Tàu - Triều Xuống (QC - Mẫu trắng thiết bị)</t>
  </si>
  <si>
    <t>HCM_NM_TTH_X</t>
  </si>
  <si>
    <t>Tam Thôn Hiệp - HCM_NM_TTH - Triều Xuống</t>
  </si>
  <si>
    <t>Tam Thôn Hiệp - Triều Xuống</t>
  </si>
  <si>
    <t>Tam Thôn Hiệp - Triều Xuống (QC - Mẫu lặp hiện trường)</t>
  </si>
  <si>
    <t>Tam Thôn Hiệp - Triều Xuống (QC - Mẫu trắng hiện trường)</t>
  </si>
  <si>
    <t>Tam Thôn Hiệp - Triều Xuống (QC - Mẫu trắng vận chuyển)</t>
  </si>
  <si>
    <t>Tam Thôn Hiệp - Triều Xuống (QC - Mẫu trắng thiết bị)</t>
  </si>
  <si>
    <t>HCM_NM_ĐT1_X</t>
  </si>
  <si>
    <t>Đồng Tranh 1 - HCM_NM_ĐT1 - Triều Xuống</t>
  </si>
  <si>
    <t>Đồng Tranh 1 - Triều Xuống</t>
  </si>
  <si>
    <t>Đồng Tranh 1 - Triều Xuống (QC - Mẫu lặp hiện trường)</t>
  </si>
  <si>
    <t>Đồng Tranh 1 - Triều Xuống (QC - Mẫu trắng hiện trường)</t>
  </si>
  <si>
    <t>Đồng Tranh 1 - Triều Xuống (QC - Mẫu trắng vận chuyển)</t>
  </si>
  <si>
    <t>Đồng Tranh 1 - Triều Xuống (QC - Mẫu trắng thiết bị)</t>
  </si>
  <si>
    <t>HCM_NM_LT1</t>
  </si>
  <si>
    <t>HCM_NM_LT1_L</t>
  </si>
  <si>
    <t>Xã Cần Giờ -Sau hợp lưu sông Lòng Tàu, sông Đồng Tranh, sông Dừa 2 km.</t>
  </si>
  <si>
    <t>Lòng Tàu 1 - HCM_NM_LT1 - Triều Lên</t>
  </si>
  <si>
    <t>Lòng Tàu 1 - Triều Lên</t>
  </si>
  <si>
    <t>Lòng Tàu 1 - Triều Lên (QC - Mẫu lặp hiện trường)</t>
  </si>
  <si>
    <t>Lòng Tàu 1 - Triều Lên (QC - Mẫu trắng hiện trường)</t>
  </si>
  <si>
    <t>Lòng Tàu 1 - Triều Lên (QC - Mẫu trắng vận chuyển)</t>
  </si>
  <si>
    <t>Lòng Tàu 1 - Triều Lên (QC - Mẫu trắng thiết bị)</t>
  </si>
  <si>
    <t>HCM_NM_N7</t>
  </si>
  <si>
    <t>HCM_NM_N7_L</t>
  </si>
  <si>
    <t>Xã Cần Giờ - Gần cửa sông Lòng Tàu 2 km.</t>
  </si>
  <si>
    <t>Ngã Bảy - HCM_NM_N7 - Triều Lên</t>
  </si>
  <si>
    <t>Ngã Bảy - Triều Lên</t>
  </si>
  <si>
    <t>Ngã Bảy - Triều Lên (QC - Mẫu lặp hiện trường)</t>
  </si>
  <si>
    <t>Ngã Bảy - Triều Lên (QC - Mẫu trắng hiện trường)</t>
  </si>
  <si>
    <t>Ngã Bảy - Triều Lên (QC - Mẫu trắng vận chuyển)</t>
  </si>
  <si>
    <t>Ngã Bảy - Triều Lên (QC - Mẫu trắng thiết bị)</t>
  </si>
  <si>
    <t>HCM_NM_VS</t>
  </si>
  <si>
    <t>HCM_NM_VS_L</t>
  </si>
  <si>
    <t>Xã Cần Giờ - Hạ lưu cửa sông Vàm Sát 150m sông Đồng Nai.</t>
  </si>
  <si>
    <t>Vàm Sát - HCM_NM_VS - Triều Lên</t>
  </si>
  <si>
    <t>Vàm Sát - Triều Lên</t>
  </si>
  <si>
    <t>Vàm Sát - Triều Lên (QC - Mẫu lặp hiện trường)</t>
  </si>
  <si>
    <t>Vàm Sát - Triều Lên (QC - Mẫu trắng hiện trường)</t>
  </si>
  <si>
    <t>Vàm Sát - Triều Lên (QC - Mẫu trắng vận chuyển)</t>
  </si>
  <si>
    <t>Vàm Sát - Triều Lên (QC - Mẫu trắng thiết bị)</t>
  </si>
  <si>
    <t>HCM_NM_ĐT</t>
  </si>
  <si>
    <t>HCM_NM_ĐT_L</t>
  </si>
  <si>
    <t>Xã Cần Giờ - Gần cửa sông Đồng Tranh 2 km.</t>
  </si>
  <si>
    <t>Đồng Tranh - HCM_NM_ĐT - Triều Lên</t>
  </si>
  <si>
    <t>Đồng Tranh - Triều Lên</t>
  </si>
  <si>
    <t>Đồng Tranh - Triều Lên (QC - Mẫu lặp hiện trường)</t>
  </si>
  <si>
    <t>Đồng Tranh - Triều Lên (QC - Mẫu trắng hiện trường)</t>
  </si>
  <si>
    <t>Đồng Tranh - Triều Lên (QC - Mẫu trắng vận chuyển)</t>
  </si>
  <si>
    <t>Đồng Tranh - Triều Lên (QC - Mẫu trắng thiết bị)</t>
  </si>
  <si>
    <t>HCM_NM_LT1_X</t>
  </si>
  <si>
    <t>Lòng Tàu 1 - HCM_NM_LT1 - Triều Xuống</t>
  </si>
  <si>
    <t>Lòng Tàu 1 - Triều Xuống</t>
  </si>
  <si>
    <t>Lòng Tàu 1 - Triều Xuống (QC - Mẫu lặp hiện trường)</t>
  </si>
  <si>
    <t>Lòng Tàu 1 - Triều Xuống (QC - Mẫu trắng hiện trường)</t>
  </si>
  <si>
    <t>Lòng Tàu 1 - Triều Xuống (QC - Mẫu trắng vận chuyển)</t>
  </si>
  <si>
    <t>Lòng Tàu 1 - Triều Xuống (QC - Mẫu trắng thiết bị)</t>
  </si>
  <si>
    <t>HCM_NM_N7_X</t>
  </si>
  <si>
    <t>Ngã Bảy - HCM_NM_N7 - Triều Xuống</t>
  </si>
  <si>
    <t>Ngã Bảy - Triều Xuống</t>
  </si>
  <si>
    <t>Ngã Bảy - Triều Xuống (QC - Mẫu lặp hiện trường)</t>
  </si>
  <si>
    <t>Ngã Bảy - Triều Xuống (QC - Mẫu trắng hiện trường)</t>
  </si>
  <si>
    <t>Ngã Bảy - Triều Xuống (QC - Mẫu trắng vận chuyển)</t>
  </si>
  <si>
    <t>Ngã Bảy - Triều Xuống (QC - Mẫu trắng thiết bị)</t>
  </si>
  <si>
    <t>HCM_NM_VS_X</t>
  </si>
  <si>
    <t>Vàm Sát - HCM_NM_VS - Triều Xuống</t>
  </si>
  <si>
    <t>Vàm Sát - Triều Xuống</t>
  </si>
  <si>
    <t>Vàm Sát - Triều Xuống (QC - Mẫu lặp hiện trường)</t>
  </si>
  <si>
    <t>Vàm Sát - Triều Xuống (QC - Mẫu trắng hiện trường)</t>
  </si>
  <si>
    <t>Vàm Sát - Triều Xuống (QC - Mẫu trắng vận chuyển)</t>
  </si>
  <si>
    <t>Vàm Sát - Triều Xuống (QC - Mẫu trắng thiết bị)</t>
  </si>
  <si>
    <t>HCM_NM_ĐT_X</t>
  </si>
  <si>
    <t>Đồng Tranh - HCM_NM_ĐT - Triều Xuống</t>
  </si>
  <si>
    <t>Đồng Tranh - Triều Xuống</t>
  </si>
  <si>
    <t>Đồng Tranh - Triều Xuống (QC - Mẫu lặp hiện trường)</t>
  </si>
  <si>
    <t>Đồng Tranh - Triều Xuống (QC - Mẫu trắng hiện trường)</t>
  </si>
  <si>
    <t>Đồng Tranh - Triều Xuống (QC - Mẫu trắng vận chuyển)</t>
  </si>
  <si>
    <t>Đồng Tranh - Triều Xuống (QC - Mẫu trắng thiết bị)</t>
  </si>
  <si>
    <t>Vị trí quan trắc mẫu QC lặp</t>
  </si>
  <si>
    <t>Vị trí quan trắc mẫu QC trắng</t>
  </si>
  <si>
    <t>Vị trí quan trắc mẫu QC lặp (pH, DO)</t>
  </si>
  <si>
    <t/>
  </si>
  <si>
    <t>Bà Lào - Triều Lên (QC - Mẫu lặp)</t>
  </si>
  <si>
    <t>Hải Đức - Triều Xuống (QC - Mẫu lặp)</t>
  </si>
  <si>
    <t>Cầu Đỏ - Triều Xuống (QC - Mẫu lặp)</t>
  </si>
  <si>
    <t>Rau Răm - Triều Xuống (QC - Mẫu lặp)</t>
  </si>
  <si>
    <t>Cống Vàm Thuật - Triều Xuống (QC - Mẫu lặp)</t>
  </si>
  <si>
    <t>CN1 - Triều Lên (QC - Mẫu lặp)</t>
  </si>
  <si>
    <t>Kênh C8 - Triều Lên (QC - Mẫu lặp)</t>
  </si>
  <si>
    <t>Cầu số 1 - Triều Xuống (QC - Mẫu trắng)</t>
  </si>
  <si>
    <t>Cống Vàm Thuật - Triều Lên (QC - Mẫu trắng)</t>
  </si>
  <si>
    <t>Chợ Cầu - Triều Lên (QC - Mẫu trắng)</t>
  </si>
  <si>
    <t>Cầu Rạch Ngang - Triều Xuống (QC - Mẫu trắng)</t>
  </si>
  <si>
    <t>Cầu số 1 - Triều Xuống (QC - Mẫu lặp)</t>
  </si>
  <si>
    <t>Cống Vàm Thuật - Triều Lên (QC - Mẫu lặp)</t>
  </si>
  <si>
    <t>Chợ Cầu - Triều Lên (QC - Mẫu lặp)</t>
  </si>
  <si>
    <t>Cầu Rạch Ngang - Triều Xuống (QC - Mẫu lặp)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</si>
</sst>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$-F400]h:mm:ss\ AM/PM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1"/>
      <name val="Times New Roman"/>
      <family val="1"/>
    </font>
    <font>
      <sz val="8"/>
      <name val="Arial"/>
      <family val="2"/>
      <scheme val="minor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1" xfId="1" applyFont="1" applyBorder="1" applyAlignment="1">
      <alignment vertical="center"/>
    </xf>
    <xf numFmtId="0" fontId="3" fillId="0" borderId="0" xfId="1" applyFont="1"/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8" xfId="1" applyFont="1" applyBorder="1" applyAlignment="1">
      <alignment vertical="center"/>
    </xf>
    <xf numFmtId="9" fontId="3" fillId="0" borderId="0" xfId="1" applyNumberFormat="1" applyFont="1"/>
    <xf numFmtId="0" fontId="3" fillId="0" borderId="5" xfId="1" quotePrefix="1" applyNumberFormat="1" applyFont="1" applyBorder="1" applyAlignment="1">
      <alignment horizontal="center" vertical="center"/>
    </xf>
    <xf numFmtId="0" fontId="3" fillId="0" borderId="6" xfId="1" quotePrefix="1" applyNumberFormat="1" applyFont="1" applyBorder="1" applyAlignment="1">
      <alignment horizontal="center" vertical="center"/>
    </xf>
    <xf numFmtId="0" fontId="3" fillId="0" borderId="7" xfId="1" quotePrefix="1" applyNumberFormat="1" applyFont="1" applyBorder="1" applyAlignment="1">
      <alignment horizontal="center" vertical="center"/>
    </xf>
    <xf numFmtId="0" fontId="4" fillId="0" borderId="6" xfId="1" quotePrefix="1" applyNumberFormat="1" applyFont="1" applyBorder="1" applyAlignment="1">
      <alignment horizontal="center" vertical="center"/>
    </xf>
    <xf numFmtId="0" fontId="4" fillId="0" borderId="7" xfId="1" quotePrefix="1" applyNumberFormat="1" applyFont="1" applyBorder="1" applyAlignment="1">
      <alignment horizontal="center" vertical="center"/>
    </xf>
    <xf numFmtId="0" fontId="3" fillId="0" borderId="1" xfId="1" quotePrefix="1" applyNumberFormat="1" applyFont="1" applyBorder="1" applyAlignment="1">
      <alignment horizontal="center" vertical="center"/>
    </xf>
    <xf numFmtId="0" fontId="0" fillId="2" borderId="0" xfId="0" applyFill="1"/>
    <xf numFmtId="0" fontId="0" fillId="2" borderId="0" xfId="0" quotePrefix="1" applyFill="1"/>
    <xf numFmtId="0" fontId="3" fillId="0" borderId="1" xfId="1" quotePrefix="1" applyFont="1" applyBorder="1" applyAlignment="1">
      <alignment horizontal="center" vertical="center"/>
    </xf>
    <xf numFmtId="165" fontId="3" fillId="0" borderId="1" xfId="1" quotePrefix="1" applyNumberFormat="1" applyFont="1" applyBorder="1" applyAlignment="1">
      <alignment horizontal="center" vertical="center"/>
    </xf>
    <xf numFmtId="165" fontId="4" fillId="0" borderId="1" xfId="1" applyNumberFormat="1" applyFont="1" applyBorder="1"/>
    <xf numFmtId="0" fontId="4" fillId="0" borderId="1" xfId="1" applyFont="1" applyBorder="1"/>
    <xf numFmtId="164" fontId="3" fillId="0" borderId="5" xfId="1" quotePrefix="1" applyNumberFormat="1" applyFont="1" applyBorder="1" applyAlignment="1">
      <alignment horizontal="center" vertical="center"/>
    </xf>
    <xf numFmtId="164" fontId="3" fillId="0" borderId="6" xfId="1" quotePrefix="1" applyNumberFormat="1" applyFont="1" applyBorder="1" applyAlignment="1">
      <alignment horizontal="center" vertical="center"/>
    </xf>
    <xf numFmtId="164" fontId="3" fillId="0" borderId="7" xfId="1" quotePrefix="1" applyNumberFormat="1" applyFont="1" applyBorder="1" applyAlignment="1">
      <alignment horizontal="center" vertical="center"/>
    </xf>
    <xf numFmtId="0" fontId="3" fillId="0" borderId="5" xfId="1" quotePrefix="1" applyFont="1" applyBorder="1" applyAlignment="1">
      <alignment horizontal="center" vertical="center"/>
    </xf>
    <xf numFmtId="0" fontId="3" fillId="0" borderId="6" xfId="1" quotePrefix="1" applyFont="1" applyBorder="1" applyAlignment="1">
      <alignment horizontal="center" vertical="center"/>
    </xf>
    <xf numFmtId="0" fontId="3" fillId="0" borderId="7" xfId="1" quotePrefix="1" applyFont="1" applyBorder="1" applyAlignment="1">
      <alignment horizontal="center" vertical="center"/>
    </xf>
    <xf numFmtId="14" fontId="4" fillId="0" borderId="5" xfId="1" quotePrefix="1" applyNumberFormat="1" applyFont="1" applyBorder="1" applyAlignment="1">
      <alignment horizontal="center" vertical="center"/>
    </xf>
    <xf numFmtId="14" fontId="4" fillId="0" borderId="6" xfId="1" quotePrefix="1" applyNumberFormat="1" applyFont="1" applyBorder="1" applyAlignment="1">
      <alignment horizontal="center" vertical="center"/>
    </xf>
    <xf numFmtId="14" fontId="4" fillId="0" borderId="7" xfId="1" quotePrefix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5" fontId="4" fillId="0" borderId="1" xfId="1" quotePrefix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5" xfId="1" quotePrefix="1" applyNumberFormat="1" applyFont="1" applyBorder="1" applyAlignment="1">
      <alignment horizontal="center" vertical="center"/>
    </xf>
    <xf numFmtId="165" fontId="3" fillId="0" borderId="6" xfId="1" quotePrefix="1" applyNumberFormat="1" applyFont="1" applyBorder="1" applyAlignment="1">
      <alignment horizontal="center" vertical="center"/>
    </xf>
    <xf numFmtId="165" fontId="3" fillId="0" borderId="7" xfId="1" quotePrefix="1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8" fillId="0" borderId="0" xfId="0" applyFont="1"/>
    <xf numFmtId="0" fontId="8" fillId="2" borderId="0" xfId="0" applyFont="1" applyFill="1"/>
  </cellXfs>
  <cellStyles count="2">
    <cellStyle name="Normal" xfId="0" builtinId="0"/>
    <cellStyle name="Normal 2" xfId="1" xr:uid="{14B9FF98-FB40-4BC3-9D69-5640638BFF61}"/>
  </cellStyles>
  <dxfs count="1"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E331-2534-408C-9987-CA17E58A89AB}">
  <dimension ref="A1:S1014"/>
  <sheetViews>
    <sheetView workbookViewId="0">
      <pane xSplit="4" ySplit="2" topLeftCell="E6" activePane="bottomRight" state="frozen"/>
      <selection pane="topRight" activeCell="D1" sqref="D1"/>
      <selection pane="bottomLeft" activeCell="A3" sqref="A3"/>
      <selection pane="bottomRight" activeCell="J17" sqref="J17"/>
    </sheetView>
  </sheetViews>
  <sheetFormatPr defaultColWidth="14.375" defaultRowHeight="15" x14ac:dyDescent="0.25"/>
  <cols>
    <col min="1" max="1" width="20.75" style="2" customWidth="1"/>
    <col min="2" max="2" width="10.125" style="2" bestFit="1" customWidth="1"/>
    <col min="3" max="3" width="10.125" style="2" customWidth="1"/>
    <col min="4" max="5" width="11.875" style="2" bestFit="1" customWidth="1"/>
    <col min="6" max="6" width="14.375" style="2" bestFit="1" customWidth="1"/>
    <col min="7" max="7" width="8.875" style="2" bestFit="1" customWidth="1"/>
    <col min="8" max="8" width="15.25" style="2" bestFit="1" customWidth="1"/>
    <col min="9" max="9" width="10" style="2" bestFit="1" customWidth="1"/>
    <col min="10" max="10" width="14.375" style="2" bestFit="1" customWidth="1"/>
    <col min="11" max="11" width="8.875" style="2" bestFit="1" customWidth="1"/>
    <col min="12" max="12" width="16.75" style="2" bestFit="1" customWidth="1"/>
    <col min="13" max="13" width="10" style="2" bestFit="1" customWidth="1"/>
    <col min="14" max="14" width="14.375" style="2" bestFit="1" customWidth="1"/>
    <col min="15" max="15" width="8.875" style="2" bestFit="1" customWidth="1"/>
    <col min="16" max="16" width="15.25" style="2" customWidth="1"/>
    <col min="17" max="17" width="10" style="2" bestFit="1" customWidth="1"/>
    <col min="18" max="18" width="8.875" style="2" bestFit="1" customWidth="1"/>
    <col min="19" max="19" width="8" style="2" bestFit="1" customWidth="1"/>
    <col min="20" max="35" width="9.875" style="2" customWidth="1"/>
    <col min="36" max="16384" width="14.375" style="2"/>
  </cols>
  <sheetData>
    <row r="1" spans="1:19" ht="14.25" customHeight="1" x14ac:dyDescent="0.25">
      <c r="A1" s="41" t="s">
        <v>0</v>
      </c>
      <c r="B1" s="41" t="s">
        <v>1</v>
      </c>
      <c r="C1" s="45" t="s">
        <v>116</v>
      </c>
      <c r="D1" s="41" t="s">
        <v>2</v>
      </c>
      <c r="E1" s="41" t="s">
        <v>3</v>
      </c>
      <c r="F1" s="1" t="s">
        <v>4</v>
      </c>
      <c r="G1" s="1"/>
      <c r="H1" s="1"/>
      <c r="I1" s="1"/>
      <c r="J1" s="42" t="s">
        <v>5</v>
      </c>
      <c r="K1" s="43"/>
      <c r="L1" s="43"/>
      <c r="M1" s="44"/>
      <c r="N1" s="42" t="s">
        <v>6</v>
      </c>
      <c r="O1" s="43"/>
      <c r="P1" s="43"/>
      <c r="Q1" s="44"/>
      <c r="R1" s="41" t="s">
        <v>7</v>
      </c>
      <c r="S1" s="41" t="s">
        <v>8</v>
      </c>
    </row>
    <row r="2" spans="1:19" ht="30.75" x14ac:dyDescent="0.25">
      <c r="A2" s="19"/>
      <c r="B2" s="19"/>
      <c r="C2" s="46"/>
      <c r="D2" s="41"/>
      <c r="E2" s="41"/>
      <c r="F2" s="3" t="s">
        <v>9</v>
      </c>
      <c r="G2" s="3" t="s">
        <v>10</v>
      </c>
      <c r="H2" s="3" t="s">
        <v>11</v>
      </c>
      <c r="I2" s="3" t="s">
        <v>12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9</v>
      </c>
      <c r="O2" s="3" t="s">
        <v>10</v>
      </c>
      <c r="P2" s="3" t="s">
        <v>11</v>
      </c>
      <c r="Q2" s="3" t="s">
        <v>12</v>
      </c>
      <c r="R2" s="19"/>
      <c r="S2" s="19"/>
    </row>
    <row r="3" spans="1:19" ht="14.25" customHeight="1" x14ac:dyDescent="0.25">
      <c r="A3" s="4" t="s">
        <v>117</v>
      </c>
      <c r="B3" s="20" t="s">
        <v>13</v>
      </c>
      <c r="C3" s="8">
        <v>4</v>
      </c>
      <c r="D3" s="17"/>
      <c r="E3" s="17"/>
      <c r="F3" s="4">
        <v>2</v>
      </c>
      <c r="G3" s="4">
        <v>2</v>
      </c>
      <c r="H3" s="4"/>
      <c r="I3" s="4"/>
      <c r="J3" s="4"/>
      <c r="K3" s="4"/>
      <c r="L3" s="4"/>
      <c r="M3" s="4"/>
      <c r="N3" s="4"/>
      <c r="O3" s="4"/>
      <c r="P3" s="4"/>
      <c r="Q3" s="4"/>
      <c r="R3" s="5" t="s">
        <v>14</v>
      </c>
      <c r="S3" s="29"/>
    </row>
    <row r="4" spans="1:19" ht="14.25" customHeight="1" x14ac:dyDescent="0.25">
      <c r="A4" s="4" t="s">
        <v>119</v>
      </c>
      <c r="B4" s="21"/>
      <c r="C4" s="8">
        <v>4</v>
      </c>
      <c r="D4" s="18"/>
      <c r="E4" s="18"/>
      <c r="F4" s="4">
        <v>2</v>
      </c>
      <c r="G4" s="4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5" t="s">
        <v>14</v>
      </c>
      <c r="S4" s="19"/>
    </row>
    <row r="5" spans="1:19" ht="14.25" customHeight="1" x14ac:dyDescent="0.25">
      <c r="A5" s="4" t="s">
        <v>15</v>
      </c>
      <c r="B5" s="21"/>
      <c r="C5" s="8">
        <v>4</v>
      </c>
      <c r="D5" s="18"/>
      <c r="E5" s="18"/>
      <c r="F5" s="4">
        <v>2</v>
      </c>
      <c r="G5" s="4">
        <v>1</v>
      </c>
      <c r="H5" s="4"/>
      <c r="I5" s="4"/>
      <c r="J5" s="4"/>
      <c r="K5" s="4"/>
      <c r="L5" s="4"/>
      <c r="M5" s="4"/>
      <c r="N5" s="4">
        <v>1</v>
      </c>
      <c r="O5" s="4">
        <v>1</v>
      </c>
      <c r="P5" s="4"/>
      <c r="Q5" s="4"/>
      <c r="R5" s="5" t="s">
        <v>14</v>
      </c>
      <c r="S5" s="19"/>
    </row>
    <row r="6" spans="1:19" ht="14.25" customHeight="1" x14ac:dyDescent="0.25">
      <c r="A6" s="4" t="s">
        <v>120</v>
      </c>
      <c r="B6" s="21"/>
      <c r="C6" s="8">
        <v>4</v>
      </c>
      <c r="D6" s="18"/>
      <c r="E6" s="18"/>
      <c r="F6" s="4">
        <v>2</v>
      </c>
      <c r="G6" s="4">
        <v>2</v>
      </c>
      <c r="H6" s="4"/>
      <c r="I6" s="4"/>
      <c r="J6" s="4"/>
      <c r="K6" s="4"/>
      <c r="L6" s="4"/>
      <c r="M6" s="4"/>
      <c r="N6" s="4"/>
      <c r="O6" s="4"/>
      <c r="P6" s="4"/>
      <c r="Q6" s="4"/>
      <c r="R6" s="5" t="s">
        <v>14</v>
      </c>
      <c r="S6" s="19"/>
    </row>
    <row r="7" spans="1:19" ht="14.25" customHeight="1" x14ac:dyDescent="0.25">
      <c r="A7" s="4" t="s">
        <v>122</v>
      </c>
      <c r="B7" s="21"/>
      <c r="C7" s="8">
        <v>4</v>
      </c>
      <c r="D7" s="17"/>
      <c r="E7" s="17"/>
      <c r="F7" s="4">
        <v>2</v>
      </c>
      <c r="G7" s="4">
        <v>2</v>
      </c>
      <c r="H7" s="4"/>
      <c r="I7" s="4"/>
      <c r="J7" s="4">
        <v>1</v>
      </c>
      <c r="K7" s="4"/>
      <c r="L7" s="4"/>
      <c r="M7" s="4"/>
      <c r="N7" s="4"/>
      <c r="O7" s="4"/>
      <c r="P7" s="4"/>
      <c r="Q7" s="4"/>
      <c r="R7" s="5" t="s">
        <v>14</v>
      </c>
      <c r="S7" s="29"/>
    </row>
    <row r="8" spans="1:19" ht="14.25" customHeight="1" x14ac:dyDescent="0.25">
      <c r="A8" s="4" t="s">
        <v>123</v>
      </c>
      <c r="B8" s="21"/>
      <c r="C8" s="8">
        <v>4</v>
      </c>
      <c r="D8" s="18"/>
      <c r="E8" s="18"/>
      <c r="F8" s="4">
        <v>2</v>
      </c>
      <c r="G8" s="4">
        <v>2</v>
      </c>
      <c r="H8" s="4"/>
      <c r="I8" s="4"/>
      <c r="J8" s="4"/>
      <c r="K8" s="4"/>
      <c r="L8" s="4"/>
      <c r="M8" s="4"/>
      <c r="N8" s="4"/>
      <c r="O8" s="4"/>
      <c r="P8" s="4"/>
      <c r="Q8" s="4"/>
      <c r="R8" s="5" t="s">
        <v>14</v>
      </c>
      <c r="S8" s="19"/>
    </row>
    <row r="9" spans="1:19" ht="14.25" customHeight="1" x14ac:dyDescent="0.25">
      <c r="A9" s="4" t="s">
        <v>124</v>
      </c>
      <c r="B9" s="21"/>
      <c r="C9" s="8">
        <v>4</v>
      </c>
      <c r="D9" s="18"/>
      <c r="E9" s="18"/>
      <c r="F9" s="4">
        <v>2</v>
      </c>
      <c r="G9" s="4">
        <v>2</v>
      </c>
      <c r="H9" s="4"/>
      <c r="I9" s="4"/>
      <c r="J9" s="4"/>
      <c r="K9" s="4"/>
      <c r="L9" s="4"/>
      <c r="M9" s="4"/>
      <c r="N9" s="4"/>
      <c r="O9" s="4"/>
      <c r="P9" s="4"/>
      <c r="Q9" s="4"/>
      <c r="R9" s="5" t="s">
        <v>14</v>
      </c>
      <c r="S9" s="19"/>
    </row>
    <row r="10" spans="1:19" ht="14.25" customHeight="1" x14ac:dyDescent="0.25">
      <c r="A10" s="4" t="s">
        <v>16</v>
      </c>
      <c r="B10" s="22"/>
      <c r="C10" s="8">
        <v>4</v>
      </c>
      <c r="D10" s="18"/>
      <c r="E10" s="18"/>
      <c r="F10" s="4">
        <v>2</v>
      </c>
      <c r="G10" s="4"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5" t="s">
        <v>14</v>
      </c>
      <c r="S10" s="19"/>
    </row>
    <row r="11" spans="1:19" ht="14.25" customHeight="1" x14ac:dyDescent="0.25">
      <c r="A11" s="4" t="s">
        <v>17</v>
      </c>
      <c r="B11" s="20" t="s">
        <v>18</v>
      </c>
      <c r="C11" s="8">
        <v>5</v>
      </c>
      <c r="D11" s="35"/>
      <c r="E11" s="35"/>
      <c r="F11" s="4">
        <v>2</v>
      </c>
      <c r="G11" s="4">
        <v>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5" t="s">
        <v>14</v>
      </c>
      <c r="S11" s="38"/>
    </row>
    <row r="12" spans="1:19" ht="14.25" customHeight="1" x14ac:dyDescent="0.25">
      <c r="A12" s="4" t="s">
        <v>19</v>
      </c>
      <c r="B12" s="21"/>
      <c r="C12" s="9">
        <v>5</v>
      </c>
      <c r="D12" s="36"/>
      <c r="E12" s="36"/>
      <c r="F12" s="4">
        <v>2</v>
      </c>
      <c r="G12" s="4">
        <v>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5" t="s">
        <v>14</v>
      </c>
      <c r="S12" s="39"/>
    </row>
    <row r="13" spans="1:19" ht="14.25" customHeight="1" x14ac:dyDescent="0.25">
      <c r="A13" s="4" t="s">
        <v>20</v>
      </c>
      <c r="B13" s="21"/>
      <c r="C13" s="9">
        <v>5</v>
      </c>
      <c r="D13" s="36"/>
      <c r="E13" s="36"/>
      <c r="F13" s="4">
        <v>2</v>
      </c>
      <c r="G13" s="4">
        <v>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5" t="s">
        <v>14</v>
      </c>
      <c r="S13" s="39"/>
    </row>
    <row r="14" spans="1:19" ht="14.25" customHeight="1" x14ac:dyDescent="0.25">
      <c r="A14" s="4" t="s">
        <v>21</v>
      </c>
      <c r="B14" s="21"/>
      <c r="C14" s="9">
        <v>5</v>
      </c>
      <c r="D14" s="37"/>
      <c r="E14" s="37"/>
      <c r="F14" s="4">
        <v>2</v>
      </c>
      <c r="G14" s="4">
        <v>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5" t="s">
        <v>14</v>
      </c>
      <c r="S14" s="40"/>
    </row>
    <row r="15" spans="1:19" ht="14.25" customHeight="1" x14ac:dyDescent="0.25">
      <c r="A15" s="4" t="s">
        <v>22</v>
      </c>
      <c r="B15" s="21"/>
      <c r="C15" s="9">
        <v>5</v>
      </c>
      <c r="D15" s="17"/>
      <c r="E15" s="17"/>
      <c r="F15" s="4">
        <v>2</v>
      </c>
      <c r="G15" s="4">
        <v>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5" t="s">
        <v>14</v>
      </c>
      <c r="S15" s="16"/>
    </row>
    <row r="16" spans="1:19" ht="14.25" customHeight="1" x14ac:dyDescent="0.25">
      <c r="A16" s="4" t="s">
        <v>23</v>
      </c>
      <c r="B16" s="21"/>
      <c r="C16" s="9">
        <v>5</v>
      </c>
      <c r="D16" s="18"/>
      <c r="E16" s="18"/>
      <c r="F16" s="4">
        <v>2</v>
      </c>
      <c r="G16" s="4">
        <v>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5" t="s">
        <v>14</v>
      </c>
      <c r="S16" s="19"/>
    </row>
    <row r="17" spans="1:19" ht="14.25" customHeight="1" x14ac:dyDescent="0.25">
      <c r="A17" s="4" t="s">
        <v>24</v>
      </c>
      <c r="B17" s="22"/>
      <c r="C17" s="10">
        <v>5</v>
      </c>
      <c r="D17" s="18"/>
      <c r="E17" s="18"/>
      <c r="F17" s="4">
        <v>2</v>
      </c>
      <c r="G17" s="4">
        <v>1</v>
      </c>
      <c r="H17" s="4"/>
      <c r="I17" s="4"/>
      <c r="J17" s="4">
        <v>1</v>
      </c>
      <c r="K17" s="4">
        <v>1</v>
      </c>
      <c r="L17" s="4"/>
      <c r="M17" s="4"/>
      <c r="N17" s="4">
        <v>1</v>
      </c>
      <c r="O17" s="4">
        <v>1</v>
      </c>
      <c r="P17" s="4"/>
      <c r="Q17" s="4"/>
      <c r="R17" s="5" t="s">
        <v>14</v>
      </c>
      <c r="S17" s="19"/>
    </row>
    <row r="18" spans="1:19" ht="14.25" customHeight="1" x14ac:dyDescent="0.25">
      <c r="A18" s="4" t="s">
        <v>25</v>
      </c>
      <c r="B18" s="20" t="s">
        <v>26</v>
      </c>
      <c r="C18" s="8">
        <v>6</v>
      </c>
      <c r="D18" s="17"/>
      <c r="E18" s="17"/>
      <c r="F18" s="4">
        <v>2</v>
      </c>
      <c r="G18" s="4">
        <v>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5" t="s">
        <v>14</v>
      </c>
      <c r="S18" s="29"/>
    </row>
    <row r="19" spans="1:19" ht="14.25" customHeight="1" x14ac:dyDescent="0.25">
      <c r="A19" s="4" t="s">
        <v>27</v>
      </c>
      <c r="B19" s="21"/>
      <c r="C19" s="9">
        <v>6</v>
      </c>
      <c r="D19" s="34"/>
      <c r="E19" s="34"/>
      <c r="F19" s="4">
        <v>2</v>
      </c>
      <c r="G19" s="4">
        <v>1</v>
      </c>
      <c r="H19" s="4"/>
      <c r="I19" s="4">
        <v>1</v>
      </c>
      <c r="J19" s="4">
        <v>1</v>
      </c>
      <c r="K19" s="4">
        <v>1</v>
      </c>
      <c r="L19" s="4"/>
      <c r="M19" s="4"/>
      <c r="N19" s="4"/>
      <c r="O19" s="4"/>
      <c r="P19" s="4"/>
      <c r="Q19" s="4"/>
      <c r="R19" s="5" t="s">
        <v>14</v>
      </c>
      <c r="S19" s="29"/>
    </row>
    <row r="20" spans="1:19" ht="14.25" customHeight="1" x14ac:dyDescent="0.25">
      <c r="A20" s="4" t="s">
        <v>28</v>
      </c>
      <c r="B20" s="21"/>
      <c r="C20" s="9">
        <v>6</v>
      </c>
      <c r="D20" s="34"/>
      <c r="E20" s="34"/>
      <c r="F20" s="4">
        <v>2</v>
      </c>
      <c r="G20" s="4">
        <v>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5" t="s">
        <v>14</v>
      </c>
      <c r="S20" s="29"/>
    </row>
    <row r="21" spans="1:19" ht="14.25" customHeight="1" x14ac:dyDescent="0.25">
      <c r="A21" s="4" t="s">
        <v>29</v>
      </c>
      <c r="B21" s="22"/>
      <c r="C21" s="10">
        <v>6</v>
      </c>
      <c r="D21" s="34"/>
      <c r="E21" s="34"/>
      <c r="F21" s="4">
        <v>2</v>
      </c>
      <c r="G21" s="4">
        <v>1</v>
      </c>
      <c r="H21" s="4"/>
      <c r="I21" s="4"/>
      <c r="J21" s="4"/>
      <c r="K21" s="4"/>
      <c r="L21" s="4"/>
      <c r="M21" s="4"/>
      <c r="N21" s="4">
        <v>1</v>
      </c>
      <c r="O21" s="4"/>
      <c r="P21" s="4"/>
      <c r="Q21" s="4"/>
      <c r="R21" s="5" t="s">
        <v>14</v>
      </c>
      <c r="S21" s="29"/>
    </row>
    <row r="22" spans="1:19" ht="14.25" customHeight="1" x14ac:dyDescent="0.25">
      <c r="A22" s="4" t="s">
        <v>30</v>
      </c>
      <c r="B22" s="20" t="s">
        <v>31</v>
      </c>
      <c r="C22" s="8">
        <v>7</v>
      </c>
      <c r="D22" s="17"/>
      <c r="E22" s="17"/>
      <c r="F22" s="4">
        <v>2</v>
      </c>
      <c r="G22" s="4">
        <v>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5" t="s">
        <v>14</v>
      </c>
      <c r="S22" s="30"/>
    </row>
    <row r="23" spans="1:19" ht="14.25" customHeight="1" x14ac:dyDescent="0.25">
      <c r="A23" s="4" t="s">
        <v>32</v>
      </c>
      <c r="B23" s="21"/>
      <c r="C23" s="9">
        <v>7</v>
      </c>
      <c r="D23" s="18"/>
      <c r="E23" s="18"/>
      <c r="F23" s="4">
        <v>2</v>
      </c>
      <c r="G23" s="4">
        <v>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5" t="s">
        <v>14</v>
      </c>
      <c r="S23" s="19"/>
    </row>
    <row r="24" spans="1:19" ht="14.25" customHeight="1" x14ac:dyDescent="0.25">
      <c r="A24" s="4" t="s">
        <v>33</v>
      </c>
      <c r="B24" s="21"/>
      <c r="C24" s="9">
        <v>7</v>
      </c>
      <c r="D24" s="18"/>
      <c r="E24" s="18"/>
      <c r="F24" s="4">
        <v>2</v>
      </c>
      <c r="G24" s="4">
        <v>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5" t="s">
        <v>14</v>
      </c>
      <c r="S24" s="19"/>
    </row>
    <row r="25" spans="1:19" ht="14.25" customHeight="1" x14ac:dyDescent="0.25">
      <c r="A25" s="4" t="s">
        <v>34</v>
      </c>
      <c r="B25" s="22"/>
      <c r="C25" s="10">
        <v>7</v>
      </c>
      <c r="D25" s="18"/>
      <c r="E25" s="18"/>
      <c r="F25" s="4">
        <v>2</v>
      </c>
      <c r="G25" s="4">
        <v>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5" t="s">
        <v>14</v>
      </c>
      <c r="S25" s="19"/>
    </row>
    <row r="26" spans="1:19" ht="14.25" customHeight="1" x14ac:dyDescent="0.25">
      <c r="A26" s="4" t="s">
        <v>35</v>
      </c>
      <c r="B26" s="20" t="s">
        <v>36</v>
      </c>
      <c r="C26" s="8">
        <v>8</v>
      </c>
      <c r="D26" s="35"/>
      <c r="E26" s="35"/>
      <c r="F26" s="4">
        <v>2</v>
      </c>
      <c r="G26" s="4">
        <v>1</v>
      </c>
      <c r="H26" s="4"/>
      <c r="I26" s="4"/>
      <c r="J26" s="4">
        <v>1</v>
      </c>
      <c r="K26" s="4"/>
      <c r="L26" s="4"/>
      <c r="M26" s="4"/>
      <c r="N26" s="4"/>
      <c r="O26" s="4"/>
      <c r="P26" s="4"/>
      <c r="Q26" s="4"/>
      <c r="R26" s="5" t="s">
        <v>14</v>
      </c>
      <c r="S26" s="38"/>
    </row>
    <row r="27" spans="1:19" ht="14.25" customHeight="1" x14ac:dyDescent="0.25">
      <c r="A27" s="4" t="s">
        <v>37</v>
      </c>
      <c r="B27" s="21"/>
      <c r="C27" s="9">
        <v>8</v>
      </c>
      <c r="D27" s="36"/>
      <c r="E27" s="36"/>
      <c r="F27" s="4">
        <v>2</v>
      </c>
      <c r="G27" s="4">
        <v>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5" t="s">
        <v>14</v>
      </c>
      <c r="S27" s="39"/>
    </row>
    <row r="28" spans="1:19" ht="14.25" customHeight="1" x14ac:dyDescent="0.25">
      <c r="A28" s="4" t="s">
        <v>38</v>
      </c>
      <c r="B28" s="21"/>
      <c r="C28" s="9">
        <v>8</v>
      </c>
      <c r="D28" s="36"/>
      <c r="E28" s="36"/>
      <c r="F28" s="4">
        <v>2</v>
      </c>
      <c r="G28" s="4">
        <v>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5" t="s">
        <v>14</v>
      </c>
      <c r="S28" s="39"/>
    </row>
    <row r="29" spans="1:19" ht="14.25" customHeight="1" x14ac:dyDescent="0.25">
      <c r="A29" s="4" t="s">
        <v>39</v>
      </c>
      <c r="B29" s="22"/>
      <c r="C29" s="10">
        <v>8</v>
      </c>
      <c r="D29" s="37"/>
      <c r="E29" s="37"/>
      <c r="F29" s="4">
        <v>2</v>
      </c>
      <c r="G29" s="4">
        <v>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5" t="s">
        <v>14</v>
      </c>
      <c r="S29" s="40"/>
    </row>
    <row r="30" spans="1:19" ht="14.25" customHeight="1" x14ac:dyDescent="0.25">
      <c r="A30" s="4" t="s">
        <v>125</v>
      </c>
      <c r="B30" s="23" t="s">
        <v>40</v>
      </c>
      <c r="C30" s="8">
        <v>11</v>
      </c>
      <c r="D30" s="17"/>
      <c r="E30" s="17"/>
      <c r="F30" s="4">
        <v>2</v>
      </c>
      <c r="G30" s="4">
        <v>2</v>
      </c>
      <c r="H30" s="4"/>
      <c r="I30" s="4"/>
      <c r="J30" s="4"/>
      <c r="K30" s="4"/>
      <c r="L30" s="4"/>
      <c r="M30" s="4"/>
      <c r="N30" s="4">
        <v>1</v>
      </c>
      <c r="O30" s="4"/>
      <c r="P30" s="4"/>
      <c r="Q30" s="4"/>
      <c r="R30" s="5" t="s">
        <v>14</v>
      </c>
      <c r="S30" s="30"/>
    </row>
    <row r="31" spans="1:19" ht="14.25" customHeight="1" x14ac:dyDescent="0.25">
      <c r="A31" s="4" t="s">
        <v>126</v>
      </c>
      <c r="B31" s="24"/>
      <c r="C31" s="9">
        <v>11</v>
      </c>
      <c r="D31" s="18"/>
      <c r="E31" s="18"/>
      <c r="F31" s="4">
        <v>2</v>
      </c>
      <c r="G31" s="4">
        <v>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5" t="s">
        <v>14</v>
      </c>
      <c r="S31" s="19"/>
    </row>
    <row r="32" spans="1:19" ht="14.25" customHeight="1" x14ac:dyDescent="0.25">
      <c r="A32" s="4" t="s">
        <v>127</v>
      </c>
      <c r="B32" s="24"/>
      <c r="C32" s="9">
        <v>11</v>
      </c>
      <c r="D32" s="18"/>
      <c r="E32" s="18"/>
      <c r="F32" s="4">
        <v>2</v>
      </c>
      <c r="G32" s="4">
        <v>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5" t="s">
        <v>14</v>
      </c>
      <c r="S32" s="19"/>
    </row>
    <row r="33" spans="1:19" ht="14.25" customHeight="1" x14ac:dyDescent="0.25">
      <c r="A33" s="4" t="s">
        <v>128</v>
      </c>
      <c r="B33" s="24"/>
      <c r="C33" s="9">
        <v>11</v>
      </c>
      <c r="D33" s="18"/>
      <c r="E33" s="18"/>
      <c r="F33" s="4">
        <v>2</v>
      </c>
      <c r="G33" s="4">
        <v>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5" t="s">
        <v>14</v>
      </c>
      <c r="S33" s="19"/>
    </row>
    <row r="34" spans="1:19" ht="14.25" customHeight="1" x14ac:dyDescent="0.25">
      <c r="A34" s="4" t="s">
        <v>41</v>
      </c>
      <c r="B34" s="24"/>
      <c r="C34" s="9">
        <v>11</v>
      </c>
      <c r="D34" s="17"/>
      <c r="E34" s="17"/>
      <c r="F34" s="4">
        <v>2</v>
      </c>
      <c r="G34" s="4">
        <v>1</v>
      </c>
      <c r="H34" s="4"/>
      <c r="I34" s="4">
        <v>1</v>
      </c>
      <c r="J34" s="4">
        <v>1</v>
      </c>
      <c r="K34" s="4"/>
      <c r="L34" s="4"/>
      <c r="M34" s="4"/>
      <c r="N34" s="4"/>
      <c r="O34" s="4"/>
      <c r="P34" s="4"/>
      <c r="Q34" s="4"/>
      <c r="R34" s="5" t="s">
        <v>14</v>
      </c>
      <c r="S34" s="30"/>
    </row>
    <row r="35" spans="1:19" ht="14.25" customHeight="1" x14ac:dyDescent="0.25">
      <c r="A35" s="4" t="s">
        <v>42</v>
      </c>
      <c r="B35" s="24"/>
      <c r="C35" s="9">
        <v>11</v>
      </c>
      <c r="D35" s="18"/>
      <c r="E35" s="18"/>
      <c r="F35" s="4">
        <v>2</v>
      </c>
      <c r="G35" s="4">
        <v>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5" t="s">
        <v>14</v>
      </c>
      <c r="S35" s="30"/>
    </row>
    <row r="36" spans="1:19" ht="14.25" customHeight="1" x14ac:dyDescent="0.25">
      <c r="A36" s="4" t="s">
        <v>43</v>
      </c>
      <c r="B36" s="24"/>
      <c r="C36" s="9">
        <v>11</v>
      </c>
      <c r="D36" s="18"/>
      <c r="E36" s="18"/>
      <c r="F36" s="4">
        <v>2</v>
      </c>
      <c r="G36" s="4">
        <v>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5" t="s">
        <v>14</v>
      </c>
      <c r="S36" s="30"/>
    </row>
    <row r="37" spans="1:19" ht="14.25" customHeight="1" x14ac:dyDescent="0.25">
      <c r="A37" s="4" t="s">
        <v>44</v>
      </c>
      <c r="B37" s="25"/>
      <c r="C37" s="10">
        <v>11</v>
      </c>
      <c r="D37" s="18"/>
      <c r="E37" s="18"/>
      <c r="F37" s="4">
        <v>2</v>
      </c>
      <c r="G37" s="4">
        <v>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5" t="s">
        <v>14</v>
      </c>
      <c r="S37" s="30"/>
    </row>
    <row r="38" spans="1:19" ht="14.25" customHeight="1" x14ac:dyDescent="0.25">
      <c r="A38" s="4" t="s">
        <v>45</v>
      </c>
      <c r="B38" s="23" t="s">
        <v>46</v>
      </c>
      <c r="C38" s="8">
        <v>12</v>
      </c>
      <c r="D38" s="17"/>
      <c r="E38" s="17"/>
      <c r="F38" s="4">
        <v>2</v>
      </c>
      <c r="G38" s="4">
        <v>1</v>
      </c>
      <c r="H38" s="4"/>
      <c r="I38" s="4"/>
      <c r="J38" s="4"/>
      <c r="K38" s="4"/>
      <c r="L38" s="4"/>
      <c r="M38" s="4"/>
      <c r="N38" s="4">
        <v>1</v>
      </c>
      <c r="O38" s="4">
        <v>1</v>
      </c>
      <c r="P38" s="4"/>
      <c r="Q38" s="4"/>
      <c r="R38" s="5" t="s">
        <v>14</v>
      </c>
      <c r="S38" s="16"/>
    </row>
    <row r="39" spans="1:19" ht="14.25" customHeight="1" x14ac:dyDescent="0.25">
      <c r="A39" s="4" t="s">
        <v>47</v>
      </c>
      <c r="B39" s="24"/>
      <c r="C39" s="9">
        <v>12</v>
      </c>
      <c r="D39" s="17"/>
      <c r="E39" s="17"/>
      <c r="F39" s="4">
        <v>2</v>
      </c>
      <c r="G39" s="4">
        <v>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5" t="s">
        <v>14</v>
      </c>
      <c r="S39" s="16"/>
    </row>
    <row r="40" spans="1:19" ht="14.25" customHeight="1" x14ac:dyDescent="0.25">
      <c r="A40" s="4" t="s">
        <v>48</v>
      </c>
      <c r="B40" s="24"/>
      <c r="C40" s="9">
        <v>12</v>
      </c>
      <c r="D40" s="17"/>
      <c r="E40" s="17"/>
      <c r="F40" s="4">
        <v>2</v>
      </c>
      <c r="G40" s="4">
        <v>1</v>
      </c>
      <c r="H40" s="4"/>
      <c r="I40" s="4"/>
      <c r="J40" s="4">
        <v>1</v>
      </c>
      <c r="K40" s="4">
        <v>1</v>
      </c>
      <c r="L40" s="4"/>
      <c r="M40" s="4"/>
      <c r="N40" s="4"/>
      <c r="O40" s="4"/>
      <c r="P40" s="4"/>
      <c r="Q40" s="4"/>
      <c r="R40" s="5" t="s">
        <v>14</v>
      </c>
      <c r="S40" s="16"/>
    </row>
    <row r="41" spans="1:19" ht="14.25" customHeight="1" x14ac:dyDescent="0.25">
      <c r="A41" s="4" t="s">
        <v>49</v>
      </c>
      <c r="B41" s="24"/>
      <c r="C41" s="9">
        <v>12</v>
      </c>
      <c r="D41" s="17"/>
      <c r="E41" s="17"/>
      <c r="F41" s="4">
        <v>2</v>
      </c>
      <c r="G41" s="4">
        <v>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5" t="s">
        <v>14</v>
      </c>
      <c r="S41" s="16"/>
    </row>
    <row r="42" spans="1:19" ht="14.25" customHeight="1" x14ac:dyDescent="0.25">
      <c r="A42" s="4" t="s">
        <v>50</v>
      </c>
      <c r="B42" s="24"/>
      <c r="C42" s="9">
        <v>12</v>
      </c>
      <c r="D42" s="17"/>
      <c r="E42" s="17"/>
      <c r="F42" s="4">
        <v>2</v>
      </c>
      <c r="G42" s="4">
        <v>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5" t="s">
        <v>14</v>
      </c>
      <c r="S42" s="16"/>
    </row>
    <row r="43" spans="1:19" ht="14.25" customHeight="1" x14ac:dyDescent="0.25">
      <c r="A43" s="4" t="s">
        <v>51</v>
      </c>
      <c r="B43" s="24"/>
      <c r="C43" s="9">
        <v>12</v>
      </c>
      <c r="D43" s="17"/>
      <c r="E43" s="17"/>
      <c r="F43" s="4">
        <v>2</v>
      </c>
      <c r="G43" s="4">
        <v>1</v>
      </c>
      <c r="H43" s="4"/>
      <c r="I43" s="4"/>
      <c r="J43" s="4">
        <v>1</v>
      </c>
      <c r="K43" s="4">
        <v>1</v>
      </c>
      <c r="L43" s="4"/>
      <c r="M43" s="4"/>
      <c r="N43" s="4"/>
      <c r="O43" s="4"/>
      <c r="P43" s="4"/>
      <c r="Q43" s="4"/>
      <c r="R43" s="5" t="s">
        <v>14</v>
      </c>
      <c r="S43" s="16"/>
    </row>
    <row r="44" spans="1:19" ht="14.25" customHeight="1" x14ac:dyDescent="0.25">
      <c r="A44" s="4" t="s">
        <v>52</v>
      </c>
      <c r="B44" s="24"/>
      <c r="C44" s="9">
        <v>12</v>
      </c>
      <c r="D44" s="17"/>
      <c r="E44" s="17"/>
      <c r="F44" s="4">
        <v>2</v>
      </c>
      <c r="G44" s="4">
        <v>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5" t="s">
        <v>14</v>
      </c>
      <c r="S44" s="16"/>
    </row>
    <row r="45" spans="1:19" ht="14.25" customHeight="1" x14ac:dyDescent="0.25">
      <c r="A45" s="4" t="s">
        <v>53</v>
      </c>
      <c r="B45" s="24"/>
      <c r="C45" s="9">
        <v>12</v>
      </c>
      <c r="D45" s="17"/>
      <c r="E45" s="17"/>
      <c r="F45" s="4">
        <v>2</v>
      </c>
      <c r="G45" s="4">
        <v>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5" t="s">
        <v>14</v>
      </c>
      <c r="S45" s="16"/>
    </row>
    <row r="46" spans="1:19" ht="14.25" customHeight="1" x14ac:dyDescent="0.25">
      <c r="A46" s="4" t="s">
        <v>54</v>
      </c>
      <c r="B46" s="24"/>
      <c r="C46" s="9">
        <v>12</v>
      </c>
      <c r="D46" s="17"/>
      <c r="E46" s="17"/>
      <c r="F46" s="4">
        <v>2</v>
      </c>
      <c r="G46" s="4">
        <v>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5" t="s">
        <v>14</v>
      </c>
      <c r="S46" s="16"/>
    </row>
    <row r="47" spans="1:19" ht="14.25" customHeight="1" x14ac:dyDescent="0.25">
      <c r="A47" s="4" t="s">
        <v>55</v>
      </c>
      <c r="B47" s="25"/>
      <c r="C47" s="10">
        <v>12</v>
      </c>
      <c r="D47" s="17"/>
      <c r="E47" s="17"/>
      <c r="F47" s="4">
        <v>2</v>
      </c>
      <c r="G47" s="4">
        <v>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5" t="s">
        <v>14</v>
      </c>
      <c r="S47" s="16"/>
    </row>
    <row r="48" spans="1:19" ht="14.25" customHeight="1" x14ac:dyDescent="0.25">
      <c r="A48" s="4" t="s">
        <v>56</v>
      </c>
      <c r="B48" s="20" t="s">
        <v>57</v>
      </c>
      <c r="C48" s="8">
        <v>13</v>
      </c>
      <c r="D48" s="17"/>
      <c r="E48" s="17"/>
      <c r="F48" s="4">
        <v>2</v>
      </c>
      <c r="G48" s="4">
        <v>1</v>
      </c>
      <c r="H48" s="4"/>
      <c r="I48" s="4">
        <v>1</v>
      </c>
      <c r="J48" s="4"/>
      <c r="K48" s="4"/>
      <c r="L48" s="4"/>
      <c r="M48" s="4"/>
      <c r="N48" s="4"/>
      <c r="O48" s="4"/>
      <c r="P48" s="4"/>
      <c r="Q48" s="4"/>
      <c r="R48" s="5" t="s">
        <v>14</v>
      </c>
      <c r="S48" s="16"/>
    </row>
    <row r="49" spans="1:19" ht="14.25" customHeight="1" x14ac:dyDescent="0.25">
      <c r="A49" s="4" t="s">
        <v>58</v>
      </c>
      <c r="B49" s="21"/>
      <c r="C49" s="9">
        <v>13</v>
      </c>
      <c r="D49" s="18"/>
      <c r="E49" s="18"/>
      <c r="F49" s="4">
        <v>2</v>
      </c>
      <c r="G49" s="4">
        <v>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5" t="s">
        <v>14</v>
      </c>
      <c r="S49" s="19"/>
    </row>
    <row r="50" spans="1:19" ht="14.25" customHeight="1" x14ac:dyDescent="0.25">
      <c r="A50" s="4" t="s">
        <v>59</v>
      </c>
      <c r="B50" s="21"/>
      <c r="C50" s="9">
        <v>13</v>
      </c>
      <c r="D50" s="18"/>
      <c r="E50" s="18"/>
      <c r="F50" s="4">
        <v>2</v>
      </c>
      <c r="G50" s="4">
        <v>1</v>
      </c>
      <c r="H50" s="4"/>
      <c r="I50" s="4">
        <v>1</v>
      </c>
      <c r="J50" s="4"/>
      <c r="K50" s="4"/>
      <c r="L50" s="4"/>
      <c r="M50" s="4"/>
      <c r="N50" s="4"/>
      <c r="O50" s="4"/>
      <c r="P50" s="4"/>
      <c r="Q50" s="4"/>
      <c r="R50" s="5" t="s">
        <v>14</v>
      </c>
      <c r="S50" s="19"/>
    </row>
    <row r="51" spans="1:19" ht="14.25" customHeight="1" x14ac:dyDescent="0.25">
      <c r="A51" s="4" t="s">
        <v>60</v>
      </c>
      <c r="B51" s="21"/>
      <c r="C51" s="9">
        <v>13</v>
      </c>
      <c r="D51" s="18"/>
      <c r="E51" s="18"/>
      <c r="F51" s="4">
        <v>2</v>
      </c>
      <c r="G51" s="4">
        <v>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5" t="s">
        <v>14</v>
      </c>
      <c r="S51" s="19"/>
    </row>
    <row r="52" spans="1:19" ht="14.25" customHeight="1" x14ac:dyDescent="0.25">
      <c r="A52" s="4" t="s">
        <v>61</v>
      </c>
      <c r="B52" s="22"/>
      <c r="C52" s="10">
        <v>13</v>
      </c>
      <c r="D52" s="18"/>
      <c r="E52" s="18"/>
      <c r="F52" s="4">
        <v>2</v>
      </c>
      <c r="G52" s="4">
        <v>1</v>
      </c>
      <c r="H52" s="4"/>
      <c r="I52" s="4"/>
      <c r="J52" s="4">
        <v>1</v>
      </c>
      <c r="K52" s="4">
        <v>1</v>
      </c>
      <c r="L52" s="4"/>
      <c r="M52" s="4"/>
      <c r="N52" s="4"/>
      <c r="O52" s="4"/>
      <c r="P52" s="4"/>
      <c r="Q52" s="4"/>
      <c r="R52" s="5" t="s">
        <v>14</v>
      </c>
      <c r="S52" s="19"/>
    </row>
    <row r="53" spans="1:19" ht="14.25" customHeight="1" x14ac:dyDescent="0.25">
      <c r="A53" s="4" t="s">
        <v>62</v>
      </c>
      <c r="B53" s="20" t="s">
        <v>63</v>
      </c>
      <c r="C53" s="8">
        <v>14</v>
      </c>
      <c r="D53" s="17"/>
      <c r="E53" s="17"/>
      <c r="F53" s="4">
        <v>2</v>
      </c>
      <c r="G53" s="4">
        <v>1</v>
      </c>
      <c r="H53" s="4"/>
      <c r="I53" s="4"/>
      <c r="J53" s="4">
        <v>1</v>
      </c>
      <c r="K53" s="4">
        <v>1</v>
      </c>
      <c r="L53" s="4"/>
      <c r="M53" s="4"/>
      <c r="N53" s="4">
        <v>1</v>
      </c>
      <c r="O53" s="4"/>
      <c r="P53" s="4"/>
      <c r="Q53" s="4"/>
      <c r="R53" s="5" t="s">
        <v>14</v>
      </c>
      <c r="S53" s="16"/>
    </row>
    <row r="54" spans="1:19" ht="14.25" customHeight="1" x14ac:dyDescent="0.25">
      <c r="A54" s="4" t="s">
        <v>64</v>
      </c>
      <c r="B54" s="21"/>
      <c r="C54" s="9">
        <v>14</v>
      </c>
      <c r="D54" s="17"/>
      <c r="E54" s="17"/>
      <c r="F54" s="4">
        <v>2</v>
      </c>
      <c r="G54" s="4">
        <v>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5" t="s">
        <v>14</v>
      </c>
      <c r="S54" s="16"/>
    </row>
    <row r="55" spans="1:19" ht="14.25" customHeight="1" x14ac:dyDescent="0.25">
      <c r="A55" s="4" t="s">
        <v>65</v>
      </c>
      <c r="B55" s="21"/>
      <c r="C55" s="9">
        <v>14</v>
      </c>
      <c r="D55" s="17"/>
      <c r="E55" s="17"/>
      <c r="F55" s="4">
        <v>2</v>
      </c>
      <c r="G55" s="4">
        <v>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5" t="s">
        <v>14</v>
      </c>
      <c r="S55" s="16"/>
    </row>
    <row r="56" spans="1:19" ht="14.25" customHeight="1" x14ac:dyDescent="0.25">
      <c r="A56" s="4" t="s">
        <v>66</v>
      </c>
      <c r="B56" s="22"/>
      <c r="C56" s="10">
        <v>14</v>
      </c>
      <c r="D56" s="17"/>
      <c r="E56" s="17"/>
      <c r="F56" s="4">
        <v>2</v>
      </c>
      <c r="G56" s="4">
        <v>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5" t="s">
        <v>14</v>
      </c>
      <c r="S56" s="16"/>
    </row>
    <row r="57" spans="1:19" ht="14.25" customHeight="1" x14ac:dyDescent="0.25">
      <c r="A57" s="4" t="s">
        <v>67</v>
      </c>
      <c r="B57" s="23" t="s">
        <v>68</v>
      </c>
      <c r="C57" s="8">
        <v>15</v>
      </c>
      <c r="D57" s="17"/>
      <c r="E57" s="17"/>
      <c r="F57" s="4">
        <v>2</v>
      </c>
      <c r="G57" s="4">
        <v>1</v>
      </c>
      <c r="H57" s="4"/>
      <c r="I57" s="4"/>
      <c r="J57" s="4"/>
      <c r="K57" s="4"/>
      <c r="L57" s="4"/>
      <c r="M57" s="4"/>
      <c r="N57" s="4">
        <v>1</v>
      </c>
      <c r="O57" s="4"/>
      <c r="P57" s="4"/>
      <c r="Q57" s="4"/>
      <c r="R57" s="5" t="s">
        <v>14</v>
      </c>
      <c r="S57" s="30"/>
    </row>
    <row r="58" spans="1:19" ht="14.25" customHeight="1" x14ac:dyDescent="0.25">
      <c r="A58" s="4" t="s">
        <v>69</v>
      </c>
      <c r="B58" s="24"/>
      <c r="C58" s="9">
        <v>15</v>
      </c>
      <c r="D58" s="18"/>
      <c r="E58" s="18"/>
      <c r="F58" s="4">
        <v>2</v>
      </c>
      <c r="G58" s="4">
        <v>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5" t="s">
        <v>14</v>
      </c>
      <c r="S58" s="19"/>
    </row>
    <row r="59" spans="1:19" ht="14.25" customHeight="1" x14ac:dyDescent="0.25">
      <c r="A59" s="4" t="s">
        <v>70</v>
      </c>
      <c r="B59" s="24"/>
      <c r="C59" s="9">
        <v>15</v>
      </c>
      <c r="D59" s="18"/>
      <c r="E59" s="18"/>
      <c r="F59" s="4">
        <v>2</v>
      </c>
      <c r="G59" s="4">
        <v>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5" t="s">
        <v>14</v>
      </c>
      <c r="S59" s="19"/>
    </row>
    <row r="60" spans="1:19" ht="14.25" customHeight="1" x14ac:dyDescent="0.25">
      <c r="A60" s="4" t="s">
        <v>71</v>
      </c>
      <c r="B60" s="25"/>
      <c r="C60" s="10">
        <v>15</v>
      </c>
      <c r="D60" s="18"/>
      <c r="E60" s="18"/>
      <c r="F60" s="4">
        <v>2</v>
      </c>
      <c r="G60" s="4">
        <v>1</v>
      </c>
      <c r="H60" s="4"/>
      <c r="I60" s="4"/>
      <c r="J60" s="4">
        <v>1</v>
      </c>
      <c r="K60" s="4"/>
      <c r="L60" s="4"/>
      <c r="M60" s="4"/>
      <c r="N60" s="4"/>
      <c r="O60" s="4"/>
      <c r="P60" s="4"/>
      <c r="Q60" s="4"/>
      <c r="R60" s="5" t="s">
        <v>14</v>
      </c>
      <c r="S60" s="19"/>
    </row>
    <row r="61" spans="1:19" ht="14.25" customHeight="1" x14ac:dyDescent="0.25">
      <c r="A61" s="4" t="s">
        <v>129</v>
      </c>
      <c r="B61" s="20" t="s">
        <v>72</v>
      </c>
      <c r="C61" s="8">
        <v>19</v>
      </c>
      <c r="D61" s="17"/>
      <c r="E61" s="17"/>
      <c r="F61" s="4">
        <v>2</v>
      </c>
      <c r="G61" s="4">
        <v>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5" t="s">
        <v>14</v>
      </c>
      <c r="S61" s="30"/>
    </row>
    <row r="62" spans="1:19" ht="14.25" customHeight="1" x14ac:dyDescent="0.25">
      <c r="A62" s="4" t="s">
        <v>130</v>
      </c>
      <c r="B62" s="21"/>
      <c r="C62" s="9">
        <v>19</v>
      </c>
      <c r="D62" s="18"/>
      <c r="E62" s="18"/>
      <c r="F62" s="4">
        <v>2</v>
      </c>
      <c r="G62" s="4">
        <v>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5" t="s">
        <v>14</v>
      </c>
      <c r="S62" s="19"/>
    </row>
    <row r="63" spans="1:19" ht="14.25" customHeight="1" x14ac:dyDescent="0.25">
      <c r="A63" s="4" t="s">
        <v>73</v>
      </c>
      <c r="B63" s="21"/>
      <c r="C63" s="9">
        <v>19</v>
      </c>
      <c r="D63" s="18"/>
      <c r="E63" s="18"/>
      <c r="F63" s="4">
        <v>2</v>
      </c>
      <c r="G63" s="4">
        <v>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5" t="s">
        <v>14</v>
      </c>
      <c r="S63" s="19"/>
    </row>
    <row r="64" spans="1:19" ht="14.25" customHeight="1" x14ac:dyDescent="0.25">
      <c r="A64" s="4" t="s">
        <v>74</v>
      </c>
      <c r="B64" s="21"/>
      <c r="C64" s="9">
        <v>19</v>
      </c>
      <c r="D64" s="18"/>
      <c r="E64" s="18"/>
      <c r="F64" s="4">
        <v>2</v>
      </c>
      <c r="G64" s="4">
        <v>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5" t="s">
        <v>14</v>
      </c>
      <c r="S64" s="19"/>
    </row>
    <row r="65" spans="1:19" ht="14.25" customHeight="1" x14ac:dyDescent="0.25">
      <c r="A65" s="4" t="s">
        <v>75</v>
      </c>
      <c r="B65" s="22"/>
      <c r="C65" s="10">
        <v>19</v>
      </c>
      <c r="D65" s="18"/>
      <c r="E65" s="18"/>
      <c r="F65" s="4">
        <v>2</v>
      </c>
      <c r="G65" s="4">
        <v>1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5" t="s">
        <v>14</v>
      </c>
      <c r="S65" s="19"/>
    </row>
    <row r="66" spans="1:19" ht="14.25" customHeight="1" x14ac:dyDescent="0.25">
      <c r="A66" s="4" t="s">
        <v>76</v>
      </c>
      <c r="B66" s="23" t="s">
        <v>77</v>
      </c>
      <c r="C66" s="8">
        <v>20</v>
      </c>
      <c r="D66" s="17"/>
      <c r="E66" s="17"/>
      <c r="F66" s="4">
        <v>2</v>
      </c>
      <c r="G66" s="4">
        <v>1</v>
      </c>
      <c r="H66" s="4"/>
      <c r="I66" s="4">
        <v>1</v>
      </c>
      <c r="J66" s="4"/>
      <c r="K66" s="4"/>
      <c r="L66" s="4"/>
      <c r="M66" s="4"/>
      <c r="N66" s="4"/>
      <c r="O66" s="4"/>
      <c r="P66" s="4"/>
      <c r="Q66" s="4"/>
      <c r="R66" s="5" t="s">
        <v>14</v>
      </c>
      <c r="S66" s="30"/>
    </row>
    <row r="67" spans="1:19" ht="14.25" customHeight="1" x14ac:dyDescent="0.25">
      <c r="A67" s="4" t="s">
        <v>78</v>
      </c>
      <c r="B67" s="24"/>
      <c r="C67" s="9">
        <v>20</v>
      </c>
      <c r="D67" s="18"/>
      <c r="E67" s="18"/>
      <c r="F67" s="4">
        <v>2</v>
      </c>
      <c r="G67" s="4">
        <v>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5" t="s">
        <v>14</v>
      </c>
      <c r="S67" s="19"/>
    </row>
    <row r="68" spans="1:19" ht="14.25" customHeight="1" x14ac:dyDescent="0.25">
      <c r="A68" s="4" t="s">
        <v>79</v>
      </c>
      <c r="B68" s="24"/>
      <c r="C68" s="9">
        <v>20</v>
      </c>
      <c r="D68" s="18"/>
      <c r="E68" s="18"/>
      <c r="F68" s="4">
        <v>2</v>
      </c>
      <c r="G68" s="4">
        <v>1</v>
      </c>
      <c r="H68" s="4"/>
      <c r="I68" s="4">
        <v>1</v>
      </c>
      <c r="J68" s="4"/>
      <c r="K68" s="4"/>
      <c r="L68" s="4"/>
      <c r="M68" s="4"/>
      <c r="N68" s="4"/>
      <c r="O68" s="4"/>
      <c r="P68" s="4"/>
      <c r="Q68" s="4"/>
      <c r="R68" s="5" t="s">
        <v>14</v>
      </c>
      <c r="S68" s="19"/>
    </row>
    <row r="69" spans="1:19" ht="14.25" customHeight="1" x14ac:dyDescent="0.25">
      <c r="A69" s="4" t="s">
        <v>80</v>
      </c>
      <c r="B69" s="24"/>
      <c r="C69" s="9">
        <v>20</v>
      </c>
      <c r="D69" s="18"/>
      <c r="E69" s="18"/>
      <c r="F69" s="4">
        <v>2</v>
      </c>
      <c r="G69" s="4">
        <v>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5" t="s">
        <v>14</v>
      </c>
      <c r="S69" s="19"/>
    </row>
    <row r="70" spans="1:19" ht="14.25" customHeight="1" x14ac:dyDescent="0.25">
      <c r="A70" s="4" t="s">
        <v>81</v>
      </c>
      <c r="B70" s="25"/>
      <c r="C70" s="10">
        <v>20</v>
      </c>
      <c r="D70" s="18"/>
      <c r="E70" s="18"/>
      <c r="F70" s="4">
        <v>2</v>
      </c>
      <c r="G70" s="4">
        <v>1</v>
      </c>
      <c r="H70" s="4"/>
      <c r="I70" s="4">
        <v>1</v>
      </c>
      <c r="J70" s="4">
        <v>1</v>
      </c>
      <c r="K70" s="4"/>
      <c r="L70" s="4"/>
      <c r="M70" s="4">
        <v>1</v>
      </c>
      <c r="N70" s="4"/>
      <c r="O70" s="4"/>
      <c r="P70" s="4"/>
      <c r="Q70" s="4"/>
      <c r="R70" s="5" t="s">
        <v>14</v>
      </c>
      <c r="S70" s="19"/>
    </row>
    <row r="71" spans="1:19" ht="14.25" customHeight="1" x14ac:dyDescent="0.25">
      <c r="A71" s="4" t="s">
        <v>82</v>
      </c>
      <c r="B71" s="20" t="s">
        <v>83</v>
      </c>
      <c r="C71" s="8">
        <v>21</v>
      </c>
      <c r="D71" s="17"/>
      <c r="E71" s="17"/>
      <c r="F71" s="4">
        <v>2</v>
      </c>
      <c r="G71" s="4">
        <v>1</v>
      </c>
      <c r="H71" s="4"/>
      <c r="I71" s="4"/>
      <c r="J71" s="4"/>
      <c r="K71" s="4"/>
      <c r="L71" s="4"/>
      <c r="M71" s="4"/>
      <c r="N71" s="4">
        <v>1</v>
      </c>
      <c r="O71" s="4">
        <v>1</v>
      </c>
      <c r="P71" s="4"/>
      <c r="Q71" s="4"/>
      <c r="R71" s="5" t="s">
        <v>14</v>
      </c>
      <c r="S71" s="30"/>
    </row>
    <row r="72" spans="1:19" ht="14.25" customHeight="1" x14ac:dyDescent="0.25">
      <c r="A72" s="4" t="s">
        <v>84</v>
      </c>
      <c r="B72" s="21"/>
      <c r="C72" s="9">
        <v>21</v>
      </c>
      <c r="D72" s="18"/>
      <c r="E72" s="18"/>
      <c r="F72" s="4">
        <v>2</v>
      </c>
      <c r="G72" s="4">
        <v>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5" t="s">
        <v>14</v>
      </c>
      <c r="S72" s="19"/>
    </row>
    <row r="73" spans="1:19" ht="14.25" customHeight="1" x14ac:dyDescent="0.25">
      <c r="A73" s="4" t="s">
        <v>85</v>
      </c>
      <c r="B73" s="21"/>
      <c r="C73" s="9">
        <v>21</v>
      </c>
      <c r="D73" s="18"/>
      <c r="E73" s="18"/>
      <c r="F73" s="4">
        <v>2</v>
      </c>
      <c r="G73" s="4">
        <v>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5" t="s">
        <v>14</v>
      </c>
      <c r="S73" s="19"/>
    </row>
    <row r="74" spans="1:19" ht="14.25" customHeight="1" x14ac:dyDescent="0.25">
      <c r="A74" s="4" t="s">
        <v>86</v>
      </c>
      <c r="B74" s="22"/>
      <c r="C74" s="10">
        <v>21</v>
      </c>
      <c r="D74" s="18"/>
      <c r="E74" s="18"/>
      <c r="F74" s="4">
        <v>2</v>
      </c>
      <c r="G74" s="4">
        <v>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5" t="s">
        <v>14</v>
      </c>
      <c r="S74" s="19"/>
    </row>
    <row r="75" spans="1:19" ht="14.25" customHeight="1" x14ac:dyDescent="0.25">
      <c r="A75" s="4" t="s">
        <v>125</v>
      </c>
      <c r="B75" s="23" t="s">
        <v>87</v>
      </c>
      <c r="C75" s="8">
        <v>22</v>
      </c>
      <c r="D75" s="34"/>
      <c r="E75" s="34"/>
      <c r="F75" s="4">
        <v>2</v>
      </c>
      <c r="G75" s="4">
        <v>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5" t="s">
        <v>14</v>
      </c>
      <c r="S75" s="30"/>
    </row>
    <row r="76" spans="1:19" ht="14.25" customHeight="1" x14ac:dyDescent="0.25">
      <c r="A76" s="4" t="s">
        <v>126</v>
      </c>
      <c r="B76" s="24"/>
      <c r="C76" s="9">
        <v>22</v>
      </c>
      <c r="D76" s="18"/>
      <c r="E76" s="18"/>
      <c r="F76" s="4">
        <v>2</v>
      </c>
      <c r="G76" s="4">
        <v>2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5" t="s">
        <v>14</v>
      </c>
      <c r="S76" s="19"/>
    </row>
    <row r="77" spans="1:19" ht="14.25" customHeight="1" x14ac:dyDescent="0.25">
      <c r="A77" s="4" t="s">
        <v>127</v>
      </c>
      <c r="B77" s="24"/>
      <c r="C77" s="9">
        <v>22</v>
      </c>
      <c r="D77" s="18"/>
      <c r="E77" s="18"/>
      <c r="F77" s="4">
        <v>2</v>
      </c>
      <c r="G77" s="4">
        <v>2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5" t="s">
        <v>14</v>
      </c>
      <c r="S77" s="19"/>
    </row>
    <row r="78" spans="1:19" ht="14.25" customHeight="1" x14ac:dyDescent="0.25">
      <c r="A78" s="4" t="s">
        <v>128</v>
      </c>
      <c r="B78" s="25"/>
      <c r="C78" s="10">
        <v>22</v>
      </c>
      <c r="D78" s="18"/>
      <c r="E78" s="18"/>
      <c r="F78" s="4">
        <v>2</v>
      </c>
      <c r="G78" s="4">
        <v>2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5" t="s">
        <v>14</v>
      </c>
      <c r="S78" s="19"/>
    </row>
    <row r="79" spans="1:19" ht="14.25" customHeight="1" x14ac:dyDescent="0.25">
      <c r="A79" s="4" t="s">
        <v>88</v>
      </c>
      <c r="B79" s="23" t="s">
        <v>89</v>
      </c>
      <c r="C79" s="8">
        <v>25</v>
      </c>
      <c r="D79" s="17"/>
      <c r="E79" s="17"/>
      <c r="F79" s="4">
        <v>2</v>
      </c>
      <c r="G79" s="4">
        <v>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5" t="s">
        <v>90</v>
      </c>
      <c r="S79" s="30"/>
    </row>
    <row r="80" spans="1:19" ht="14.25" customHeight="1" x14ac:dyDescent="0.25">
      <c r="A80" s="4" t="s">
        <v>91</v>
      </c>
      <c r="B80" s="24"/>
      <c r="C80" s="9">
        <v>25</v>
      </c>
      <c r="D80" s="34"/>
      <c r="E80" s="34"/>
      <c r="F80" s="4">
        <v>2</v>
      </c>
      <c r="G80" s="4">
        <v>1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5" t="s">
        <v>90</v>
      </c>
      <c r="S80" s="30"/>
    </row>
    <row r="81" spans="1:19" ht="14.25" customHeight="1" x14ac:dyDescent="0.25">
      <c r="A81" s="4" t="s">
        <v>92</v>
      </c>
      <c r="B81" s="24"/>
      <c r="C81" s="9">
        <v>25</v>
      </c>
      <c r="D81" s="34"/>
      <c r="E81" s="34"/>
      <c r="F81" s="4">
        <v>2</v>
      </c>
      <c r="G81" s="4">
        <v>1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5" t="s">
        <v>90</v>
      </c>
      <c r="S81" s="30"/>
    </row>
    <row r="82" spans="1:19" ht="14.25" customHeight="1" x14ac:dyDescent="0.25">
      <c r="A82" s="4" t="s">
        <v>93</v>
      </c>
      <c r="B82" s="24"/>
      <c r="C82" s="9">
        <v>25</v>
      </c>
      <c r="D82" s="34"/>
      <c r="E82" s="34"/>
      <c r="F82" s="4">
        <v>2</v>
      </c>
      <c r="G82" s="4">
        <v>1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5" t="s">
        <v>90</v>
      </c>
      <c r="S82" s="30"/>
    </row>
    <row r="83" spans="1:19" ht="14.25" customHeight="1" x14ac:dyDescent="0.25">
      <c r="A83" s="4" t="s">
        <v>94</v>
      </c>
      <c r="B83" s="24"/>
      <c r="C83" s="9">
        <v>25</v>
      </c>
      <c r="D83" s="17"/>
      <c r="E83" s="17"/>
      <c r="F83" s="4">
        <v>2</v>
      </c>
      <c r="G83" s="4">
        <v>1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5" t="s">
        <v>90</v>
      </c>
      <c r="S83" s="16"/>
    </row>
    <row r="84" spans="1:19" ht="14.25" customHeight="1" x14ac:dyDescent="0.25">
      <c r="A84" s="4" t="s">
        <v>95</v>
      </c>
      <c r="B84" s="25"/>
      <c r="C84" s="10">
        <v>25</v>
      </c>
      <c r="D84" s="17"/>
      <c r="E84" s="17"/>
      <c r="F84" s="4">
        <v>2</v>
      </c>
      <c r="G84" s="4">
        <v>1</v>
      </c>
      <c r="H84" s="4"/>
      <c r="I84" s="4"/>
      <c r="J84" s="4"/>
      <c r="K84" s="4"/>
      <c r="L84" s="4"/>
      <c r="M84" s="4"/>
      <c r="N84" s="4">
        <v>1</v>
      </c>
      <c r="O84" s="4">
        <v>1</v>
      </c>
      <c r="P84" s="4"/>
      <c r="Q84" s="4"/>
      <c r="R84" s="5" t="s">
        <v>90</v>
      </c>
      <c r="S84" s="16"/>
    </row>
    <row r="85" spans="1:19" ht="14.25" customHeight="1" x14ac:dyDescent="0.25">
      <c r="A85" s="4" t="s">
        <v>96</v>
      </c>
      <c r="B85" s="26" t="s">
        <v>97</v>
      </c>
      <c r="C85" s="8">
        <v>26</v>
      </c>
      <c r="D85" s="31"/>
      <c r="E85" s="31"/>
      <c r="F85" s="4">
        <v>2</v>
      </c>
      <c r="G85" s="4">
        <v>1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5" t="s">
        <v>90</v>
      </c>
      <c r="S85" s="33"/>
    </row>
    <row r="86" spans="1:19" ht="14.25" customHeight="1" x14ac:dyDescent="0.25">
      <c r="A86" s="4" t="s">
        <v>98</v>
      </c>
      <c r="B86" s="27"/>
      <c r="C86" s="11">
        <v>26</v>
      </c>
      <c r="D86" s="32"/>
      <c r="E86" s="32"/>
      <c r="F86" s="4">
        <v>2</v>
      </c>
      <c r="G86" s="4">
        <v>1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5" t="s">
        <v>90</v>
      </c>
      <c r="S86" s="33"/>
    </row>
    <row r="87" spans="1:19" ht="14.25" customHeight="1" x14ac:dyDescent="0.25">
      <c r="A87" s="4" t="s">
        <v>99</v>
      </c>
      <c r="B87" s="27"/>
      <c r="C87" s="11">
        <v>26</v>
      </c>
      <c r="D87" s="32"/>
      <c r="E87" s="32"/>
      <c r="F87" s="4">
        <v>2</v>
      </c>
      <c r="G87" s="4">
        <v>1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5" t="s">
        <v>90</v>
      </c>
      <c r="S87" s="33"/>
    </row>
    <row r="88" spans="1:19" ht="14.25" customHeight="1" x14ac:dyDescent="0.25">
      <c r="A88" s="4" t="s">
        <v>100</v>
      </c>
      <c r="B88" s="27"/>
      <c r="C88" s="11">
        <v>26</v>
      </c>
      <c r="D88" s="17"/>
      <c r="E88" s="17"/>
      <c r="F88" s="4">
        <v>2</v>
      </c>
      <c r="G88" s="4">
        <v>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5" t="s">
        <v>90</v>
      </c>
      <c r="S88" s="30"/>
    </row>
    <row r="89" spans="1:19" ht="14.25" customHeight="1" x14ac:dyDescent="0.25">
      <c r="A89" s="4" t="s">
        <v>101</v>
      </c>
      <c r="B89" s="27"/>
      <c r="C89" s="11">
        <v>26</v>
      </c>
      <c r="D89" s="17"/>
      <c r="E89" s="17"/>
      <c r="F89" s="4">
        <v>2</v>
      </c>
      <c r="G89" s="4">
        <v>1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5" t="s">
        <v>90</v>
      </c>
      <c r="S89" s="19"/>
    </row>
    <row r="90" spans="1:19" ht="14.25" customHeight="1" x14ac:dyDescent="0.25">
      <c r="A90" s="4" t="s">
        <v>102</v>
      </c>
      <c r="B90" s="28"/>
      <c r="C90" s="12">
        <v>26</v>
      </c>
      <c r="D90" s="17"/>
      <c r="E90" s="17"/>
      <c r="F90" s="4">
        <v>2</v>
      </c>
      <c r="G90" s="4">
        <v>1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5" t="s">
        <v>14</v>
      </c>
      <c r="S90" s="19"/>
    </row>
    <row r="91" spans="1:19" ht="14.25" customHeight="1" x14ac:dyDescent="0.25">
      <c r="A91" s="4" t="s">
        <v>103</v>
      </c>
      <c r="B91" s="23" t="s">
        <v>104</v>
      </c>
      <c r="C91" s="8">
        <v>27</v>
      </c>
      <c r="D91" s="17"/>
      <c r="E91" s="17"/>
      <c r="F91" s="4">
        <v>2</v>
      </c>
      <c r="G91" s="4">
        <v>1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5" t="s">
        <v>14</v>
      </c>
      <c r="S91" s="29"/>
    </row>
    <row r="92" spans="1:19" ht="14.25" customHeight="1" x14ac:dyDescent="0.25">
      <c r="A92" s="4" t="s">
        <v>105</v>
      </c>
      <c r="B92" s="24"/>
      <c r="C92" s="9">
        <v>27</v>
      </c>
      <c r="D92" s="18"/>
      <c r="E92" s="18"/>
      <c r="F92" s="4">
        <v>2</v>
      </c>
      <c r="G92" s="4">
        <v>1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5" t="s">
        <v>14</v>
      </c>
      <c r="S92" s="19"/>
    </row>
    <row r="93" spans="1:19" ht="14.25" customHeight="1" x14ac:dyDescent="0.25">
      <c r="A93" s="4" t="s">
        <v>106</v>
      </c>
      <c r="B93" s="24"/>
      <c r="C93" s="9">
        <v>27</v>
      </c>
      <c r="D93" s="18"/>
      <c r="E93" s="18"/>
      <c r="F93" s="4">
        <v>2</v>
      </c>
      <c r="G93" s="4">
        <v>1</v>
      </c>
      <c r="H93" s="4"/>
      <c r="I93" s="4">
        <v>1</v>
      </c>
      <c r="J93" s="4"/>
      <c r="K93" s="4"/>
      <c r="L93" s="4"/>
      <c r="M93" s="4"/>
      <c r="N93" s="4"/>
      <c r="O93" s="4"/>
      <c r="P93" s="4"/>
      <c r="Q93" s="4"/>
      <c r="R93" s="5" t="s">
        <v>14</v>
      </c>
      <c r="S93" s="19"/>
    </row>
    <row r="94" spans="1:19" ht="14.25" customHeight="1" x14ac:dyDescent="0.25">
      <c r="A94" s="4" t="s">
        <v>107</v>
      </c>
      <c r="B94" s="24"/>
      <c r="C94" s="9">
        <v>27</v>
      </c>
      <c r="D94" s="17"/>
      <c r="E94" s="17"/>
      <c r="F94" s="4">
        <v>2</v>
      </c>
      <c r="G94" s="4">
        <v>1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5" t="s">
        <v>90</v>
      </c>
      <c r="S94" s="30"/>
    </row>
    <row r="95" spans="1:19" ht="14.25" customHeight="1" x14ac:dyDescent="0.25">
      <c r="A95" s="4" t="s">
        <v>108</v>
      </c>
      <c r="B95" s="24"/>
      <c r="C95" s="9">
        <v>27</v>
      </c>
      <c r="D95" s="17"/>
      <c r="E95" s="17"/>
      <c r="F95" s="4">
        <v>2</v>
      </c>
      <c r="G95" s="4">
        <v>1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5" t="s">
        <v>90</v>
      </c>
      <c r="S95" s="30"/>
    </row>
    <row r="96" spans="1:19" ht="14.25" customHeight="1" x14ac:dyDescent="0.25">
      <c r="A96" s="4" t="s">
        <v>109</v>
      </c>
      <c r="B96" s="24"/>
      <c r="C96" s="9">
        <v>27</v>
      </c>
      <c r="D96" s="17"/>
      <c r="E96" s="17"/>
      <c r="F96" s="4">
        <v>2</v>
      </c>
      <c r="G96" s="4">
        <v>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5" t="s">
        <v>90</v>
      </c>
      <c r="S96" s="30"/>
    </row>
    <row r="97" spans="1:19" ht="14.25" customHeight="1" x14ac:dyDescent="0.25">
      <c r="A97" s="4" t="s">
        <v>117</v>
      </c>
      <c r="B97" s="16" t="s">
        <v>110</v>
      </c>
      <c r="C97" s="8">
        <v>28</v>
      </c>
      <c r="D97" s="17"/>
      <c r="E97" s="17"/>
      <c r="F97" s="4">
        <v>2</v>
      </c>
      <c r="G97" s="4">
        <v>2</v>
      </c>
      <c r="H97" s="4"/>
      <c r="I97" s="4"/>
      <c r="J97" s="4"/>
      <c r="K97" s="4"/>
      <c r="L97" s="4"/>
      <c r="M97" s="4"/>
      <c r="N97" s="4">
        <v>1</v>
      </c>
      <c r="O97" s="4">
        <v>1</v>
      </c>
      <c r="P97" s="4"/>
      <c r="Q97" s="4"/>
      <c r="R97" s="5" t="s">
        <v>14</v>
      </c>
      <c r="S97" s="16"/>
    </row>
    <row r="98" spans="1:19" ht="14.25" customHeight="1" x14ac:dyDescent="0.25">
      <c r="A98" s="4" t="s">
        <v>119</v>
      </c>
      <c r="B98" s="16"/>
      <c r="C98" s="13">
        <v>28</v>
      </c>
      <c r="D98" s="18"/>
      <c r="E98" s="18"/>
      <c r="F98" s="4">
        <v>2</v>
      </c>
      <c r="G98" s="4">
        <v>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5" t="s">
        <v>14</v>
      </c>
      <c r="S98" s="19"/>
    </row>
    <row r="99" spans="1:19" ht="14.25" customHeight="1" x14ac:dyDescent="0.25">
      <c r="A99" s="4" t="s">
        <v>120</v>
      </c>
      <c r="B99" s="16"/>
      <c r="C99" s="13">
        <v>28</v>
      </c>
      <c r="D99" s="18"/>
      <c r="E99" s="18"/>
      <c r="F99" s="4">
        <v>2</v>
      </c>
      <c r="G99" s="4">
        <v>2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5" t="s">
        <v>14</v>
      </c>
      <c r="S99" s="19"/>
    </row>
    <row r="100" spans="1:19" ht="14.25" customHeight="1" x14ac:dyDescent="0.25">
      <c r="A100" s="4" t="s">
        <v>122</v>
      </c>
      <c r="B100" s="16"/>
      <c r="C100" s="13">
        <v>28</v>
      </c>
      <c r="D100" s="18"/>
      <c r="E100" s="18"/>
      <c r="F100" s="4">
        <v>2</v>
      </c>
      <c r="G100" s="4">
        <v>2</v>
      </c>
      <c r="H100" s="4"/>
      <c r="I100" s="4"/>
      <c r="J100" s="4">
        <v>1</v>
      </c>
      <c r="K100" s="4"/>
      <c r="L100" s="4"/>
      <c r="M100" s="4"/>
      <c r="N100" s="4"/>
      <c r="O100" s="4"/>
      <c r="P100" s="4"/>
      <c r="Q100" s="4"/>
      <c r="R100" s="5" t="s">
        <v>14</v>
      </c>
      <c r="S100" s="19"/>
    </row>
    <row r="101" spans="1:19" ht="14.25" customHeight="1" x14ac:dyDescent="0.25">
      <c r="A101" s="4" t="s">
        <v>123</v>
      </c>
      <c r="B101" s="16"/>
      <c r="C101" s="13">
        <v>28</v>
      </c>
      <c r="D101" s="18"/>
      <c r="E101" s="18"/>
      <c r="F101" s="4">
        <v>2</v>
      </c>
      <c r="G101" s="4">
        <v>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 t="s">
        <v>14</v>
      </c>
      <c r="S101" s="19"/>
    </row>
    <row r="102" spans="1:19" ht="15" customHeight="1" x14ac:dyDescent="0.25">
      <c r="A102" s="4" t="s">
        <v>124</v>
      </c>
      <c r="B102" s="16"/>
      <c r="C102" s="13">
        <v>28</v>
      </c>
      <c r="D102" s="18"/>
      <c r="E102" s="18"/>
      <c r="F102" s="4">
        <v>2</v>
      </c>
      <c r="G102" s="4">
        <v>2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 t="s">
        <v>14</v>
      </c>
      <c r="S102" s="19"/>
    </row>
    <row r="103" spans="1:19" ht="14.25" customHeight="1" x14ac:dyDescent="0.25">
      <c r="A103" s="6" t="s">
        <v>111</v>
      </c>
      <c r="B103" s="6"/>
      <c r="C103" s="6"/>
      <c r="D103" s="6"/>
      <c r="E103" s="6"/>
      <c r="F103" s="6">
        <f>SUM(F3:F102)</f>
        <v>200</v>
      </c>
      <c r="G103" s="6">
        <f>SUM(G3:G102)</f>
        <v>122</v>
      </c>
      <c r="H103" s="6"/>
      <c r="I103" s="6">
        <f t="shared" ref="I103:O103" si="0">SUM(I3:I102)</f>
        <v>8</v>
      </c>
      <c r="J103" s="6">
        <f t="shared" si="0"/>
        <v>12</v>
      </c>
      <c r="K103" s="6">
        <f t="shared" si="0"/>
        <v>6</v>
      </c>
      <c r="L103" s="6">
        <f t="shared" si="0"/>
        <v>0</v>
      </c>
      <c r="M103" s="6">
        <f t="shared" si="0"/>
        <v>1</v>
      </c>
      <c r="N103" s="6">
        <f t="shared" si="0"/>
        <v>10</v>
      </c>
      <c r="O103" s="6">
        <f t="shared" si="0"/>
        <v>6</v>
      </c>
      <c r="P103" s="6">
        <f>SUM(P18:P102)</f>
        <v>0</v>
      </c>
      <c r="Q103" s="6"/>
      <c r="R103" s="6"/>
      <c r="S103" s="6"/>
    </row>
    <row r="104" spans="1:19" ht="14.25" customHeight="1" x14ac:dyDescent="0.25">
      <c r="F104" s="2">
        <f t="shared" ref="F104:G104" si="1">F103</f>
        <v>200</v>
      </c>
      <c r="G104" s="2">
        <f t="shared" si="1"/>
        <v>122</v>
      </c>
      <c r="I104" s="2">
        <f>I103+M103</f>
        <v>9</v>
      </c>
      <c r="J104" s="2">
        <f>J103+N103</f>
        <v>22</v>
      </c>
      <c r="K104" s="2">
        <f>K103+O103</f>
        <v>12</v>
      </c>
      <c r="M104" s="2">
        <f>M103+Q103</f>
        <v>1</v>
      </c>
      <c r="O104" s="2" t="s">
        <v>14</v>
      </c>
      <c r="R104" s="2">
        <f>COUNTIF($R$18:$R$102,O104)</f>
        <v>71</v>
      </c>
    </row>
    <row r="105" spans="1:19" ht="14.25" customHeight="1" x14ac:dyDescent="0.25">
      <c r="F105" s="7">
        <f>J104/F104</f>
        <v>0.11</v>
      </c>
      <c r="G105" s="7">
        <f>K104/G104</f>
        <v>9.8360655737704916E-2</v>
      </c>
      <c r="H105" s="7"/>
      <c r="I105" s="7">
        <f>M104/I104</f>
        <v>0.1111111111111111</v>
      </c>
      <c r="O105" s="2" t="s">
        <v>90</v>
      </c>
      <c r="R105" s="2">
        <f>COUNTIF($R$18:$R$102,O105)</f>
        <v>14</v>
      </c>
    </row>
    <row r="106" spans="1:19" ht="14.25" customHeight="1" x14ac:dyDescent="0.25">
      <c r="R106" s="2">
        <f>R104+R105</f>
        <v>85</v>
      </c>
    </row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</sheetData>
  <autoFilter ref="A1:S106" xr:uid="{6CE657AA-FB2C-42FD-B6BA-8B5235ABDB9E}">
    <filterColumn colId="9" showButton="0"/>
    <filterColumn colId="10" showButton="0"/>
    <filterColumn colId="11" showButton="0"/>
    <filterColumn colId="13" showButton="0"/>
    <filterColumn colId="14" showButton="0"/>
    <filterColumn colId="15" showButton="0"/>
  </autoFilter>
  <mergeCells count="102">
    <mergeCell ref="R1:R2"/>
    <mergeCell ref="S1:S2"/>
    <mergeCell ref="D3:D6"/>
    <mergeCell ref="E3:E6"/>
    <mergeCell ref="S3:S6"/>
    <mergeCell ref="D7:D10"/>
    <mergeCell ref="E7:E10"/>
    <mergeCell ref="S7:S10"/>
    <mergeCell ref="A1:A2"/>
    <mergeCell ref="B1:B2"/>
    <mergeCell ref="D1:D2"/>
    <mergeCell ref="E1:E2"/>
    <mergeCell ref="J1:M1"/>
    <mergeCell ref="N1:Q1"/>
    <mergeCell ref="C1:C2"/>
    <mergeCell ref="B18:B21"/>
    <mergeCell ref="D18:D21"/>
    <mergeCell ref="E18:E21"/>
    <mergeCell ref="S18:S21"/>
    <mergeCell ref="B22:B25"/>
    <mergeCell ref="D22:D25"/>
    <mergeCell ref="E22:E25"/>
    <mergeCell ref="S22:S25"/>
    <mergeCell ref="D11:D14"/>
    <mergeCell ref="E11:E14"/>
    <mergeCell ref="S11:S14"/>
    <mergeCell ref="D15:D17"/>
    <mergeCell ref="E15:E17"/>
    <mergeCell ref="S15:S17"/>
    <mergeCell ref="S34:S37"/>
    <mergeCell ref="D38:D42"/>
    <mergeCell ref="E38:E42"/>
    <mergeCell ref="S38:S42"/>
    <mergeCell ref="D43:D47"/>
    <mergeCell ref="E43:E47"/>
    <mergeCell ref="S43:S47"/>
    <mergeCell ref="B26:B29"/>
    <mergeCell ref="D26:D29"/>
    <mergeCell ref="E26:E29"/>
    <mergeCell ref="S26:S29"/>
    <mergeCell ref="B30:B37"/>
    <mergeCell ref="D30:D33"/>
    <mergeCell ref="E30:E33"/>
    <mergeCell ref="S30:S33"/>
    <mergeCell ref="D34:D37"/>
    <mergeCell ref="E34:E37"/>
    <mergeCell ref="B57:B60"/>
    <mergeCell ref="D57:D60"/>
    <mergeCell ref="E57:E60"/>
    <mergeCell ref="S57:S60"/>
    <mergeCell ref="B61:B65"/>
    <mergeCell ref="D61:D65"/>
    <mergeCell ref="E61:E65"/>
    <mergeCell ref="S61:S65"/>
    <mergeCell ref="B48:B52"/>
    <mergeCell ref="D48:D52"/>
    <mergeCell ref="E48:E52"/>
    <mergeCell ref="S48:S52"/>
    <mergeCell ref="B53:B56"/>
    <mergeCell ref="D53:D56"/>
    <mergeCell ref="E53:E56"/>
    <mergeCell ref="S53:S56"/>
    <mergeCell ref="E75:E78"/>
    <mergeCell ref="S75:S78"/>
    <mergeCell ref="B79:B84"/>
    <mergeCell ref="D79:D82"/>
    <mergeCell ref="E79:E82"/>
    <mergeCell ref="S79:S82"/>
    <mergeCell ref="D83:D84"/>
    <mergeCell ref="E83:E84"/>
    <mergeCell ref="B66:B70"/>
    <mergeCell ref="D66:D70"/>
    <mergeCell ref="E66:E70"/>
    <mergeCell ref="S66:S70"/>
    <mergeCell ref="B71:B74"/>
    <mergeCell ref="D71:D74"/>
    <mergeCell ref="E71:E74"/>
    <mergeCell ref="S71:S74"/>
    <mergeCell ref="B97:B102"/>
    <mergeCell ref="D97:D102"/>
    <mergeCell ref="E97:E102"/>
    <mergeCell ref="S97:S102"/>
    <mergeCell ref="B3:B10"/>
    <mergeCell ref="B38:B47"/>
    <mergeCell ref="B85:B90"/>
    <mergeCell ref="B11:B17"/>
    <mergeCell ref="B91:B96"/>
    <mergeCell ref="D91:D93"/>
    <mergeCell ref="E91:E93"/>
    <mergeCell ref="S91:S93"/>
    <mergeCell ref="D94:D96"/>
    <mergeCell ref="E94:E96"/>
    <mergeCell ref="S94:S96"/>
    <mergeCell ref="S83:S84"/>
    <mergeCell ref="D85:D87"/>
    <mergeCell ref="E85:E87"/>
    <mergeCell ref="S85:S87"/>
    <mergeCell ref="D88:D90"/>
    <mergeCell ref="E88:E90"/>
    <mergeCell ref="S88:S90"/>
    <mergeCell ref="B75:B78"/>
    <mergeCell ref="D75:D78"/>
  </mergeCells>
  <phoneticPr fontId="7" type="noConversion"/>
  <conditionalFormatting sqref="R3:R115">
    <cfRule type="containsText" dxfId="0" priority="1" operator="containsText" text="CS3">
      <formula>NOT(ISERROR(SEARCH(("CS3"),(R3))))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B87F-781C-4E45-B9D8-6C0362F7D8BF}">
  <dimension ref="A1:G173"/>
  <sheetViews>
    <sheetView topLeftCell="A157" workbookViewId="0">
      <selection activeCell="E173" sqref="E173"/>
    </sheetView>
  </sheetViews>
  <sheetFormatPr defaultRowHeight="14.25" x14ac:dyDescent="0.2"/>
  <cols>
    <col min="1" max="1" width="16.125" bestFit="1" customWidth="1"/>
    <col min="2" max="2" width="14.5" bestFit="1" customWidth="1"/>
    <col min="3" max="3" width="14.625" bestFit="1" customWidth="1"/>
    <col min="4" max="4" width="21.125" bestFit="1" customWidth="1"/>
    <col min="5" max="5" width="22.875" bestFit="1" customWidth="1"/>
    <col min="6" max="6" width="18.125" bestFit="1" customWidth="1"/>
    <col min="7" max="7" width="7" bestFit="1" customWidth="1"/>
  </cols>
  <sheetData>
    <row r="1" spans="1:7" x14ac:dyDescent="0.2">
      <c r="A1" t="s">
        <v>112</v>
      </c>
      <c r="B1" t="s">
        <v>113</v>
      </c>
      <c r="C1" t="s">
        <v>114</v>
      </c>
      <c r="D1" t="s">
        <v>131</v>
      </c>
      <c r="E1" t="s">
        <v>132</v>
      </c>
      <c r="F1" t="s">
        <v>115</v>
      </c>
      <c r="G1" t="s">
        <v>116</v>
      </c>
    </row>
    <row r="2" spans="1:7" x14ac:dyDescent="0.2">
      <c r="A2" t="s">
        <v>117</v>
      </c>
      <c r="B2" t="s">
        <v>118</v>
      </c>
      <c r="C2">
        <v>1</v>
      </c>
      <c r="D2">
        <f t="array" ref="D2">IF(AND(INDEX('Thang 05-2026'!$A$3:$Q$102,MATCH(1,($A2='Thang 05-2026'!$A$3:$A$102)*($G2='Thang 05-2026'!$C$3:$C$102),0),11)=1,$B2="Triều Xuống"),1,IF(AND(INDEX('Thang 05-2026'!$A$3:$Q$102,MATCH(1,($A2='Thang 05-2026'!$A$3:$A$102)*($G2='Thang 05-2026'!$C$3:$C$102),0),10)=1,$B2="Triều Lên",INDEX('Thang 05-2026'!$A$3:$Q$102,MATCH(1,($A2='Thang 05-2026'!$A$3:$A$102)*($G2='Thang 05-2026'!$C$3:$C$102),0),11)=0),1,0))</f>
        <v>0</v>
      </c>
      <c r="E2">
        <f t="array" ref="E2">IF(AND(INDEX('Thang 05-2026'!$A$3:$Q$102,MATCH(1,($A2='Thang 05-2026'!$A$3:$A$102)*($G2='Thang 05-2026'!$C$3:$C$102),0),15)=1,$B2="Triều Xuống"),1,IF(AND(INDEX('Thang 05-2026'!$A$3:$Q$102,MATCH(1,($A2='Thang 05-2026'!$A$3:$A$102)*($G2='Thang 05-2026'!$C$3:$C$102),0),14)=1,$B2="Triều Lên",INDEX('Thang 05-2026'!$A$3:$Q$102,MATCH(1,($A2='Thang 05-2026'!$A$3:$A$102)*($G2='Thang 05-2026'!$C$3:$C$102),0),15)=0),1,0))</f>
        <v>0</v>
      </c>
      <c r="F2">
        <f>D2+E2</f>
        <v>0</v>
      </c>
      <c r="G2">
        <f>INDEX('Thang 05-2026'!$A$3:$C$102,MATCH(A2,'Thang 05-2026'!$A$3:$A$102,0),3)</f>
        <v>4</v>
      </c>
    </row>
    <row r="3" spans="1:7" x14ac:dyDescent="0.2">
      <c r="A3" t="s">
        <v>119</v>
      </c>
      <c r="B3" t="s">
        <v>118</v>
      </c>
      <c r="C3">
        <v>1</v>
      </c>
      <c r="D3">
        <f t="array" ref="D3">IF(AND(INDEX('Thang 05-2026'!$A$3:$Q$102,MATCH(1,($A3='Thang 05-2026'!$A$3:$A$102)*($G3='Thang 05-2026'!$C$3:$C$102),0),11)=1,$B3="Triều Xuống"),1,IF(AND(INDEX('Thang 05-2026'!$A$3:$Q$102,MATCH(1,($A3='Thang 05-2026'!$A$3:$A$102)*($G3='Thang 05-2026'!$C$3:$C$102),0),10)=1,$B3="Triều Lên",INDEX('Thang 05-2026'!$A$3:$Q$102,MATCH(1,($A3='Thang 05-2026'!$A$3:$A$102)*($G3='Thang 05-2026'!$C$3:$C$102),0),11)=0),1,0))</f>
        <v>0</v>
      </c>
      <c r="E3">
        <f t="array" ref="E3">IF(AND(INDEX('Thang 05-2026'!$A$3:$Q$102,MATCH(1,($A3='Thang 05-2026'!$A$3:$A$102)*($G3='Thang 05-2026'!$C$3:$C$102),0),15)=1,$B3="Triều Xuống"),1,IF(AND(INDEX('Thang 05-2026'!$A$3:$Q$102,MATCH(1,($A3='Thang 05-2026'!$A$3:$A$102)*($G3='Thang 05-2026'!$C$3:$C$102),0),14)=1,$B3="Triều Lên",INDEX('Thang 05-2026'!$A$3:$Q$102,MATCH(1,($A3='Thang 05-2026'!$A$3:$A$102)*($G3='Thang 05-2026'!$C$3:$C$102),0),15)=0),1,0))</f>
        <v>0</v>
      </c>
      <c r="F3">
        <f t="shared" ref="F3:F66" si="0">D3+E3</f>
        <v>0</v>
      </c>
      <c r="G3">
        <f>INDEX('Thang 05-2026'!$A$3:$C$102,MATCH(A3,'Thang 05-2026'!$A$3:$A$102,0),3)</f>
        <v>4</v>
      </c>
    </row>
    <row r="4" spans="1:7" x14ac:dyDescent="0.2">
      <c r="A4" t="s">
        <v>15</v>
      </c>
      <c r="B4" t="s">
        <v>118</v>
      </c>
      <c r="C4">
        <v>1</v>
      </c>
      <c r="D4">
        <f t="array" ref="D4">IF(AND(INDEX('Thang 05-2026'!$A$3:$Q$102,MATCH(1,($A4='Thang 05-2026'!$A$3:$A$102)*($G4='Thang 05-2026'!$C$3:$C$102),0),11)=1,$B4="Triều Xuống"),1,IF(AND(INDEX('Thang 05-2026'!$A$3:$Q$102,MATCH(1,($A4='Thang 05-2026'!$A$3:$A$102)*($G4='Thang 05-2026'!$C$3:$C$102),0),10)=1,$B4="Triều Lên",INDEX('Thang 05-2026'!$A$3:$Q$102,MATCH(1,($A4='Thang 05-2026'!$A$3:$A$102)*($G4='Thang 05-2026'!$C$3:$C$102),0),11)=0),1,0))</f>
        <v>0</v>
      </c>
      <c r="E4">
        <f t="array" ref="E4">IF(AND(INDEX('Thang 05-2026'!$A$3:$Q$102,MATCH(1,($A4='Thang 05-2026'!$A$3:$A$102)*($G4='Thang 05-2026'!$C$3:$C$102),0),15)=1,$B4="Triều Xuống"),1,IF(AND(INDEX('Thang 05-2026'!$A$3:$Q$102,MATCH(1,($A4='Thang 05-2026'!$A$3:$A$102)*($G4='Thang 05-2026'!$C$3:$C$102),0),14)=1,$B4="Triều Lên",INDEX('Thang 05-2026'!$A$3:$Q$102,MATCH(1,($A4='Thang 05-2026'!$A$3:$A$102)*($G4='Thang 05-2026'!$C$3:$C$102),0),15)=0),1,0))</f>
        <v>0</v>
      </c>
      <c r="F4">
        <f t="shared" si="0"/>
        <v>0</v>
      </c>
      <c r="G4">
        <f>INDEX('Thang 05-2026'!$A$3:$C$102,MATCH(A4,'Thang 05-2026'!$A$3:$A$102,0),3)</f>
        <v>4</v>
      </c>
    </row>
    <row r="5" spans="1:7" x14ac:dyDescent="0.2">
      <c r="A5" t="s">
        <v>120</v>
      </c>
      <c r="B5" t="s">
        <v>118</v>
      </c>
      <c r="C5">
        <v>1</v>
      </c>
      <c r="D5">
        <f t="array" ref="D5">IF(AND(INDEX('Thang 05-2026'!$A$3:$Q$102,MATCH(1,($A5='Thang 05-2026'!$A$3:$A$102)*($G5='Thang 05-2026'!$C$3:$C$102),0),11)=1,$B5="Triều Xuống"),1,IF(AND(INDEX('Thang 05-2026'!$A$3:$Q$102,MATCH(1,($A5='Thang 05-2026'!$A$3:$A$102)*($G5='Thang 05-2026'!$C$3:$C$102),0),10)=1,$B5="Triều Lên",INDEX('Thang 05-2026'!$A$3:$Q$102,MATCH(1,($A5='Thang 05-2026'!$A$3:$A$102)*($G5='Thang 05-2026'!$C$3:$C$102),0),11)=0),1,0))</f>
        <v>0</v>
      </c>
      <c r="E5">
        <f t="array" ref="E5">IF(AND(INDEX('Thang 05-2026'!$A$3:$Q$102,MATCH(1,($A5='Thang 05-2026'!$A$3:$A$102)*($G5='Thang 05-2026'!$C$3:$C$102),0),15)=1,$B5="Triều Xuống"),1,IF(AND(INDEX('Thang 05-2026'!$A$3:$Q$102,MATCH(1,($A5='Thang 05-2026'!$A$3:$A$102)*($G5='Thang 05-2026'!$C$3:$C$102),0),14)=1,$B5="Triều Lên",INDEX('Thang 05-2026'!$A$3:$Q$102,MATCH(1,($A5='Thang 05-2026'!$A$3:$A$102)*($G5='Thang 05-2026'!$C$3:$C$102),0),15)=0),1,0))</f>
        <v>0</v>
      </c>
      <c r="F5">
        <f t="shared" si="0"/>
        <v>0</v>
      </c>
      <c r="G5">
        <f>INDEX('Thang 05-2026'!$A$3:$C$102,MATCH(A5,'Thang 05-2026'!$A$3:$A$102,0),3)</f>
        <v>4</v>
      </c>
    </row>
    <row r="6" spans="1:7" x14ac:dyDescent="0.2">
      <c r="A6" t="s">
        <v>117</v>
      </c>
      <c r="B6" t="s">
        <v>121</v>
      </c>
      <c r="C6">
        <v>1</v>
      </c>
      <c r="D6">
        <f t="array" ref="D6">IF(AND(INDEX('Thang 05-2026'!$A$3:$Q$102,MATCH(1,($A6='Thang 05-2026'!$A$3:$A$102)*($G6='Thang 05-2026'!$C$3:$C$102),0),11)=1,$B6="Triều Xuống"),1,IF(AND(INDEX('Thang 05-2026'!$A$3:$Q$102,MATCH(1,($A6='Thang 05-2026'!$A$3:$A$102)*($G6='Thang 05-2026'!$C$3:$C$102),0),10)=1,$B6="Triều Lên",INDEX('Thang 05-2026'!$A$3:$Q$102,MATCH(1,($A6='Thang 05-2026'!$A$3:$A$102)*($G6='Thang 05-2026'!$C$3:$C$102),0),11)=0),1,0))</f>
        <v>0</v>
      </c>
      <c r="E6">
        <f t="array" ref="E6">IF(AND(INDEX('Thang 05-2026'!$A$3:$Q$102,MATCH(1,($A6='Thang 05-2026'!$A$3:$A$102)*($G6='Thang 05-2026'!$C$3:$C$102),0),15)=1,$B6="Triều Xuống"),1,IF(AND(INDEX('Thang 05-2026'!$A$3:$Q$102,MATCH(1,($A6='Thang 05-2026'!$A$3:$A$102)*($G6='Thang 05-2026'!$C$3:$C$102),0),14)=1,$B6="Triều Lên",INDEX('Thang 05-2026'!$A$3:$Q$102,MATCH(1,($A6='Thang 05-2026'!$A$3:$A$102)*($G6='Thang 05-2026'!$C$3:$C$102),0),15)=0),1,0))</f>
        <v>0</v>
      </c>
      <c r="F6">
        <f t="shared" si="0"/>
        <v>0</v>
      </c>
      <c r="G6">
        <f>INDEX('Thang 05-2026'!$A$3:$C$102,MATCH(A6,'Thang 05-2026'!$A$3:$A$102,0),3)</f>
        <v>4</v>
      </c>
    </row>
    <row r="7" spans="1:7" x14ac:dyDescent="0.2">
      <c r="A7" t="s">
        <v>119</v>
      </c>
      <c r="B7" t="s">
        <v>121</v>
      </c>
      <c r="C7">
        <v>1</v>
      </c>
      <c r="D7">
        <f t="array" ref="D7">IF(AND(INDEX('Thang 05-2026'!$A$3:$Q$102,MATCH(1,($A7='Thang 05-2026'!$A$3:$A$102)*($G7='Thang 05-2026'!$C$3:$C$102),0),11)=1,$B7="Triều Xuống"),1,IF(AND(INDEX('Thang 05-2026'!$A$3:$Q$102,MATCH(1,($A7='Thang 05-2026'!$A$3:$A$102)*($G7='Thang 05-2026'!$C$3:$C$102),0),10)=1,$B7="Triều Lên",INDEX('Thang 05-2026'!$A$3:$Q$102,MATCH(1,($A7='Thang 05-2026'!$A$3:$A$102)*($G7='Thang 05-2026'!$C$3:$C$102),0),11)=0),1,0))</f>
        <v>0</v>
      </c>
      <c r="E7">
        <f t="array" ref="E7">IF(AND(INDEX('Thang 05-2026'!$A$3:$Q$102,MATCH(1,($A7='Thang 05-2026'!$A$3:$A$102)*($G7='Thang 05-2026'!$C$3:$C$102),0),15)=1,$B7="Triều Xuống"),1,IF(AND(INDEX('Thang 05-2026'!$A$3:$Q$102,MATCH(1,($A7='Thang 05-2026'!$A$3:$A$102)*($G7='Thang 05-2026'!$C$3:$C$102),0),14)=1,$B7="Triều Lên",INDEX('Thang 05-2026'!$A$3:$Q$102,MATCH(1,($A7='Thang 05-2026'!$A$3:$A$102)*($G7='Thang 05-2026'!$C$3:$C$102),0),15)=0),1,0))</f>
        <v>0</v>
      </c>
      <c r="F7">
        <f t="shared" si="0"/>
        <v>0</v>
      </c>
      <c r="G7">
        <f>INDEX('Thang 05-2026'!$A$3:$C$102,MATCH(A7,'Thang 05-2026'!$A$3:$A$102,0),3)</f>
        <v>4</v>
      </c>
    </row>
    <row r="8" spans="1:7" x14ac:dyDescent="0.2">
      <c r="A8" t="s">
        <v>15</v>
      </c>
      <c r="B8" t="s">
        <v>121</v>
      </c>
      <c r="C8">
        <v>1</v>
      </c>
      <c r="D8">
        <f t="array" ref="D8">IF(AND(INDEX('Thang 05-2026'!$A$3:$Q$102,MATCH(1,($A8='Thang 05-2026'!$A$3:$A$102)*($G8='Thang 05-2026'!$C$3:$C$102),0),11)=1,$B8="Triều Xuống"),1,IF(AND(INDEX('Thang 05-2026'!$A$3:$Q$102,MATCH(1,($A8='Thang 05-2026'!$A$3:$A$102)*($G8='Thang 05-2026'!$C$3:$C$102),0),10)=1,$B8="Triều Lên",INDEX('Thang 05-2026'!$A$3:$Q$102,MATCH(1,($A8='Thang 05-2026'!$A$3:$A$102)*($G8='Thang 05-2026'!$C$3:$C$102),0),11)=0),1,0))</f>
        <v>0</v>
      </c>
      <c r="E8">
        <f t="array" ref="E8">IF(AND(INDEX('Thang 05-2026'!$A$3:$Q$102,MATCH(1,($A8='Thang 05-2026'!$A$3:$A$102)*($G8='Thang 05-2026'!$C$3:$C$102),0),15)=1,$B8="Triều Xuống"),1,IF(AND(INDEX('Thang 05-2026'!$A$3:$Q$102,MATCH(1,($A8='Thang 05-2026'!$A$3:$A$102)*($G8='Thang 05-2026'!$C$3:$C$102),0),14)=1,$B8="Triều Lên",INDEX('Thang 05-2026'!$A$3:$Q$102,MATCH(1,($A8='Thang 05-2026'!$A$3:$A$102)*($G8='Thang 05-2026'!$C$3:$C$102),0),15)=0),1,0))</f>
        <v>1</v>
      </c>
      <c r="F8">
        <f t="shared" si="0"/>
        <v>1</v>
      </c>
      <c r="G8">
        <f>INDEX('Thang 05-2026'!$A$3:$C$102,MATCH(A8,'Thang 05-2026'!$A$3:$A$102,0),3)</f>
        <v>4</v>
      </c>
    </row>
    <row r="9" spans="1:7" x14ac:dyDescent="0.2">
      <c r="A9" t="s">
        <v>120</v>
      </c>
      <c r="B9" t="s">
        <v>121</v>
      </c>
      <c r="C9">
        <v>1</v>
      </c>
      <c r="D9">
        <f t="array" ref="D9">IF(AND(INDEX('Thang 05-2026'!$A$3:$Q$102,MATCH(1,($A9='Thang 05-2026'!$A$3:$A$102)*($G9='Thang 05-2026'!$C$3:$C$102),0),11)=1,$B9="Triều Xuống"),1,IF(AND(INDEX('Thang 05-2026'!$A$3:$Q$102,MATCH(1,($A9='Thang 05-2026'!$A$3:$A$102)*($G9='Thang 05-2026'!$C$3:$C$102),0),10)=1,$B9="Triều Lên",INDEX('Thang 05-2026'!$A$3:$Q$102,MATCH(1,($A9='Thang 05-2026'!$A$3:$A$102)*($G9='Thang 05-2026'!$C$3:$C$102),0),11)=0),1,0))</f>
        <v>0</v>
      </c>
      <c r="E9">
        <f t="array" ref="E9">IF(AND(INDEX('Thang 05-2026'!$A$3:$Q$102,MATCH(1,($A9='Thang 05-2026'!$A$3:$A$102)*($G9='Thang 05-2026'!$C$3:$C$102),0),15)=1,$B9="Triều Xuống"),1,IF(AND(INDEX('Thang 05-2026'!$A$3:$Q$102,MATCH(1,($A9='Thang 05-2026'!$A$3:$A$102)*($G9='Thang 05-2026'!$C$3:$C$102),0),14)=1,$B9="Triều Lên",INDEX('Thang 05-2026'!$A$3:$Q$102,MATCH(1,($A9='Thang 05-2026'!$A$3:$A$102)*($G9='Thang 05-2026'!$C$3:$C$102),0),15)=0),1,0))</f>
        <v>0</v>
      </c>
      <c r="F9">
        <f t="shared" si="0"/>
        <v>0</v>
      </c>
      <c r="G9">
        <f>INDEX('Thang 05-2026'!$A$3:$C$102,MATCH(A9,'Thang 05-2026'!$A$3:$A$102,0),3)</f>
        <v>4</v>
      </c>
    </row>
    <row r="10" spans="1:7" x14ac:dyDescent="0.2">
      <c r="A10" t="s">
        <v>122</v>
      </c>
      <c r="B10" t="s">
        <v>118</v>
      </c>
      <c r="C10">
        <v>1</v>
      </c>
      <c r="D10">
        <f t="array" ref="D10">IF(AND(INDEX('Thang 05-2026'!$A$3:$Q$102,MATCH(1,($A10='Thang 05-2026'!$A$3:$A$102)*($G10='Thang 05-2026'!$C$3:$C$102),0),11)=1,$B10="Triều Xuống"),1,IF(AND(INDEX('Thang 05-2026'!$A$3:$Q$102,MATCH(1,($A10='Thang 05-2026'!$A$3:$A$102)*($G10='Thang 05-2026'!$C$3:$C$102),0),10)=1,$B10="Triều Lên",INDEX('Thang 05-2026'!$A$3:$Q$102,MATCH(1,($A10='Thang 05-2026'!$A$3:$A$102)*($G10='Thang 05-2026'!$C$3:$C$102),0),11)=0),1,0))</f>
        <v>1</v>
      </c>
      <c r="E10">
        <f t="array" ref="E10">IF(AND(INDEX('Thang 05-2026'!$A$3:$Q$102,MATCH(1,($A10='Thang 05-2026'!$A$3:$A$102)*($G10='Thang 05-2026'!$C$3:$C$102),0),15)=1,$B10="Triều Xuống"),1,IF(AND(INDEX('Thang 05-2026'!$A$3:$Q$102,MATCH(1,($A10='Thang 05-2026'!$A$3:$A$102)*($G10='Thang 05-2026'!$C$3:$C$102),0),14)=1,$B10="Triều Lên",INDEX('Thang 05-2026'!$A$3:$Q$102,MATCH(1,($A10='Thang 05-2026'!$A$3:$A$102)*($G10='Thang 05-2026'!$C$3:$C$102),0),15)=0),1,0))</f>
        <v>0</v>
      </c>
      <c r="F10">
        <f t="shared" si="0"/>
        <v>1</v>
      </c>
      <c r="G10">
        <f>INDEX('Thang 05-2026'!$A$3:$C$102,MATCH(A10,'Thang 05-2026'!$A$3:$A$102,0),3)</f>
        <v>4</v>
      </c>
    </row>
    <row r="11" spans="1:7" x14ac:dyDescent="0.2">
      <c r="A11" t="s">
        <v>123</v>
      </c>
      <c r="B11" t="s">
        <v>118</v>
      </c>
      <c r="C11">
        <v>1</v>
      </c>
      <c r="D11">
        <f t="array" ref="D11">IF(AND(INDEX('Thang 05-2026'!$A$3:$Q$102,MATCH(1,($A11='Thang 05-2026'!$A$3:$A$102)*($G11='Thang 05-2026'!$C$3:$C$102),0),11)=1,$B11="Triều Xuống"),1,IF(AND(INDEX('Thang 05-2026'!$A$3:$Q$102,MATCH(1,($A11='Thang 05-2026'!$A$3:$A$102)*($G11='Thang 05-2026'!$C$3:$C$102),0),10)=1,$B11="Triều Lên",INDEX('Thang 05-2026'!$A$3:$Q$102,MATCH(1,($A11='Thang 05-2026'!$A$3:$A$102)*($G11='Thang 05-2026'!$C$3:$C$102),0),11)=0),1,0))</f>
        <v>0</v>
      </c>
      <c r="E11">
        <f t="array" ref="E11">IF(AND(INDEX('Thang 05-2026'!$A$3:$Q$102,MATCH(1,($A11='Thang 05-2026'!$A$3:$A$102)*($G11='Thang 05-2026'!$C$3:$C$102),0),15)=1,$B11="Triều Xuống"),1,IF(AND(INDEX('Thang 05-2026'!$A$3:$Q$102,MATCH(1,($A11='Thang 05-2026'!$A$3:$A$102)*($G11='Thang 05-2026'!$C$3:$C$102),0),14)=1,$B11="Triều Lên",INDEX('Thang 05-2026'!$A$3:$Q$102,MATCH(1,($A11='Thang 05-2026'!$A$3:$A$102)*($G11='Thang 05-2026'!$C$3:$C$102),0),15)=0),1,0))</f>
        <v>0</v>
      </c>
      <c r="F11">
        <f t="shared" si="0"/>
        <v>0</v>
      </c>
      <c r="G11">
        <f>INDEX('Thang 05-2026'!$A$3:$C$102,MATCH(A11,'Thang 05-2026'!$A$3:$A$102,0),3)</f>
        <v>4</v>
      </c>
    </row>
    <row r="12" spans="1:7" x14ac:dyDescent="0.2">
      <c r="A12" t="s">
        <v>124</v>
      </c>
      <c r="B12" t="s">
        <v>118</v>
      </c>
      <c r="C12">
        <v>1</v>
      </c>
      <c r="D12">
        <f t="array" ref="D12">IF(AND(INDEX('Thang 05-2026'!$A$3:$Q$102,MATCH(1,($A12='Thang 05-2026'!$A$3:$A$102)*($G12='Thang 05-2026'!$C$3:$C$102),0),11)=1,$B12="Triều Xuống"),1,IF(AND(INDEX('Thang 05-2026'!$A$3:$Q$102,MATCH(1,($A12='Thang 05-2026'!$A$3:$A$102)*($G12='Thang 05-2026'!$C$3:$C$102),0),10)=1,$B12="Triều Lên",INDEX('Thang 05-2026'!$A$3:$Q$102,MATCH(1,($A12='Thang 05-2026'!$A$3:$A$102)*($G12='Thang 05-2026'!$C$3:$C$102),0),11)=0),1,0))</f>
        <v>0</v>
      </c>
      <c r="E12">
        <f t="array" ref="E12">IF(AND(INDEX('Thang 05-2026'!$A$3:$Q$102,MATCH(1,($A12='Thang 05-2026'!$A$3:$A$102)*($G12='Thang 05-2026'!$C$3:$C$102),0),15)=1,$B12="Triều Xuống"),1,IF(AND(INDEX('Thang 05-2026'!$A$3:$Q$102,MATCH(1,($A12='Thang 05-2026'!$A$3:$A$102)*($G12='Thang 05-2026'!$C$3:$C$102),0),14)=1,$B12="Triều Lên",INDEX('Thang 05-2026'!$A$3:$Q$102,MATCH(1,($A12='Thang 05-2026'!$A$3:$A$102)*($G12='Thang 05-2026'!$C$3:$C$102),0),15)=0),1,0))</f>
        <v>0</v>
      </c>
      <c r="F12">
        <f t="shared" si="0"/>
        <v>0</v>
      </c>
      <c r="G12">
        <f>INDEX('Thang 05-2026'!$A$3:$C$102,MATCH(A12,'Thang 05-2026'!$A$3:$A$102,0),3)</f>
        <v>4</v>
      </c>
    </row>
    <row r="13" spans="1:7" x14ac:dyDescent="0.2">
      <c r="A13" t="s">
        <v>16</v>
      </c>
      <c r="B13" t="s">
        <v>118</v>
      </c>
      <c r="C13">
        <v>1</v>
      </c>
      <c r="D13">
        <f t="array" ref="D13">IF(AND(INDEX('Thang 05-2026'!$A$3:$Q$102,MATCH(1,($A13='Thang 05-2026'!$A$3:$A$102)*($G13='Thang 05-2026'!$C$3:$C$102),0),11)=1,$B13="Triều Xuống"),1,IF(AND(INDEX('Thang 05-2026'!$A$3:$Q$102,MATCH(1,($A13='Thang 05-2026'!$A$3:$A$102)*($G13='Thang 05-2026'!$C$3:$C$102),0),10)=1,$B13="Triều Lên",INDEX('Thang 05-2026'!$A$3:$Q$102,MATCH(1,($A13='Thang 05-2026'!$A$3:$A$102)*($G13='Thang 05-2026'!$C$3:$C$102),0),11)=0),1,0))</f>
        <v>0</v>
      </c>
      <c r="E13">
        <f t="array" ref="E13">IF(AND(INDEX('Thang 05-2026'!$A$3:$Q$102,MATCH(1,($A13='Thang 05-2026'!$A$3:$A$102)*($G13='Thang 05-2026'!$C$3:$C$102),0),15)=1,$B13="Triều Xuống"),1,IF(AND(INDEX('Thang 05-2026'!$A$3:$Q$102,MATCH(1,($A13='Thang 05-2026'!$A$3:$A$102)*($G13='Thang 05-2026'!$C$3:$C$102),0),14)=1,$B13="Triều Lên",INDEX('Thang 05-2026'!$A$3:$Q$102,MATCH(1,($A13='Thang 05-2026'!$A$3:$A$102)*($G13='Thang 05-2026'!$C$3:$C$102),0),15)=0),1,0))</f>
        <v>0</v>
      </c>
      <c r="F13">
        <f t="shared" si="0"/>
        <v>0</v>
      </c>
      <c r="G13">
        <f>INDEX('Thang 05-2026'!$A$3:$C$102,MATCH(A13,'Thang 05-2026'!$A$3:$A$102,0),3)</f>
        <v>4</v>
      </c>
    </row>
    <row r="14" spans="1:7" x14ac:dyDescent="0.2">
      <c r="A14" t="s">
        <v>122</v>
      </c>
      <c r="B14" t="s">
        <v>121</v>
      </c>
      <c r="C14">
        <v>1</v>
      </c>
      <c r="D14">
        <f t="array" ref="D14">IF(AND(INDEX('Thang 05-2026'!$A$3:$Q$102,MATCH(1,($A14='Thang 05-2026'!$A$3:$A$102)*($G14='Thang 05-2026'!$C$3:$C$102),0),11)=1,$B14="Triều Xuống"),1,IF(AND(INDEX('Thang 05-2026'!$A$3:$Q$102,MATCH(1,($A14='Thang 05-2026'!$A$3:$A$102)*($G14='Thang 05-2026'!$C$3:$C$102),0),10)=1,$B14="Triều Lên",INDEX('Thang 05-2026'!$A$3:$Q$102,MATCH(1,($A14='Thang 05-2026'!$A$3:$A$102)*($G14='Thang 05-2026'!$C$3:$C$102),0),11)=0),1,0))</f>
        <v>0</v>
      </c>
      <c r="E14">
        <f t="array" ref="E14">IF(AND(INDEX('Thang 05-2026'!$A$3:$Q$102,MATCH(1,($A14='Thang 05-2026'!$A$3:$A$102)*($G14='Thang 05-2026'!$C$3:$C$102),0),15)=1,$B14="Triều Xuống"),1,IF(AND(INDEX('Thang 05-2026'!$A$3:$Q$102,MATCH(1,($A14='Thang 05-2026'!$A$3:$A$102)*($G14='Thang 05-2026'!$C$3:$C$102),0),14)=1,$B14="Triều Lên",INDEX('Thang 05-2026'!$A$3:$Q$102,MATCH(1,($A14='Thang 05-2026'!$A$3:$A$102)*($G14='Thang 05-2026'!$C$3:$C$102),0),15)=0),1,0))</f>
        <v>0</v>
      </c>
      <c r="F14">
        <f t="shared" si="0"/>
        <v>0</v>
      </c>
      <c r="G14">
        <f>INDEX('Thang 05-2026'!$A$3:$C$102,MATCH(A14,'Thang 05-2026'!$A$3:$A$102,0),3)</f>
        <v>4</v>
      </c>
    </row>
    <row r="15" spans="1:7" x14ac:dyDescent="0.2">
      <c r="A15" t="s">
        <v>123</v>
      </c>
      <c r="B15" t="s">
        <v>121</v>
      </c>
      <c r="C15">
        <v>1</v>
      </c>
      <c r="D15">
        <f t="array" ref="D15">IF(AND(INDEX('Thang 05-2026'!$A$3:$Q$102,MATCH(1,($A15='Thang 05-2026'!$A$3:$A$102)*($G15='Thang 05-2026'!$C$3:$C$102),0),11)=1,$B15="Triều Xuống"),1,IF(AND(INDEX('Thang 05-2026'!$A$3:$Q$102,MATCH(1,($A15='Thang 05-2026'!$A$3:$A$102)*($G15='Thang 05-2026'!$C$3:$C$102),0),10)=1,$B15="Triều Lên",INDEX('Thang 05-2026'!$A$3:$Q$102,MATCH(1,($A15='Thang 05-2026'!$A$3:$A$102)*($G15='Thang 05-2026'!$C$3:$C$102),0),11)=0),1,0))</f>
        <v>0</v>
      </c>
      <c r="E15">
        <f t="array" ref="E15">IF(AND(INDEX('Thang 05-2026'!$A$3:$Q$102,MATCH(1,($A15='Thang 05-2026'!$A$3:$A$102)*($G15='Thang 05-2026'!$C$3:$C$102),0),15)=1,$B15="Triều Xuống"),1,IF(AND(INDEX('Thang 05-2026'!$A$3:$Q$102,MATCH(1,($A15='Thang 05-2026'!$A$3:$A$102)*($G15='Thang 05-2026'!$C$3:$C$102),0),14)=1,$B15="Triều Lên",INDEX('Thang 05-2026'!$A$3:$Q$102,MATCH(1,($A15='Thang 05-2026'!$A$3:$A$102)*($G15='Thang 05-2026'!$C$3:$C$102),0),15)=0),1,0))</f>
        <v>0</v>
      </c>
      <c r="F15">
        <f t="shared" si="0"/>
        <v>0</v>
      </c>
      <c r="G15">
        <f>INDEX('Thang 05-2026'!$A$3:$C$102,MATCH(A15,'Thang 05-2026'!$A$3:$A$102,0),3)</f>
        <v>4</v>
      </c>
    </row>
    <row r="16" spans="1:7" x14ac:dyDescent="0.2">
      <c r="A16" t="s">
        <v>124</v>
      </c>
      <c r="B16" t="s">
        <v>121</v>
      </c>
      <c r="C16">
        <v>1</v>
      </c>
      <c r="D16">
        <f t="array" ref="D16">IF(AND(INDEX('Thang 05-2026'!$A$3:$Q$102,MATCH(1,($A16='Thang 05-2026'!$A$3:$A$102)*($G16='Thang 05-2026'!$C$3:$C$102),0),11)=1,$B16="Triều Xuống"),1,IF(AND(INDEX('Thang 05-2026'!$A$3:$Q$102,MATCH(1,($A16='Thang 05-2026'!$A$3:$A$102)*($G16='Thang 05-2026'!$C$3:$C$102),0),10)=1,$B16="Triều Lên",INDEX('Thang 05-2026'!$A$3:$Q$102,MATCH(1,($A16='Thang 05-2026'!$A$3:$A$102)*($G16='Thang 05-2026'!$C$3:$C$102),0),11)=0),1,0))</f>
        <v>0</v>
      </c>
      <c r="E16">
        <f t="array" ref="E16">IF(AND(INDEX('Thang 05-2026'!$A$3:$Q$102,MATCH(1,($A16='Thang 05-2026'!$A$3:$A$102)*($G16='Thang 05-2026'!$C$3:$C$102),0),15)=1,$B16="Triều Xuống"),1,IF(AND(INDEX('Thang 05-2026'!$A$3:$Q$102,MATCH(1,($A16='Thang 05-2026'!$A$3:$A$102)*($G16='Thang 05-2026'!$C$3:$C$102),0),14)=1,$B16="Triều Lên",INDEX('Thang 05-2026'!$A$3:$Q$102,MATCH(1,($A16='Thang 05-2026'!$A$3:$A$102)*($G16='Thang 05-2026'!$C$3:$C$102),0),15)=0),1,0))</f>
        <v>0</v>
      </c>
      <c r="F16">
        <f t="shared" si="0"/>
        <v>0</v>
      </c>
      <c r="G16">
        <f>INDEX('Thang 05-2026'!$A$3:$C$102,MATCH(A16,'Thang 05-2026'!$A$3:$A$102,0),3)</f>
        <v>4</v>
      </c>
    </row>
    <row r="17" spans="1:7" x14ac:dyDescent="0.2">
      <c r="A17" t="s">
        <v>16</v>
      </c>
      <c r="B17" t="s">
        <v>121</v>
      </c>
      <c r="C17">
        <v>1</v>
      </c>
      <c r="D17">
        <f t="array" ref="D17">IF(AND(INDEX('Thang 05-2026'!$A$3:$Q$102,MATCH(1,($A17='Thang 05-2026'!$A$3:$A$102)*($G17='Thang 05-2026'!$C$3:$C$102),0),11)=1,$B17="Triều Xuống"),1,IF(AND(INDEX('Thang 05-2026'!$A$3:$Q$102,MATCH(1,($A17='Thang 05-2026'!$A$3:$A$102)*($G17='Thang 05-2026'!$C$3:$C$102),0),10)=1,$B17="Triều Lên",INDEX('Thang 05-2026'!$A$3:$Q$102,MATCH(1,($A17='Thang 05-2026'!$A$3:$A$102)*($G17='Thang 05-2026'!$C$3:$C$102),0),11)=0),1,0))</f>
        <v>0</v>
      </c>
      <c r="E17">
        <f t="array" ref="E17">IF(AND(INDEX('Thang 05-2026'!$A$3:$Q$102,MATCH(1,($A17='Thang 05-2026'!$A$3:$A$102)*($G17='Thang 05-2026'!$C$3:$C$102),0),15)=1,$B17="Triều Xuống"),1,IF(AND(INDEX('Thang 05-2026'!$A$3:$Q$102,MATCH(1,($A17='Thang 05-2026'!$A$3:$A$102)*($G17='Thang 05-2026'!$C$3:$C$102),0),14)=1,$B17="Triều Lên",INDEX('Thang 05-2026'!$A$3:$Q$102,MATCH(1,($A17='Thang 05-2026'!$A$3:$A$102)*($G17='Thang 05-2026'!$C$3:$C$102),0),15)=0),1,0))</f>
        <v>0</v>
      </c>
      <c r="F17">
        <f t="shared" si="0"/>
        <v>0</v>
      </c>
      <c r="G17">
        <f>INDEX('Thang 05-2026'!$A$3:$C$102,MATCH(A17,'Thang 05-2026'!$A$3:$A$102,0),3)</f>
        <v>4</v>
      </c>
    </row>
    <row r="18" spans="1:7" x14ac:dyDescent="0.2">
      <c r="A18" t="s">
        <v>17</v>
      </c>
      <c r="B18" t="s">
        <v>118</v>
      </c>
      <c r="C18">
        <v>1</v>
      </c>
      <c r="D18">
        <f t="array" ref="D18">IF(AND(INDEX('Thang 05-2026'!$A$3:$Q$102,MATCH(1,($A18='Thang 05-2026'!$A$3:$A$102)*($G18='Thang 05-2026'!$C$3:$C$102),0),11)=1,$B18="Triều Xuống"),1,IF(AND(INDEX('Thang 05-2026'!$A$3:$Q$102,MATCH(1,($A18='Thang 05-2026'!$A$3:$A$102)*($G18='Thang 05-2026'!$C$3:$C$102),0),10)=1,$B18="Triều Lên",INDEX('Thang 05-2026'!$A$3:$Q$102,MATCH(1,($A18='Thang 05-2026'!$A$3:$A$102)*($G18='Thang 05-2026'!$C$3:$C$102),0),11)=0),1,0))</f>
        <v>0</v>
      </c>
      <c r="E18">
        <f t="array" ref="E18">IF(AND(INDEX('Thang 05-2026'!$A$3:$Q$102,MATCH(1,($A18='Thang 05-2026'!$A$3:$A$102)*($G18='Thang 05-2026'!$C$3:$C$102),0),15)=1,$B18="Triều Xuống"),1,IF(AND(INDEX('Thang 05-2026'!$A$3:$Q$102,MATCH(1,($A18='Thang 05-2026'!$A$3:$A$102)*($G18='Thang 05-2026'!$C$3:$C$102),0),14)=1,$B18="Triều Lên",INDEX('Thang 05-2026'!$A$3:$Q$102,MATCH(1,($A18='Thang 05-2026'!$A$3:$A$102)*($G18='Thang 05-2026'!$C$3:$C$102),0),15)=0),1,0))</f>
        <v>0</v>
      </c>
      <c r="F18">
        <f t="shared" si="0"/>
        <v>0</v>
      </c>
      <c r="G18">
        <f>INDEX('Thang 05-2026'!$A$3:$C$102,MATCH(A18,'Thang 05-2026'!$A$3:$A$102,0),3)</f>
        <v>5</v>
      </c>
    </row>
    <row r="19" spans="1:7" x14ac:dyDescent="0.2">
      <c r="A19" t="s">
        <v>19</v>
      </c>
      <c r="B19" t="s">
        <v>118</v>
      </c>
      <c r="C19">
        <v>1</v>
      </c>
      <c r="D19">
        <f t="array" ref="D19">IF(AND(INDEX('Thang 05-2026'!$A$3:$Q$102,MATCH(1,($A19='Thang 05-2026'!$A$3:$A$102)*($G19='Thang 05-2026'!$C$3:$C$102),0),11)=1,$B19="Triều Xuống"),1,IF(AND(INDEX('Thang 05-2026'!$A$3:$Q$102,MATCH(1,($A19='Thang 05-2026'!$A$3:$A$102)*($G19='Thang 05-2026'!$C$3:$C$102),0),10)=1,$B19="Triều Lên",INDEX('Thang 05-2026'!$A$3:$Q$102,MATCH(1,($A19='Thang 05-2026'!$A$3:$A$102)*($G19='Thang 05-2026'!$C$3:$C$102),0),11)=0),1,0))</f>
        <v>0</v>
      </c>
      <c r="E19">
        <f t="array" ref="E19">IF(AND(INDEX('Thang 05-2026'!$A$3:$Q$102,MATCH(1,($A19='Thang 05-2026'!$A$3:$A$102)*($G19='Thang 05-2026'!$C$3:$C$102),0),15)=1,$B19="Triều Xuống"),1,IF(AND(INDEX('Thang 05-2026'!$A$3:$Q$102,MATCH(1,($A19='Thang 05-2026'!$A$3:$A$102)*($G19='Thang 05-2026'!$C$3:$C$102),0),14)=1,$B19="Triều Lên",INDEX('Thang 05-2026'!$A$3:$Q$102,MATCH(1,($A19='Thang 05-2026'!$A$3:$A$102)*($G19='Thang 05-2026'!$C$3:$C$102),0),15)=0),1,0))</f>
        <v>0</v>
      </c>
      <c r="F19">
        <f t="shared" si="0"/>
        <v>0</v>
      </c>
      <c r="G19">
        <f>INDEX('Thang 05-2026'!$A$3:$C$102,MATCH(A19,'Thang 05-2026'!$A$3:$A$102,0),3)</f>
        <v>5</v>
      </c>
    </row>
    <row r="20" spans="1:7" x14ac:dyDescent="0.2">
      <c r="A20" t="s">
        <v>20</v>
      </c>
      <c r="B20" t="s">
        <v>118</v>
      </c>
      <c r="C20">
        <v>1</v>
      </c>
      <c r="D20">
        <f t="array" ref="D20">IF(AND(INDEX('Thang 05-2026'!$A$3:$Q$102,MATCH(1,($A20='Thang 05-2026'!$A$3:$A$102)*($G20='Thang 05-2026'!$C$3:$C$102),0),11)=1,$B20="Triều Xuống"),1,IF(AND(INDEX('Thang 05-2026'!$A$3:$Q$102,MATCH(1,($A20='Thang 05-2026'!$A$3:$A$102)*($G20='Thang 05-2026'!$C$3:$C$102),0),10)=1,$B20="Triều Lên",INDEX('Thang 05-2026'!$A$3:$Q$102,MATCH(1,($A20='Thang 05-2026'!$A$3:$A$102)*($G20='Thang 05-2026'!$C$3:$C$102),0),11)=0),1,0))</f>
        <v>0</v>
      </c>
      <c r="E20">
        <f t="array" ref="E20">IF(AND(INDEX('Thang 05-2026'!$A$3:$Q$102,MATCH(1,($A20='Thang 05-2026'!$A$3:$A$102)*($G20='Thang 05-2026'!$C$3:$C$102),0),15)=1,$B20="Triều Xuống"),1,IF(AND(INDEX('Thang 05-2026'!$A$3:$Q$102,MATCH(1,($A20='Thang 05-2026'!$A$3:$A$102)*($G20='Thang 05-2026'!$C$3:$C$102),0),14)=1,$B20="Triều Lên",INDEX('Thang 05-2026'!$A$3:$Q$102,MATCH(1,($A20='Thang 05-2026'!$A$3:$A$102)*($G20='Thang 05-2026'!$C$3:$C$102),0),15)=0),1,0))</f>
        <v>0</v>
      </c>
      <c r="F20">
        <f t="shared" si="0"/>
        <v>0</v>
      </c>
      <c r="G20">
        <f>INDEX('Thang 05-2026'!$A$3:$C$102,MATCH(A20,'Thang 05-2026'!$A$3:$A$102,0),3)</f>
        <v>5</v>
      </c>
    </row>
    <row r="21" spans="1:7" x14ac:dyDescent="0.2">
      <c r="A21" t="s">
        <v>21</v>
      </c>
      <c r="B21" t="s">
        <v>118</v>
      </c>
      <c r="C21">
        <v>1</v>
      </c>
      <c r="D21">
        <f t="array" ref="D21">IF(AND(INDEX('Thang 05-2026'!$A$3:$Q$102,MATCH(1,($A21='Thang 05-2026'!$A$3:$A$102)*($G21='Thang 05-2026'!$C$3:$C$102),0),11)=1,$B21="Triều Xuống"),1,IF(AND(INDEX('Thang 05-2026'!$A$3:$Q$102,MATCH(1,($A21='Thang 05-2026'!$A$3:$A$102)*($G21='Thang 05-2026'!$C$3:$C$102),0),10)=1,$B21="Triều Lên",INDEX('Thang 05-2026'!$A$3:$Q$102,MATCH(1,($A21='Thang 05-2026'!$A$3:$A$102)*($G21='Thang 05-2026'!$C$3:$C$102),0),11)=0),1,0))</f>
        <v>0</v>
      </c>
      <c r="E21">
        <f t="array" ref="E21">IF(AND(INDEX('Thang 05-2026'!$A$3:$Q$102,MATCH(1,($A21='Thang 05-2026'!$A$3:$A$102)*($G21='Thang 05-2026'!$C$3:$C$102),0),15)=1,$B21="Triều Xuống"),1,IF(AND(INDEX('Thang 05-2026'!$A$3:$Q$102,MATCH(1,($A21='Thang 05-2026'!$A$3:$A$102)*($G21='Thang 05-2026'!$C$3:$C$102),0),14)=1,$B21="Triều Lên",INDEX('Thang 05-2026'!$A$3:$Q$102,MATCH(1,($A21='Thang 05-2026'!$A$3:$A$102)*($G21='Thang 05-2026'!$C$3:$C$102),0),15)=0),1,0))</f>
        <v>0</v>
      </c>
      <c r="F21">
        <f t="shared" si="0"/>
        <v>0</v>
      </c>
      <c r="G21">
        <f>INDEX('Thang 05-2026'!$A$3:$C$102,MATCH(A21,'Thang 05-2026'!$A$3:$A$102,0),3)</f>
        <v>5</v>
      </c>
    </row>
    <row r="22" spans="1:7" x14ac:dyDescent="0.2">
      <c r="A22" t="s">
        <v>17</v>
      </c>
      <c r="B22" t="s">
        <v>121</v>
      </c>
      <c r="C22">
        <v>1</v>
      </c>
      <c r="D22">
        <f t="array" ref="D22">IF(AND(INDEX('Thang 05-2026'!$A$3:$Q$102,MATCH(1,($A22='Thang 05-2026'!$A$3:$A$102)*($G22='Thang 05-2026'!$C$3:$C$102),0),11)=1,$B22="Triều Xuống"),1,IF(AND(INDEX('Thang 05-2026'!$A$3:$Q$102,MATCH(1,($A22='Thang 05-2026'!$A$3:$A$102)*($G22='Thang 05-2026'!$C$3:$C$102),0),10)=1,$B22="Triều Lên",INDEX('Thang 05-2026'!$A$3:$Q$102,MATCH(1,($A22='Thang 05-2026'!$A$3:$A$102)*($G22='Thang 05-2026'!$C$3:$C$102),0),11)=0),1,0))</f>
        <v>0</v>
      </c>
      <c r="E22">
        <f t="array" ref="E22">IF(AND(INDEX('Thang 05-2026'!$A$3:$Q$102,MATCH(1,($A22='Thang 05-2026'!$A$3:$A$102)*($G22='Thang 05-2026'!$C$3:$C$102),0),15)=1,$B22="Triều Xuống"),1,IF(AND(INDEX('Thang 05-2026'!$A$3:$Q$102,MATCH(1,($A22='Thang 05-2026'!$A$3:$A$102)*($G22='Thang 05-2026'!$C$3:$C$102),0),14)=1,$B22="Triều Lên",INDEX('Thang 05-2026'!$A$3:$Q$102,MATCH(1,($A22='Thang 05-2026'!$A$3:$A$102)*($G22='Thang 05-2026'!$C$3:$C$102),0),15)=0),1,0))</f>
        <v>0</v>
      </c>
      <c r="F22">
        <f t="shared" si="0"/>
        <v>0</v>
      </c>
      <c r="G22">
        <f>INDEX('Thang 05-2026'!$A$3:$C$102,MATCH(A22,'Thang 05-2026'!$A$3:$A$102,0),3)</f>
        <v>5</v>
      </c>
    </row>
    <row r="23" spans="1:7" x14ac:dyDescent="0.2">
      <c r="A23" t="s">
        <v>19</v>
      </c>
      <c r="B23" t="s">
        <v>121</v>
      </c>
      <c r="C23">
        <v>1</v>
      </c>
      <c r="D23">
        <f t="array" ref="D23">IF(AND(INDEX('Thang 05-2026'!$A$3:$Q$102,MATCH(1,($A23='Thang 05-2026'!$A$3:$A$102)*($G23='Thang 05-2026'!$C$3:$C$102),0),11)=1,$B23="Triều Xuống"),1,IF(AND(INDEX('Thang 05-2026'!$A$3:$Q$102,MATCH(1,($A23='Thang 05-2026'!$A$3:$A$102)*($G23='Thang 05-2026'!$C$3:$C$102),0),10)=1,$B23="Triều Lên",INDEX('Thang 05-2026'!$A$3:$Q$102,MATCH(1,($A23='Thang 05-2026'!$A$3:$A$102)*($G23='Thang 05-2026'!$C$3:$C$102),0),11)=0),1,0))</f>
        <v>0</v>
      </c>
      <c r="E23">
        <f t="array" ref="E23">IF(AND(INDEX('Thang 05-2026'!$A$3:$Q$102,MATCH(1,($A23='Thang 05-2026'!$A$3:$A$102)*($G23='Thang 05-2026'!$C$3:$C$102),0),15)=1,$B23="Triều Xuống"),1,IF(AND(INDEX('Thang 05-2026'!$A$3:$Q$102,MATCH(1,($A23='Thang 05-2026'!$A$3:$A$102)*($G23='Thang 05-2026'!$C$3:$C$102),0),14)=1,$B23="Triều Lên",INDEX('Thang 05-2026'!$A$3:$Q$102,MATCH(1,($A23='Thang 05-2026'!$A$3:$A$102)*($G23='Thang 05-2026'!$C$3:$C$102),0),15)=0),1,0))</f>
        <v>0</v>
      </c>
      <c r="F23">
        <f t="shared" si="0"/>
        <v>0</v>
      </c>
      <c r="G23">
        <f>INDEX('Thang 05-2026'!$A$3:$C$102,MATCH(A23,'Thang 05-2026'!$A$3:$A$102,0),3)</f>
        <v>5</v>
      </c>
    </row>
    <row r="24" spans="1:7" x14ac:dyDescent="0.2">
      <c r="A24" t="s">
        <v>20</v>
      </c>
      <c r="B24" t="s">
        <v>121</v>
      </c>
      <c r="C24">
        <v>1</v>
      </c>
      <c r="D24">
        <f t="array" ref="D24">IF(AND(INDEX('Thang 05-2026'!$A$3:$Q$102,MATCH(1,($A24='Thang 05-2026'!$A$3:$A$102)*($G24='Thang 05-2026'!$C$3:$C$102),0),11)=1,$B24="Triều Xuống"),1,IF(AND(INDEX('Thang 05-2026'!$A$3:$Q$102,MATCH(1,($A24='Thang 05-2026'!$A$3:$A$102)*($G24='Thang 05-2026'!$C$3:$C$102),0),10)=1,$B24="Triều Lên",INDEX('Thang 05-2026'!$A$3:$Q$102,MATCH(1,($A24='Thang 05-2026'!$A$3:$A$102)*($G24='Thang 05-2026'!$C$3:$C$102),0),11)=0),1,0))</f>
        <v>0</v>
      </c>
      <c r="E24">
        <f t="array" ref="E24">IF(AND(INDEX('Thang 05-2026'!$A$3:$Q$102,MATCH(1,($A24='Thang 05-2026'!$A$3:$A$102)*($G24='Thang 05-2026'!$C$3:$C$102),0),15)=1,$B24="Triều Xuống"),1,IF(AND(INDEX('Thang 05-2026'!$A$3:$Q$102,MATCH(1,($A24='Thang 05-2026'!$A$3:$A$102)*($G24='Thang 05-2026'!$C$3:$C$102),0),14)=1,$B24="Triều Lên",INDEX('Thang 05-2026'!$A$3:$Q$102,MATCH(1,($A24='Thang 05-2026'!$A$3:$A$102)*($G24='Thang 05-2026'!$C$3:$C$102),0),15)=0),1,0))</f>
        <v>0</v>
      </c>
      <c r="F24">
        <f t="shared" si="0"/>
        <v>0</v>
      </c>
      <c r="G24">
        <f>INDEX('Thang 05-2026'!$A$3:$C$102,MATCH(A24,'Thang 05-2026'!$A$3:$A$102,0),3)</f>
        <v>5</v>
      </c>
    </row>
    <row r="25" spans="1:7" x14ac:dyDescent="0.2">
      <c r="A25" t="s">
        <v>21</v>
      </c>
      <c r="B25" t="s">
        <v>121</v>
      </c>
      <c r="C25">
        <v>1</v>
      </c>
      <c r="D25">
        <f t="array" ref="D25">IF(AND(INDEX('Thang 05-2026'!$A$3:$Q$102,MATCH(1,($A25='Thang 05-2026'!$A$3:$A$102)*($G25='Thang 05-2026'!$C$3:$C$102),0),11)=1,$B25="Triều Xuống"),1,IF(AND(INDEX('Thang 05-2026'!$A$3:$Q$102,MATCH(1,($A25='Thang 05-2026'!$A$3:$A$102)*($G25='Thang 05-2026'!$C$3:$C$102),0),10)=1,$B25="Triều Lên",INDEX('Thang 05-2026'!$A$3:$Q$102,MATCH(1,($A25='Thang 05-2026'!$A$3:$A$102)*($G25='Thang 05-2026'!$C$3:$C$102),0),11)=0),1,0))</f>
        <v>0</v>
      </c>
      <c r="E25">
        <f t="array" ref="E25">IF(AND(INDEX('Thang 05-2026'!$A$3:$Q$102,MATCH(1,($A25='Thang 05-2026'!$A$3:$A$102)*($G25='Thang 05-2026'!$C$3:$C$102),0),15)=1,$B25="Triều Xuống"),1,IF(AND(INDEX('Thang 05-2026'!$A$3:$Q$102,MATCH(1,($A25='Thang 05-2026'!$A$3:$A$102)*($G25='Thang 05-2026'!$C$3:$C$102),0),14)=1,$B25="Triều Lên",INDEX('Thang 05-2026'!$A$3:$Q$102,MATCH(1,($A25='Thang 05-2026'!$A$3:$A$102)*($G25='Thang 05-2026'!$C$3:$C$102),0),15)=0),1,0))</f>
        <v>0</v>
      </c>
      <c r="F25">
        <f t="shared" si="0"/>
        <v>0</v>
      </c>
      <c r="G25">
        <f>INDEX('Thang 05-2026'!$A$3:$C$102,MATCH(A25,'Thang 05-2026'!$A$3:$A$102,0),3)</f>
        <v>5</v>
      </c>
    </row>
    <row r="26" spans="1:7" x14ac:dyDescent="0.2">
      <c r="A26" t="s">
        <v>22</v>
      </c>
      <c r="B26" t="s">
        <v>118</v>
      </c>
      <c r="C26">
        <v>1</v>
      </c>
      <c r="D26">
        <f t="array" ref="D26">IF(AND(INDEX('Thang 05-2026'!$A$3:$Q$102,MATCH(1,($A26='Thang 05-2026'!$A$3:$A$102)*($G26='Thang 05-2026'!$C$3:$C$102),0),11)=1,$B26="Triều Xuống"),1,IF(AND(INDEX('Thang 05-2026'!$A$3:$Q$102,MATCH(1,($A26='Thang 05-2026'!$A$3:$A$102)*($G26='Thang 05-2026'!$C$3:$C$102),0),10)=1,$B26="Triều Lên",INDEX('Thang 05-2026'!$A$3:$Q$102,MATCH(1,($A26='Thang 05-2026'!$A$3:$A$102)*($G26='Thang 05-2026'!$C$3:$C$102),0),11)=0),1,0))</f>
        <v>0</v>
      </c>
      <c r="E26">
        <f t="array" ref="E26">IF(AND(INDEX('Thang 05-2026'!$A$3:$Q$102,MATCH(1,($A26='Thang 05-2026'!$A$3:$A$102)*($G26='Thang 05-2026'!$C$3:$C$102),0),15)=1,$B26="Triều Xuống"),1,IF(AND(INDEX('Thang 05-2026'!$A$3:$Q$102,MATCH(1,($A26='Thang 05-2026'!$A$3:$A$102)*($G26='Thang 05-2026'!$C$3:$C$102),0),14)=1,$B26="Triều Lên",INDEX('Thang 05-2026'!$A$3:$Q$102,MATCH(1,($A26='Thang 05-2026'!$A$3:$A$102)*($G26='Thang 05-2026'!$C$3:$C$102),0),15)=0),1,0))</f>
        <v>0</v>
      </c>
      <c r="F26">
        <f t="shared" si="0"/>
        <v>0</v>
      </c>
      <c r="G26">
        <f>INDEX('Thang 05-2026'!$A$3:$C$102,MATCH(A26,'Thang 05-2026'!$A$3:$A$102,0),3)</f>
        <v>5</v>
      </c>
    </row>
    <row r="27" spans="1:7" x14ac:dyDescent="0.2">
      <c r="A27" t="s">
        <v>23</v>
      </c>
      <c r="B27" t="s">
        <v>118</v>
      </c>
      <c r="C27">
        <v>1</v>
      </c>
      <c r="D27">
        <f t="array" ref="D27">IF(AND(INDEX('Thang 05-2026'!$A$3:$Q$102,MATCH(1,($A27='Thang 05-2026'!$A$3:$A$102)*($G27='Thang 05-2026'!$C$3:$C$102),0),11)=1,$B27="Triều Xuống"),1,IF(AND(INDEX('Thang 05-2026'!$A$3:$Q$102,MATCH(1,($A27='Thang 05-2026'!$A$3:$A$102)*($G27='Thang 05-2026'!$C$3:$C$102),0),10)=1,$B27="Triều Lên",INDEX('Thang 05-2026'!$A$3:$Q$102,MATCH(1,($A27='Thang 05-2026'!$A$3:$A$102)*($G27='Thang 05-2026'!$C$3:$C$102),0),11)=0),1,0))</f>
        <v>0</v>
      </c>
      <c r="E27">
        <f t="array" ref="E27">IF(AND(INDEX('Thang 05-2026'!$A$3:$Q$102,MATCH(1,($A27='Thang 05-2026'!$A$3:$A$102)*($G27='Thang 05-2026'!$C$3:$C$102),0),15)=1,$B27="Triều Xuống"),1,IF(AND(INDEX('Thang 05-2026'!$A$3:$Q$102,MATCH(1,($A27='Thang 05-2026'!$A$3:$A$102)*($G27='Thang 05-2026'!$C$3:$C$102),0),14)=1,$B27="Triều Lên",INDEX('Thang 05-2026'!$A$3:$Q$102,MATCH(1,($A27='Thang 05-2026'!$A$3:$A$102)*($G27='Thang 05-2026'!$C$3:$C$102),0),15)=0),1,0))</f>
        <v>0</v>
      </c>
      <c r="F27">
        <f t="shared" si="0"/>
        <v>0</v>
      </c>
      <c r="G27">
        <f>INDEX('Thang 05-2026'!$A$3:$C$102,MATCH(A27,'Thang 05-2026'!$A$3:$A$102,0),3)</f>
        <v>5</v>
      </c>
    </row>
    <row r="28" spans="1:7" x14ac:dyDescent="0.2">
      <c r="A28" t="s">
        <v>24</v>
      </c>
      <c r="B28" t="s">
        <v>118</v>
      </c>
      <c r="C28">
        <v>1</v>
      </c>
      <c r="D28">
        <f t="array" ref="D28">IF(AND(INDEX('Thang 05-2026'!$A$3:$Q$102,MATCH(1,($A28='Thang 05-2026'!$A$3:$A$102)*($G28='Thang 05-2026'!$C$3:$C$102),0),11)=1,$B28="Triều Xuống"),1,IF(AND(INDEX('Thang 05-2026'!$A$3:$Q$102,MATCH(1,($A28='Thang 05-2026'!$A$3:$A$102)*($G28='Thang 05-2026'!$C$3:$C$102),0),10)=1,$B28="Triều Lên",INDEX('Thang 05-2026'!$A$3:$Q$102,MATCH(1,($A28='Thang 05-2026'!$A$3:$A$102)*($G28='Thang 05-2026'!$C$3:$C$102),0),11)=0),1,0))</f>
        <v>0</v>
      </c>
      <c r="E28">
        <f t="array" ref="E28">IF(AND(INDEX('Thang 05-2026'!$A$3:$Q$102,MATCH(1,($A28='Thang 05-2026'!$A$3:$A$102)*($G28='Thang 05-2026'!$C$3:$C$102),0),15)=1,$B28="Triều Xuống"),1,IF(AND(INDEX('Thang 05-2026'!$A$3:$Q$102,MATCH(1,($A28='Thang 05-2026'!$A$3:$A$102)*($G28='Thang 05-2026'!$C$3:$C$102),0),14)=1,$B28="Triều Lên",INDEX('Thang 05-2026'!$A$3:$Q$102,MATCH(1,($A28='Thang 05-2026'!$A$3:$A$102)*($G28='Thang 05-2026'!$C$3:$C$102),0),15)=0),1,0))</f>
        <v>0</v>
      </c>
      <c r="F28">
        <f t="shared" si="0"/>
        <v>0</v>
      </c>
      <c r="G28">
        <f>INDEX('Thang 05-2026'!$A$3:$C$102,MATCH(A28,'Thang 05-2026'!$A$3:$A$102,0),3)</f>
        <v>5</v>
      </c>
    </row>
    <row r="29" spans="1:7" x14ac:dyDescent="0.2">
      <c r="A29" t="s">
        <v>22</v>
      </c>
      <c r="B29" t="s">
        <v>121</v>
      </c>
      <c r="C29">
        <v>1</v>
      </c>
      <c r="D29">
        <f t="array" ref="D29">IF(AND(INDEX('Thang 05-2026'!$A$3:$Q$102,MATCH(1,($A29='Thang 05-2026'!$A$3:$A$102)*($G29='Thang 05-2026'!$C$3:$C$102),0),11)=1,$B29="Triều Xuống"),1,IF(AND(INDEX('Thang 05-2026'!$A$3:$Q$102,MATCH(1,($A29='Thang 05-2026'!$A$3:$A$102)*($G29='Thang 05-2026'!$C$3:$C$102),0),10)=1,$B29="Triều Lên",INDEX('Thang 05-2026'!$A$3:$Q$102,MATCH(1,($A29='Thang 05-2026'!$A$3:$A$102)*($G29='Thang 05-2026'!$C$3:$C$102),0),11)=0),1,0))</f>
        <v>0</v>
      </c>
      <c r="E29">
        <f t="array" ref="E29">IF(AND(INDEX('Thang 05-2026'!$A$3:$Q$102,MATCH(1,($A29='Thang 05-2026'!$A$3:$A$102)*($G29='Thang 05-2026'!$C$3:$C$102),0),15)=1,$B29="Triều Xuống"),1,IF(AND(INDEX('Thang 05-2026'!$A$3:$Q$102,MATCH(1,($A29='Thang 05-2026'!$A$3:$A$102)*($G29='Thang 05-2026'!$C$3:$C$102),0),14)=1,$B29="Triều Lên",INDEX('Thang 05-2026'!$A$3:$Q$102,MATCH(1,($A29='Thang 05-2026'!$A$3:$A$102)*($G29='Thang 05-2026'!$C$3:$C$102),0),15)=0),1,0))</f>
        <v>0</v>
      </c>
      <c r="F29">
        <f t="shared" si="0"/>
        <v>0</v>
      </c>
      <c r="G29">
        <f>INDEX('Thang 05-2026'!$A$3:$C$102,MATCH(A29,'Thang 05-2026'!$A$3:$A$102,0),3)</f>
        <v>5</v>
      </c>
    </row>
    <row r="30" spans="1:7" x14ac:dyDescent="0.2">
      <c r="A30" t="s">
        <v>23</v>
      </c>
      <c r="B30" t="s">
        <v>121</v>
      </c>
      <c r="C30">
        <v>1</v>
      </c>
      <c r="D30">
        <f t="array" ref="D30">IF(AND(INDEX('Thang 05-2026'!$A$3:$Q$102,MATCH(1,($A30='Thang 05-2026'!$A$3:$A$102)*($G30='Thang 05-2026'!$C$3:$C$102),0),11)=1,$B30="Triều Xuống"),1,IF(AND(INDEX('Thang 05-2026'!$A$3:$Q$102,MATCH(1,($A30='Thang 05-2026'!$A$3:$A$102)*($G30='Thang 05-2026'!$C$3:$C$102),0),10)=1,$B30="Triều Lên",INDEX('Thang 05-2026'!$A$3:$Q$102,MATCH(1,($A30='Thang 05-2026'!$A$3:$A$102)*($G30='Thang 05-2026'!$C$3:$C$102),0),11)=0),1,0))</f>
        <v>0</v>
      </c>
      <c r="E30">
        <f t="array" ref="E30">IF(AND(INDEX('Thang 05-2026'!$A$3:$Q$102,MATCH(1,($A30='Thang 05-2026'!$A$3:$A$102)*($G30='Thang 05-2026'!$C$3:$C$102),0),15)=1,$B30="Triều Xuống"),1,IF(AND(INDEX('Thang 05-2026'!$A$3:$Q$102,MATCH(1,($A30='Thang 05-2026'!$A$3:$A$102)*($G30='Thang 05-2026'!$C$3:$C$102),0),14)=1,$B30="Triều Lên",INDEX('Thang 05-2026'!$A$3:$Q$102,MATCH(1,($A30='Thang 05-2026'!$A$3:$A$102)*($G30='Thang 05-2026'!$C$3:$C$102),0),15)=0),1,0))</f>
        <v>0</v>
      </c>
      <c r="F30">
        <f t="shared" si="0"/>
        <v>0</v>
      </c>
      <c r="G30">
        <f>INDEX('Thang 05-2026'!$A$3:$C$102,MATCH(A30,'Thang 05-2026'!$A$3:$A$102,0),3)</f>
        <v>5</v>
      </c>
    </row>
    <row r="31" spans="1:7" x14ac:dyDescent="0.2">
      <c r="A31" t="s">
        <v>24</v>
      </c>
      <c r="B31" t="s">
        <v>121</v>
      </c>
      <c r="C31">
        <v>1</v>
      </c>
      <c r="D31">
        <f t="array" ref="D31">IF(AND(INDEX('Thang 05-2026'!$A$3:$Q$102,MATCH(1,($A31='Thang 05-2026'!$A$3:$A$102)*($G31='Thang 05-2026'!$C$3:$C$102),0),11)=1,$B31="Triều Xuống"),1,IF(AND(INDEX('Thang 05-2026'!$A$3:$Q$102,MATCH(1,($A31='Thang 05-2026'!$A$3:$A$102)*($G31='Thang 05-2026'!$C$3:$C$102),0),10)=1,$B31="Triều Lên",INDEX('Thang 05-2026'!$A$3:$Q$102,MATCH(1,($A31='Thang 05-2026'!$A$3:$A$102)*($G31='Thang 05-2026'!$C$3:$C$102),0),11)=0),1,0))</f>
        <v>1</v>
      </c>
      <c r="E31">
        <f t="array" ref="E31">IF(AND(INDEX('Thang 05-2026'!$A$3:$Q$102,MATCH(1,($A31='Thang 05-2026'!$A$3:$A$102)*($G31='Thang 05-2026'!$C$3:$C$102),0),15)=1,$B31="Triều Xuống"),1,IF(AND(INDEX('Thang 05-2026'!$A$3:$Q$102,MATCH(1,($A31='Thang 05-2026'!$A$3:$A$102)*($G31='Thang 05-2026'!$C$3:$C$102),0),14)=1,$B31="Triều Lên",INDEX('Thang 05-2026'!$A$3:$Q$102,MATCH(1,($A31='Thang 05-2026'!$A$3:$A$102)*($G31='Thang 05-2026'!$C$3:$C$102),0),15)=0),1,0))</f>
        <v>1</v>
      </c>
      <c r="F31">
        <f t="shared" si="0"/>
        <v>2</v>
      </c>
      <c r="G31">
        <f>INDEX('Thang 05-2026'!$A$3:$C$102,MATCH(A31,'Thang 05-2026'!$A$3:$A$102,0),3)</f>
        <v>5</v>
      </c>
    </row>
    <row r="32" spans="1:7" x14ac:dyDescent="0.2">
      <c r="A32" t="s">
        <v>25</v>
      </c>
      <c r="B32" t="s">
        <v>118</v>
      </c>
      <c r="C32">
        <v>1</v>
      </c>
      <c r="D32">
        <f t="array" ref="D32">IF(AND(INDEX('Thang 05-2026'!$A$3:$Q$102,MATCH(1,($A32='Thang 05-2026'!$A$3:$A$102)*($G32='Thang 05-2026'!$C$3:$C$102),0),11)=1,$B32="Triều Xuống"),1,IF(AND(INDEX('Thang 05-2026'!$A$3:$Q$102,MATCH(1,($A32='Thang 05-2026'!$A$3:$A$102)*($G32='Thang 05-2026'!$C$3:$C$102),0),10)=1,$B32="Triều Lên",INDEX('Thang 05-2026'!$A$3:$Q$102,MATCH(1,($A32='Thang 05-2026'!$A$3:$A$102)*($G32='Thang 05-2026'!$C$3:$C$102),0),11)=0),1,0))</f>
        <v>0</v>
      </c>
      <c r="E32">
        <f t="array" ref="E32">IF(AND(INDEX('Thang 05-2026'!$A$3:$Q$102,MATCH(1,($A32='Thang 05-2026'!$A$3:$A$102)*($G32='Thang 05-2026'!$C$3:$C$102),0),15)=1,$B32="Triều Xuống"),1,IF(AND(INDEX('Thang 05-2026'!$A$3:$Q$102,MATCH(1,($A32='Thang 05-2026'!$A$3:$A$102)*($G32='Thang 05-2026'!$C$3:$C$102),0),14)=1,$B32="Triều Lên",INDEX('Thang 05-2026'!$A$3:$Q$102,MATCH(1,($A32='Thang 05-2026'!$A$3:$A$102)*($G32='Thang 05-2026'!$C$3:$C$102),0),15)=0),1,0))</f>
        <v>0</v>
      </c>
      <c r="F32">
        <f t="shared" si="0"/>
        <v>0</v>
      </c>
      <c r="G32">
        <f>INDEX('Thang 05-2026'!$A$3:$C$102,MATCH(A32,'Thang 05-2026'!$A$3:$A$102,0),3)</f>
        <v>6</v>
      </c>
    </row>
    <row r="33" spans="1:7" x14ac:dyDescent="0.2">
      <c r="A33" t="s">
        <v>27</v>
      </c>
      <c r="B33" t="s">
        <v>118</v>
      </c>
      <c r="C33">
        <v>1</v>
      </c>
      <c r="D33">
        <f t="array" ref="D33">IF(AND(INDEX('Thang 05-2026'!$A$3:$Q$102,MATCH(1,($A33='Thang 05-2026'!$A$3:$A$102)*($G33='Thang 05-2026'!$C$3:$C$102),0),11)=1,$B33="Triều Xuống"),1,IF(AND(INDEX('Thang 05-2026'!$A$3:$Q$102,MATCH(1,($A33='Thang 05-2026'!$A$3:$A$102)*($G33='Thang 05-2026'!$C$3:$C$102),0),10)=1,$B33="Triều Lên",INDEX('Thang 05-2026'!$A$3:$Q$102,MATCH(1,($A33='Thang 05-2026'!$A$3:$A$102)*($G33='Thang 05-2026'!$C$3:$C$102),0),11)=0),1,0))</f>
        <v>0</v>
      </c>
      <c r="E33">
        <f t="array" ref="E33">IF(AND(INDEX('Thang 05-2026'!$A$3:$Q$102,MATCH(1,($A33='Thang 05-2026'!$A$3:$A$102)*($G33='Thang 05-2026'!$C$3:$C$102),0),15)=1,$B33="Triều Xuống"),1,IF(AND(INDEX('Thang 05-2026'!$A$3:$Q$102,MATCH(1,($A33='Thang 05-2026'!$A$3:$A$102)*($G33='Thang 05-2026'!$C$3:$C$102),0),14)=1,$B33="Triều Lên",INDEX('Thang 05-2026'!$A$3:$Q$102,MATCH(1,($A33='Thang 05-2026'!$A$3:$A$102)*($G33='Thang 05-2026'!$C$3:$C$102),0),15)=0),1,0))</f>
        <v>0</v>
      </c>
      <c r="F33">
        <f t="shared" si="0"/>
        <v>0</v>
      </c>
      <c r="G33">
        <f>INDEX('Thang 05-2026'!$A$3:$C$102,MATCH(A33,'Thang 05-2026'!$A$3:$A$102,0),3)</f>
        <v>6</v>
      </c>
    </row>
    <row r="34" spans="1:7" x14ac:dyDescent="0.2">
      <c r="A34" t="s">
        <v>28</v>
      </c>
      <c r="B34" t="s">
        <v>118</v>
      </c>
      <c r="C34">
        <v>1</v>
      </c>
      <c r="D34">
        <f t="array" ref="D34">IF(AND(INDEX('Thang 05-2026'!$A$3:$Q$102,MATCH(1,($A34='Thang 05-2026'!$A$3:$A$102)*($G34='Thang 05-2026'!$C$3:$C$102),0),11)=1,$B34="Triều Xuống"),1,IF(AND(INDEX('Thang 05-2026'!$A$3:$Q$102,MATCH(1,($A34='Thang 05-2026'!$A$3:$A$102)*($G34='Thang 05-2026'!$C$3:$C$102),0),10)=1,$B34="Triều Lên",INDEX('Thang 05-2026'!$A$3:$Q$102,MATCH(1,($A34='Thang 05-2026'!$A$3:$A$102)*($G34='Thang 05-2026'!$C$3:$C$102),0),11)=0),1,0))</f>
        <v>0</v>
      </c>
      <c r="E34">
        <f t="array" ref="E34">IF(AND(INDEX('Thang 05-2026'!$A$3:$Q$102,MATCH(1,($A34='Thang 05-2026'!$A$3:$A$102)*($G34='Thang 05-2026'!$C$3:$C$102),0),15)=1,$B34="Triều Xuống"),1,IF(AND(INDEX('Thang 05-2026'!$A$3:$Q$102,MATCH(1,($A34='Thang 05-2026'!$A$3:$A$102)*($G34='Thang 05-2026'!$C$3:$C$102),0),14)=1,$B34="Triều Lên",INDEX('Thang 05-2026'!$A$3:$Q$102,MATCH(1,($A34='Thang 05-2026'!$A$3:$A$102)*($G34='Thang 05-2026'!$C$3:$C$102),0),15)=0),1,0))</f>
        <v>0</v>
      </c>
      <c r="F34">
        <f t="shared" si="0"/>
        <v>0</v>
      </c>
      <c r="G34">
        <f>INDEX('Thang 05-2026'!$A$3:$C$102,MATCH(A34,'Thang 05-2026'!$A$3:$A$102,0),3)</f>
        <v>6</v>
      </c>
    </row>
    <row r="35" spans="1:7" x14ac:dyDescent="0.2">
      <c r="A35" t="s">
        <v>29</v>
      </c>
      <c r="B35" t="s">
        <v>118</v>
      </c>
      <c r="C35">
        <v>1</v>
      </c>
      <c r="D35">
        <f t="array" ref="D35">IF(AND(INDEX('Thang 05-2026'!$A$3:$Q$102,MATCH(1,($A35='Thang 05-2026'!$A$3:$A$102)*($G35='Thang 05-2026'!$C$3:$C$102),0),11)=1,$B35="Triều Xuống"),1,IF(AND(INDEX('Thang 05-2026'!$A$3:$Q$102,MATCH(1,($A35='Thang 05-2026'!$A$3:$A$102)*($G35='Thang 05-2026'!$C$3:$C$102),0),10)=1,$B35="Triều Lên",INDEX('Thang 05-2026'!$A$3:$Q$102,MATCH(1,($A35='Thang 05-2026'!$A$3:$A$102)*($G35='Thang 05-2026'!$C$3:$C$102),0),11)=0),1,0))</f>
        <v>0</v>
      </c>
      <c r="E35">
        <f t="array" ref="E35">IF(AND(INDEX('Thang 05-2026'!$A$3:$Q$102,MATCH(1,($A35='Thang 05-2026'!$A$3:$A$102)*($G35='Thang 05-2026'!$C$3:$C$102),0),15)=1,$B35="Triều Xuống"),1,IF(AND(INDEX('Thang 05-2026'!$A$3:$Q$102,MATCH(1,($A35='Thang 05-2026'!$A$3:$A$102)*($G35='Thang 05-2026'!$C$3:$C$102),0),14)=1,$B35="Triều Lên",INDEX('Thang 05-2026'!$A$3:$Q$102,MATCH(1,($A35='Thang 05-2026'!$A$3:$A$102)*($G35='Thang 05-2026'!$C$3:$C$102),0),15)=0),1,0))</f>
        <v>1</v>
      </c>
      <c r="F35">
        <f t="shared" si="0"/>
        <v>1</v>
      </c>
      <c r="G35">
        <f>INDEX('Thang 05-2026'!$A$3:$C$102,MATCH(A35,'Thang 05-2026'!$A$3:$A$102,0),3)</f>
        <v>6</v>
      </c>
    </row>
    <row r="36" spans="1:7" x14ac:dyDescent="0.2">
      <c r="A36" t="s">
        <v>25</v>
      </c>
      <c r="B36" t="s">
        <v>121</v>
      </c>
      <c r="C36">
        <v>1</v>
      </c>
      <c r="D36">
        <f t="array" ref="D36">IF(AND(INDEX('Thang 05-2026'!$A$3:$Q$102,MATCH(1,($A36='Thang 05-2026'!$A$3:$A$102)*($G36='Thang 05-2026'!$C$3:$C$102),0),11)=1,$B36="Triều Xuống"),1,IF(AND(INDEX('Thang 05-2026'!$A$3:$Q$102,MATCH(1,($A36='Thang 05-2026'!$A$3:$A$102)*($G36='Thang 05-2026'!$C$3:$C$102),0),10)=1,$B36="Triều Lên",INDEX('Thang 05-2026'!$A$3:$Q$102,MATCH(1,($A36='Thang 05-2026'!$A$3:$A$102)*($G36='Thang 05-2026'!$C$3:$C$102),0),11)=0),1,0))</f>
        <v>0</v>
      </c>
      <c r="E36">
        <f t="array" ref="E36">IF(AND(INDEX('Thang 05-2026'!$A$3:$Q$102,MATCH(1,($A36='Thang 05-2026'!$A$3:$A$102)*($G36='Thang 05-2026'!$C$3:$C$102),0),15)=1,$B36="Triều Xuống"),1,IF(AND(INDEX('Thang 05-2026'!$A$3:$Q$102,MATCH(1,($A36='Thang 05-2026'!$A$3:$A$102)*($G36='Thang 05-2026'!$C$3:$C$102),0),14)=1,$B36="Triều Lên",INDEX('Thang 05-2026'!$A$3:$Q$102,MATCH(1,($A36='Thang 05-2026'!$A$3:$A$102)*($G36='Thang 05-2026'!$C$3:$C$102),0),15)=0),1,0))</f>
        <v>0</v>
      </c>
      <c r="F36">
        <f t="shared" si="0"/>
        <v>0</v>
      </c>
      <c r="G36">
        <f>INDEX('Thang 05-2026'!$A$3:$C$102,MATCH(A36,'Thang 05-2026'!$A$3:$A$102,0),3)</f>
        <v>6</v>
      </c>
    </row>
    <row r="37" spans="1:7" x14ac:dyDescent="0.2">
      <c r="A37" t="s">
        <v>27</v>
      </c>
      <c r="B37" t="s">
        <v>121</v>
      </c>
      <c r="C37">
        <v>1</v>
      </c>
      <c r="D37">
        <f t="array" ref="D37">IF(AND(INDEX('Thang 05-2026'!$A$3:$Q$102,MATCH(1,($A37='Thang 05-2026'!$A$3:$A$102)*($G37='Thang 05-2026'!$C$3:$C$102),0),11)=1,$B37="Triều Xuống"),1,IF(AND(INDEX('Thang 05-2026'!$A$3:$Q$102,MATCH(1,($A37='Thang 05-2026'!$A$3:$A$102)*($G37='Thang 05-2026'!$C$3:$C$102),0),10)=1,$B37="Triều Lên",INDEX('Thang 05-2026'!$A$3:$Q$102,MATCH(1,($A37='Thang 05-2026'!$A$3:$A$102)*($G37='Thang 05-2026'!$C$3:$C$102),0),11)=0),1,0))</f>
        <v>1</v>
      </c>
      <c r="E37">
        <f t="array" ref="E37">IF(AND(INDEX('Thang 05-2026'!$A$3:$Q$102,MATCH(1,($A37='Thang 05-2026'!$A$3:$A$102)*($G37='Thang 05-2026'!$C$3:$C$102),0),15)=1,$B37="Triều Xuống"),1,IF(AND(INDEX('Thang 05-2026'!$A$3:$Q$102,MATCH(1,($A37='Thang 05-2026'!$A$3:$A$102)*($G37='Thang 05-2026'!$C$3:$C$102),0),14)=1,$B37="Triều Lên",INDEX('Thang 05-2026'!$A$3:$Q$102,MATCH(1,($A37='Thang 05-2026'!$A$3:$A$102)*($G37='Thang 05-2026'!$C$3:$C$102),0),15)=0),1,0))</f>
        <v>0</v>
      </c>
      <c r="F37">
        <f t="shared" si="0"/>
        <v>1</v>
      </c>
      <c r="G37">
        <f>INDEX('Thang 05-2026'!$A$3:$C$102,MATCH(A37,'Thang 05-2026'!$A$3:$A$102,0),3)</f>
        <v>6</v>
      </c>
    </row>
    <row r="38" spans="1:7" x14ac:dyDescent="0.2">
      <c r="A38" t="s">
        <v>28</v>
      </c>
      <c r="B38" t="s">
        <v>121</v>
      </c>
      <c r="C38">
        <v>1</v>
      </c>
      <c r="D38">
        <f t="array" ref="D38">IF(AND(INDEX('Thang 05-2026'!$A$3:$Q$102,MATCH(1,($A38='Thang 05-2026'!$A$3:$A$102)*($G38='Thang 05-2026'!$C$3:$C$102),0),11)=1,$B38="Triều Xuống"),1,IF(AND(INDEX('Thang 05-2026'!$A$3:$Q$102,MATCH(1,($A38='Thang 05-2026'!$A$3:$A$102)*($G38='Thang 05-2026'!$C$3:$C$102),0),10)=1,$B38="Triều Lên",INDEX('Thang 05-2026'!$A$3:$Q$102,MATCH(1,($A38='Thang 05-2026'!$A$3:$A$102)*($G38='Thang 05-2026'!$C$3:$C$102),0),11)=0),1,0))</f>
        <v>0</v>
      </c>
      <c r="E38">
        <f t="array" ref="E38">IF(AND(INDEX('Thang 05-2026'!$A$3:$Q$102,MATCH(1,($A38='Thang 05-2026'!$A$3:$A$102)*($G38='Thang 05-2026'!$C$3:$C$102),0),15)=1,$B38="Triều Xuống"),1,IF(AND(INDEX('Thang 05-2026'!$A$3:$Q$102,MATCH(1,($A38='Thang 05-2026'!$A$3:$A$102)*($G38='Thang 05-2026'!$C$3:$C$102),0),14)=1,$B38="Triều Lên",INDEX('Thang 05-2026'!$A$3:$Q$102,MATCH(1,($A38='Thang 05-2026'!$A$3:$A$102)*($G38='Thang 05-2026'!$C$3:$C$102),0),15)=0),1,0))</f>
        <v>0</v>
      </c>
      <c r="F38">
        <f t="shared" si="0"/>
        <v>0</v>
      </c>
      <c r="G38">
        <f>INDEX('Thang 05-2026'!$A$3:$C$102,MATCH(A38,'Thang 05-2026'!$A$3:$A$102,0),3)</f>
        <v>6</v>
      </c>
    </row>
    <row r="39" spans="1:7" x14ac:dyDescent="0.2">
      <c r="A39" t="s">
        <v>29</v>
      </c>
      <c r="B39" t="s">
        <v>121</v>
      </c>
      <c r="C39">
        <v>1</v>
      </c>
      <c r="D39">
        <f t="array" ref="D39">IF(AND(INDEX('Thang 05-2026'!$A$3:$Q$102,MATCH(1,($A39='Thang 05-2026'!$A$3:$A$102)*($G39='Thang 05-2026'!$C$3:$C$102),0),11)=1,$B39="Triều Xuống"),1,IF(AND(INDEX('Thang 05-2026'!$A$3:$Q$102,MATCH(1,($A39='Thang 05-2026'!$A$3:$A$102)*($G39='Thang 05-2026'!$C$3:$C$102),0),10)=1,$B39="Triều Lên",INDEX('Thang 05-2026'!$A$3:$Q$102,MATCH(1,($A39='Thang 05-2026'!$A$3:$A$102)*($G39='Thang 05-2026'!$C$3:$C$102),0),11)=0),1,0))</f>
        <v>0</v>
      </c>
      <c r="E39">
        <f t="array" ref="E39">IF(AND(INDEX('Thang 05-2026'!$A$3:$Q$102,MATCH(1,($A39='Thang 05-2026'!$A$3:$A$102)*($G39='Thang 05-2026'!$C$3:$C$102),0),15)=1,$B39="Triều Xuống"),1,IF(AND(INDEX('Thang 05-2026'!$A$3:$Q$102,MATCH(1,($A39='Thang 05-2026'!$A$3:$A$102)*($G39='Thang 05-2026'!$C$3:$C$102),0),14)=1,$B39="Triều Lên",INDEX('Thang 05-2026'!$A$3:$Q$102,MATCH(1,($A39='Thang 05-2026'!$A$3:$A$102)*($G39='Thang 05-2026'!$C$3:$C$102),0),15)=0),1,0))</f>
        <v>0</v>
      </c>
      <c r="F39">
        <f t="shared" si="0"/>
        <v>0</v>
      </c>
      <c r="G39">
        <f>INDEX('Thang 05-2026'!$A$3:$C$102,MATCH(A39,'Thang 05-2026'!$A$3:$A$102,0),3)</f>
        <v>6</v>
      </c>
    </row>
    <row r="40" spans="1:7" x14ac:dyDescent="0.2">
      <c r="A40" t="s">
        <v>30</v>
      </c>
      <c r="B40" t="s">
        <v>118</v>
      </c>
      <c r="C40">
        <v>1</v>
      </c>
      <c r="D40">
        <f t="array" ref="D40">IF(AND(INDEX('Thang 05-2026'!$A$3:$Q$102,MATCH(1,($A40='Thang 05-2026'!$A$3:$A$102)*($G40='Thang 05-2026'!$C$3:$C$102),0),11)=1,$B40="Triều Xuống"),1,IF(AND(INDEX('Thang 05-2026'!$A$3:$Q$102,MATCH(1,($A40='Thang 05-2026'!$A$3:$A$102)*($G40='Thang 05-2026'!$C$3:$C$102),0),10)=1,$B40="Triều Lên",INDEX('Thang 05-2026'!$A$3:$Q$102,MATCH(1,($A40='Thang 05-2026'!$A$3:$A$102)*($G40='Thang 05-2026'!$C$3:$C$102),0),11)=0),1,0))</f>
        <v>0</v>
      </c>
      <c r="E40">
        <f t="array" ref="E40">IF(AND(INDEX('Thang 05-2026'!$A$3:$Q$102,MATCH(1,($A40='Thang 05-2026'!$A$3:$A$102)*($G40='Thang 05-2026'!$C$3:$C$102),0),15)=1,$B40="Triều Xuống"),1,IF(AND(INDEX('Thang 05-2026'!$A$3:$Q$102,MATCH(1,($A40='Thang 05-2026'!$A$3:$A$102)*($G40='Thang 05-2026'!$C$3:$C$102),0),14)=1,$B40="Triều Lên",INDEX('Thang 05-2026'!$A$3:$Q$102,MATCH(1,($A40='Thang 05-2026'!$A$3:$A$102)*($G40='Thang 05-2026'!$C$3:$C$102),0),15)=0),1,0))</f>
        <v>0</v>
      </c>
      <c r="F40">
        <f t="shared" si="0"/>
        <v>0</v>
      </c>
      <c r="G40">
        <f>INDEX('Thang 05-2026'!$A$3:$C$102,MATCH(A40,'Thang 05-2026'!$A$3:$A$102,0),3)</f>
        <v>7</v>
      </c>
    </row>
    <row r="41" spans="1:7" x14ac:dyDescent="0.2">
      <c r="A41" t="s">
        <v>32</v>
      </c>
      <c r="B41" t="s">
        <v>118</v>
      </c>
      <c r="C41">
        <v>1</v>
      </c>
      <c r="D41">
        <f t="array" ref="D41">IF(AND(INDEX('Thang 05-2026'!$A$3:$Q$102,MATCH(1,($A41='Thang 05-2026'!$A$3:$A$102)*($G41='Thang 05-2026'!$C$3:$C$102),0),11)=1,$B41="Triều Xuống"),1,IF(AND(INDEX('Thang 05-2026'!$A$3:$Q$102,MATCH(1,($A41='Thang 05-2026'!$A$3:$A$102)*($G41='Thang 05-2026'!$C$3:$C$102),0),10)=1,$B41="Triều Lên",INDEX('Thang 05-2026'!$A$3:$Q$102,MATCH(1,($A41='Thang 05-2026'!$A$3:$A$102)*($G41='Thang 05-2026'!$C$3:$C$102),0),11)=0),1,0))</f>
        <v>0</v>
      </c>
      <c r="E41">
        <f t="array" ref="E41">IF(AND(INDEX('Thang 05-2026'!$A$3:$Q$102,MATCH(1,($A41='Thang 05-2026'!$A$3:$A$102)*($G41='Thang 05-2026'!$C$3:$C$102),0),15)=1,$B41="Triều Xuống"),1,IF(AND(INDEX('Thang 05-2026'!$A$3:$Q$102,MATCH(1,($A41='Thang 05-2026'!$A$3:$A$102)*($G41='Thang 05-2026'!$C$3:$C$102),0),14)=1,$B41="Triều Lên",INDEX('Thang 05-2026'!$A$3:$Q$102,MATCH(1,($A41='Thang 05-2026'!$A$3:$A$102)*($G41='Thang 05-2026'!$C$3:$C$102),0),15)=0),1,0))</f>
        <v>0</v>
      </c>
      <c r="F41">
        <f t="shared" si="0"/>
        <v>0</v>
      </c>
      <c r="G41">
        <f>INDEX('Thang 05-2026'!$A$3:$C$102,MATCH(A41,'Thang 05-2026'!$A$3:$A$102,0),3)</f>
        <v>7</v>
      </c>
    </row>
    <row r="42" spans="1:7" x14ac:dyDescent="0.2">
      <c r="A42" t="s">
        <v>33</v>
      </c>
      <c r="B42" t="s">
        <v>118</v>
      </c>
      <c r="C42">
        <v>1</v>
      </c>
      <c r="D42">
        <f t="array" ref="D42">IF(AND(INDEX('Thang 05-2026'!$A$3:$Q$102,MATCH(1,($A42='Thang 05-2026'!$A$3:$A$102)*($G42='Thang 05-2026'!$C$3:$C$102),0),11)=1,$B42="Triều Xuống"),1,IF(AND(INDEX('Thang 05-2026'!$A$3:$Q$102,MATCH(1,($A42='Thang 05-2026'!$A$3:$A$102)*($G42='Thang 05-2026'!$C$3:$C$102),0),10)=1,$B42="Triều Lên",INDEX('Thang 05-2026'!$A$3:$Q$102,MATCH(1,($A42='Thang 05-2026'!$A$3:$A$102)*($G42='Thang 05-2026'!$C$3:$C$102),0),11)=0),1,0))</f>
        <v>0</v>
      </c>
      <c r="E42">
        <f t="array" ref="E42">IF(AND(INDEX('Thang 05-2026'!$A$3:$Q$102,MATCH(1,($A42='Thang 05-2026'!$A$3:$A$102)*($G42='Thang 05-2026'!$C$3:$C$102),0),15)=1,$B42="Triều Xuống"),1,IF(AND(INDEX('Thang 05-2026'!$A$3:$Q$102,MATCH(1,($A42='Thang 05-2026'!$A$3:$A$102)*($G42='Thang 05-2026'!$C$3:$C$102),0),14)=1,$B42="Triều Lên",INDEX('Thang 05-2026'!$A$3:$Q$102,MATCH(1,($A42='Thang 05-2026'!$A$3:$A$102)*($G42='Thang 05-2026'!$C$3:$C$102),0),15)=0),1,0))</f>
        <v>0</v>
      </c>
      <c r="F42">
        <f t="shared" si="0"/>
        <v>0</v>
      </c>
      <c r="G42">
        <f>INDEX('Thang 05-2026'!$A$3:$C$102,MATCH(A42,'Thang 05-2026'!$A$3:$A$102,0),3)</f>
        <v>7</v>
      </c>
    </row>
    <row r="43" spans="1:7" x14ac:dyDescent="0.2">
      <c r="A43" t="s">
        <v>34</v>
      </c>
      <c r="B43" t="s">
        <v>118</v>
      </c>
      <c r="C43">
        <v>1</v>
      </c>
      <c r="D43">
        <f t="array" ref="D43">IF(AND(INDEX('Thang 05-2026'!$A$3:$Q$102,MATCH(1,($A43='Thang 05-2026'!$A$3:$A$102)*($G43='Thang 05-2026'!$C$3:$C$102),0),11)=1,$B43="Triều Xuống"),1,IF(AND(INDEX('Thang 05-2026'!$A$3:$Q$102,MATCH(1,($A43='Thang 05-2026'!$A$3:$A$102)*($G43='Thang 05-2026'!$C$3:$C$102),0),10)=1,$B43="Triều Lên",INDEX('Thang 05-2026'!$A$3:$Q$102,MATCH(1,($A43='Thang 05-2026'!$A$3:$A$102)*($G43='Thang 05-2026'!$C$3:$C$102),0),11)=0),1,0))</f>
        <v>0</v>
      </c>
      <c r="E43">
        <f t="array" ref="E43">IF(AND(INDEX('Thang 05-2026'!$A$3:$Q$102,MATCH(1,($A43='Thang 05-2026'!$A$3:$A$102)*($G43='Thang 05-2026'!$C$3:$C$102),0),15)=1,$B43="Triều Xuống"),1,IF(AND(INDEX('Thang 05-2026'!$A$3:$Q$102,MATCH(1,($A43='Thang 05-2026'!$A$3:$A$102)*($G43='Thang 05-2026'!$C$3:$C$102),0),14)=1,$B43="Triều Lên",INDEX('Thang 05-2026'!$A$3:$Q$102,MATCH(1,($A43='Thang 05-2026'!$A$3:$A$102)*($G43='Thang 05-2026'!$C$3:$C$102),0),15)=0),1,0))</f>
        <v>0</v>
      </c>
      <c r="F43">
        <f t="shared" si="0"/>
        <v>0</v>
      </c>
      <c r="G43">
        <f>INDEX('Thang 05-2026'!$A$3:$C$102,MATCH(A43,'Thang 05-2026'!$A$3:$A$102,0),3)</f>
        <v>7</v>
      </c>
    </row>
    <row r="44" spans="1:7" x14ac:dyDescent="0.2">
      <c r="A44" t="s">
        <v>30</v>
      </c>
      <c r="B44" t="s">
        <v>121</v>
      </c>
      <c r="C44">
        <v>1</v>
      </c>
      <c r="D44">
        <f t="array" ref="D44">IF(AND(INDEX('Thang 05-2026'!$A$3:$Q$102,MATCH(1,($A44='Thang 05-2026'!$A$3:$A$102)*($G44='Thang 05-2026'!$C$3:$C$102),0),11)=1,$B44="Triều Xuống"),1,IF(AND(INDEX('Thang 05-2026'!$A$3:$Q$102,MATCH(1,($A44='Thang 05-2026'!$A$3:$A$102)*($G44='Thang 05-2026'!$C$3:$C$102),0),10)=1,$B44="Triều Lên",INDEX('Thang 05-2026'!$A$3:$Q$102,MATCH(1,($A44='Thang 05-2026'!$A$3:$A$102)*($G44='Thang 05-2026'!$C$3:$C$102),0),11)=0),1,0))</f>
        <v>0</v>
      </c>
      <c r="E44">
        <f t="array" ref="E44">IF(AND(INDEX('Thang 05-2026'!$A$3:$Q$102,MATCH(1,($A44='Thang 05-2026'!$A$3:$A$102)*($G44='Thang 05-2026'!$C$3:$C$102),0),15)=1,$B44="Triều Xuống"),1,IF(AND(INDEX('Thang 05-2026'!$A$3:$Q$102,MATCH(1,($A44='Thang 05-2026'!$A$3:$A$102)*($G44='Thang 05-2026'!$C$3:$C$102),0),14)=1,$B44="Triều Lên",INDEX('Thang 05-2026'!$A$3:$Q$102,MATCH(1,($A44='Thang 05-2026'!$A$3:$A$102)*($G44='Thang 05-2026'!$C$3:$C$102),0),15)=0),1,0))</f>
        <v>0</v>
      </c>
      <c r="F44">
        <f t="shared" si="0"/>
        <v>0</v>
      </c>
      <c r="G44">
        <f>INDEX('Thang 05-2026'!$A$3:$C$102,MATCH(A44,'Thang 05-2026'!$A$3:$A$102,0),3)</f>
        <v>7</v>
      </c>
    </row>
    <row r="45" spans="1:7" x14ac:dyDescent="0.2">
      <c r="A45" t="s">
        <v>32</v>
      </c>
      <c r="B45" t="s">
        <v>121</v>
      </c>
      <c r="C45">
        <v>1</v>
      </c>
      <c r="D45">
        <f t="array" ref="D45">IF(AND(INDEX('Thang 05-2026'!$A$3:$Q$102,MATCH(1,($A45='Thang 05-2026'!$A$3:$A$102)*($G45='Thang 05-2026'!$C$3:$C$102),0),11)=1,$B45="Triều Xuống"),1,IF(AND(INDEX('Thang 05-2026'!$A$3:$Q$102,MATCH(1,($A45='Thang 05-2026'!$A$3:$A$102)*($G45='Thang 05-2026'!$C$3:$C$102),0),10)=1,$B45="Triều Lên",INDEX('Thang 05-2026'!$A$3:$Q$102,MATCH(1,($A45='Thang 05-2026'!$A$3:$A$102)*($G45='Thang 05-2026'!$C$3:$C$102),0),11)=0),1,0))</f>
        <v>0</v>
      </c>
      <c r="E45">
        <f t="array" ref="E45">IF(AND(INDEX('Thang 05-2026'!$A$3:$Q$102,MATCH(1,($A45='Thang 05-2026'!$A$3:$A$102)*($G45='Thang 05-2026'!$C$3:$C$102),0),15)=1,$B45="Triều Xuống"),1,IF(AND(INDEX('Thang 05-2026'!$A$3:$Q$102,MATCH(1,($A45='Thang 05-2026'!$A$3:$A$102)*($G45='Thang 05-2026'!$C$3:$C$102),0),14)=1,$B45="Triều Lên",INDEX('Thang 05-2026'!$A$3:$Q$102,MATCH(1,($A45='Thang 05-2026'!$A$3:$A$102)*($G45='Thang 05-2026'!$C$3:$C$102),0),15)=0),1,0))</f>
        <v>0</v>
      </c>
      <c r="F45">
        <f t="shared" si="0"/>
        <v>0</v>
      </c>
      <c r="G45">
        <f>INDEX('Thang 05-2026'!$A$3:$C$102,MATCH(A45,'Thang 05-2026'!$A$3:$A$102,0),3)</f>
        <v>7</v>
      </c>
    </row>
    <row r="46" spans="1:7" x14ac:dyDescent="0.2">
      <c r="A46" t="s">
        <v>33</v>
      </c>
      <c r="B46" t="s">
        <v>121</v>
      </c>
      <c r="C46">
        <v>1</v>
      </c>
      <c r="D46">
        <f t="array" ref="D46">IF(AND(INDEX('Thang 05-2026'!$A$3:$Q$102,MATCH(1,($A46='Thang 05-2026'!$A$3:$A$102)*($G46='Thang 05-2026'!$C$3:$C$102),0),11)=1,$B46="Triều Xuống"),1,IF(AND(INDEX('Thang 05-2026'!$A$3:$Q$102,MATCH(1,($A46='Thang 05-2026'!$A$3:$A$102)*($G46='Thang 05-2026'!$C$3:$C$102),0),10)=1,$B46="Triều Lên",INDEX('Thang 05-2026'!$A$3:$Q$102,MATCH(1,($A46='Thang 05-2026'!$A$3:$A$102)*($G46='Thang 05-2026'!$C$3:$C$102),0),11)=0),1,0))</f>
        <v>0</v>
      </c>
      <c r="E46">
        <f t="array" ref="E46">IF(AND(INDEX('Thang 05-2026'!$A$3:$Q$102,MATCH(1,($A46='Thang 05-2026'!$A$3:$A$102)*($G46='Thang 05-2026'!$C$3:$C$102),0),15)=1,$B46="Triều Xuống"),1,IF(AND(INDEX('Thang 05-2026'!$A$3:$Q$102,MATCH(1,($A46='Thang 05-2026'!$A$3:$A$102)*($G46='Thang 05-2026'!$C$3:$C$102),0),14)=1,$B46="Triều Lên",INDEX('Thang 05-2026'!$A$3:$Q$102,MATCH(1,($A46='Thang 05-2026'!$A$3:$A$102)*($G46='Thang 05-2026'!$C$3:$C$102),0),15)=0),1,0))</f>
        <v>0</v>
      </c>
      <c r="F46">
        <f t="shared" si="0"/>
        <v>0</v>
      </c>
      <c r="G46">
        <f>INDEX('Thang 05-2026'!$A$3:$C$102,MATCH(A46,'Thang 05-2026'!$A$3:$A$102,0),3)</f>
        <v>7</v>
      </c>
    </row>
    <row r="47" spans="1:7" x14ac:dyDescent="0.2">
      <c r="A47" t="s">
        <v>34</v>
      </c>
      <c r="B47" t="s">
        <v>121</v>
      </c>
      <c r="C47">
        <v>1</v>
      </c>
      <c r="D47">
        <f t="array" ref="D47">IF(AND(INDEX('Thang 05-2026'!$A$3:$Q$102,MATCH(1,($A47='Thang 05-2026'!$A$3:$A$102)*($G47='Thang 05-2026'!$C$3:$C$102),0),11)=1,$B47="Triều Xuống"),1,IF(AND(INDEX('Thang 05-2026'!$A$3:$Q$102,MATCH(1,($A47='Thang 05-2026'!$A$3:$A$102)*($G47='Thang 05-2026'!$C$3:$C$102),0),10)=1,$B47="Triều Lên",INDEX('Thang 05-2026'!$A$3:$Q$102,MATCH(1,($A47='Thang 05-2026'!$A$3:$A$102)*($G47='Thang 05-2026'!$C$3:$C$102),0),11)=0),1,0))</f>
        <v>0</v>
      </c>
      <c r="E47">
        <f t="array" ref="E47">IF(AND(INDEX('Thang 05-2026'!$A$3:$Q$102,MATCH(1,($A47='Thang 05-2026'!$A$3:$A$102)*($G47='Thang 05-2026'!$C$3:$C$102),0),15)=1,$B47="Triều Xuống"),1,IF(AND(INDEX('Thang 05-2026'!$A$3:$Q$102,MATCH(1,($A47='Thang 05-2026'!$A$3:$A$102)*($G47='Thang 05-2026'!$C$3:$C$102),0),14)=1,$B47="Triều Lên",INDEX('Thang 05-2026'!$A$3:$Q$102,MATCH(1,($A47='Thang 05-2026'!$A$3:$A$102)*($G47='Thang 05-2026'!$C$3:$C$102),0),15)=0),1,0))</f>
        <v>0</v>
      </c>
      <c r="F47">
        <f t="shared" si="0"/>
        <v>0</v>
      </c>
      <c r="G47">
        <f>INDEX('Thang 05-2026'!$A$3:$C$102,MATCH(A47,'Thang 05-2026'!$A$3:$A$102,0),3)</f>
        <v>7</v>
      </c>
    </row>
    <row r="48" spans="1:7" x14ac:dyDescent="0.2">
      <c r="A48" t="s">
        <v>39</v>
      </c>
      <c r="B48" t="s">
        <v>118</v>
      </c>
      <c r="C48">
        <v>1</v>
      </c>
      <c r="D48">
        <f t="array" ref="D48">IF(AND(INDEX('Thang 05-2026'!$A$3:$Q$102,MATCH(1,($A48='Thang 05-2026'!$A$3:$A$102)*($G48='Thang 05-2026'!$C$3:$C$102),0),11)=1,$B48="Triều Xuống"),1,IF(AND(INDEX('Thang 05-2026'!$A$3:$Q$102,MATCH(1,($A48='Thang 05-2026'!$A$3:$A$102)*($G48='Thang 05-2026'!$C$3:$C$102),0),10)=1,$B48="Triều Lên",INDEX('Thang 05-2026'!$A$3:$Q$102,MATCH(1,($A48='Thang 05-2026'!$A$3:$A$102)*($G48='Thang 05-2026'!$C$3:$C$102),0),11)=0),1,0))</f>
        <v>0</v>
      </c>
      <c r="E48">
        <f t="array" ref="E48">IF(AND(INDEX('Thang 05-2026'!$A$3:$Q$102,MATCH(1,($A48='Thang 05-2026'!$A$3:$A$102)*($G48='Thang 05-2026'!$C$3:$C$102),0),15)=1,$B48="Triều Xuống"),1,IF(AND(INDEX('Thang 05-2026'!$A$3:$Q$102,MATCH(1,($A48='Thang 05-2026'!$A$3:$A$102)*($G48='Thang 05-2026'!$C$3:$C$102),0),14)=1,$B48="Triều Lên",INDEX('Thang 05-2026'!$A$3:$Q$102,MATCH(1,($A48='Thang 05-2026'!$A$3:$A$102)*($G48='Thang 05-2026'!$C$3:$C$102),0),15)=0),1,0))</f>
        <v>0</v>
      </c>
      <c r="F48">
        <f t="shared" si="0"/>
        <v>0</v>
      </c>
      <c r="G48">
        <f>INDEX('Thang 05-2026'!$A$3:$C$102,MATCH(A48,'Thang 05-2026'!$A$3:$A$102,0),3)</f>
        <v>8</v>
      </c>
    </row>
    <row r="49" spans="1:7" x14ac:dyDescent="0.2">
      <c r="A49" t="s">
        <v>39</v>
      </c>
      <c r="B49" t="s">
        <v>121</v>
      </c>
      <c r="C49">
        <v>1</v>
      </c>
      <c r="D49">
        <f t="array" ref="D49">IF(AND(INDEX('Thang 05-2026'!$A$3:$Q$102,MATCH(1,($A49='Thang 05-2026'!$A$3:$A$102)*($G49='Thang 05-2026'!$C$3:$C$102),0),11)=1,$B49="Triều Xuống"),1,IF(AND(INDEX('Thang 05-2026'!$A$3:$Q$102,MATCH(1,($A49='Thang 05-2026'!$A$3:$A$102)*($G49='Thang 05-2026'!$C$3:$C$102),0),10)=1,$B49="Triều Lên",INDEX('Thang 05-2026'!$A$3:$Q$102,MATCH(1,($A49='Thang 05-2026'!$A$3:$A$102)*($G49='Thang 05-2026'!$C$3:$C$102),0),11)=0),1,0))</f>
        <v>0</v>
      </c>
      <c r="E49">
        <f t="array" ref="E49">IF(AND(INDEX('Thang 05-2026'!$A$3:$Q$102,MATCH(1,($A49='Thang 05-2026'!$A$3:$A$102)*($G49='Thang 05-2026'!$C$3:$C$102),0),15)=1,$B49="Triều Xuống"),1,IF(AND(INDEX('Thang 05-2026'!$A$3:$Q$102,MATCH(1,($A49='Thang 05-2026'!$A$3:$A$102)*($G49='Thang 05-2026'!$C$3:$C$102),0),14)=1,$B49="Triều Lên",INDEX('Thang 05-2026'!$A$3:$Q$102,MATCH(1,($A49='Thang 05-2026'!$A$3:$A$102)*($G49='Thang 05-2026'!$C$3:$C$102),0),15)=0),1,0))</f>
        <v>0</v>
      </c>
      <c r="F49">
        <f t="shared" si="0"/>
        <v>0</v>
      </c>
      <c r="G49">
        <f>INDEX('Thang 05-2026'!$A$3:$C$102,MATCH(A49,'Thang 05-2026'!$A$3:$A$102,0),3)</f>
        <v>8</v>
      </c>
    </row>
    <row r="50" spans="1:7" x14ac:dyDescent="0.2">
      <c r="A50" t="s">
        <v>35</v>
      </c>
      <c r="B50" t="s">
        <v>118</v>
      </c>
      <c r="C50">
        <v>1</v>
      </c>
      <c r="D50">
        <f t="array" ref="D50">IF(AND(INDEX('Thang 05-2026'!$A$3:$Q$102,MATCH(1,($A50='Thang 05-2026'!$A$3:$A$102)*($G50='Thang 05-2026'!$C$3:$C$102),0),11)=1,$B50="Triều Xuống"),1,IF(AND(INDEX('Thang 05-2026'!$A$3:$Q$102,MATCH(1,($A50='Thang 05-2026'!$A$3:$A$102)*($G50='Thang 05-2026'!$C$3:$C$102),0),10)=1,$B50="Triều Lên",INDEX('Thang 05-2026'!$A$3:$Q$102,MATCH(1,($A50='Thang 05-2026'!$A$3:$A$102)*($G50='Thang 05-2026'!$C$3:$C$102),0),11)=0),1,0))</f>
        <v>1</v>
      </c>
      <c r="E50">
        <f t="array" ref="E50">IF(AND(INDEX('Thang 05-2026'!$A$3:$Q$102,MATCH(1,($A50='Thang 05-2026'!$A$3:$A$102)*($G50='Thang 05-2026'!$C$3:$C$102),0),15)=1,$B50="Triều Xuống"),1,IF(AND(INDEX('Thang 05-2026'!$A$3:$Q$102,MATCH(1,($A50='Thang 05-2026'!$A$3:$A$102)*($G50='Thang 05-2026'!$C$3:$C$102),0),14)=1,$B50="Triều Lên",INDEX('Thang 05-2026'!$A$3:$Q$102,MATCH(1,($A50='Thang 05-2026'!$A$3:$A$102)*($G50='Thang 05-2026'!$C$3:$C$102),0),15)=0),1,0))</f>
        <v>0</v>
      </c>
      <c r="F50">
        <f t="shared" si="0"/>
        <v>1</v>
      </c>
      <c r="G50">
        <f>INDEX('Thang 05-2026'!$A$3:$C$102,MATCH(A50,'Thang 05-2026'!$A$3:$A$102,0),3)</f>
        <v>8</v>
      </c>
    </row>
    <row r="51" spans="1:7" x14ac:dyDescent="0.2">
      <c r="A51" t="s">
        <v>37</v>
      </c>
      <c r="B51" t="s">
        <v>118</v>
      </c>
      <c r="C51">
        <v>1</v>
      </c>
      <c r="D51">
        <f t="array" ref="D51">IF(AND(INDEX('Thang 05-2026'!$A$3:$Q$102,MATCH(1,($A51='Thang 05-2026'!$A$3:$A$102)*($G51='Thang 05-2026'!$C$3:$C$102),0),11)=1,$B51="Triều Xuống"),1,IF(AND(INDEX('Thang 05-2026'!$A$3:$Q$102,MATCH(1,($A51='Thang 05-2026'!$A$3:$A$102)*($G51='Thang 05-2026'!$C$3:$C$102),0),10)=1,$B51="Triều Lên",INDEX('Thang 05-2026'!$A$3:$Q$102,MATCH(1,($A51='Thang 05-2026'!$A$3:$A$102)*($G51='Thang 05-2026'!$C$3:$C$102),0),11)=0),1,0))</f>
        <v>0</v>
      </c>
      <c r="E51">
        <f t="array" ref="E51">IF(AND(INDEX('Thang 05-2026'!$A$3:$Q$102,MATCH(1,($A51='Thang 05-2026'!$A$3:$A$102)*($G51='Thang 05-2026'!$C$3:$C$102),0),15)=1,$B51="Triều Xuống"),1,IF(AND(INDEX('Thang 05-2026'!$A$3:$Q$102,MATCH(1,($A51='Thang 05-2026'!$A$3:$A$102)*($G51='Thang 05-2026'!$C$3:$C$102),0),14)=1,$B51="Triều Lên",INDEX('Thang 05-2026'!$A$3:$Q$102,MATCH(1,($A51='Thang 05-2026'!$A$3:$A$102)*($G51='Thang 05-2026'!$C$3:$C$102),0),15)=0),1,0))</f>
        <v>0</v>
      </c>
      <c r="F51">
        <f t="shared" si="0"/>
        <v>0</v>
      </c>
      <c r="G51">
        <f>INDEX('Thang 05-2026'!$A$3:$C$102,MATCH(A51,'Thang 05-2026'!$A$3:$A$102,0),3)</f>
        <v>8</v>
      </c>
    </row>
    <row r="52" spans="1:7" x14ac:dyDescent="0.2">
      <c r="A52" t="s">
        <v>38</v>
      </c>
      <c r="B52" t="s">
        <v>118</v>
      </c>
      <c r="C52">
        <v>1</v>
      </c>
      <c r="D52">
        <f t="array" ref="D52">IF(AND(INDEX('Thang 05-2026'!$A$3:$Q$102,MATCH(1,($A52='Thang 05-2026'!$A$3:$A$102)*($G52='Thang 05-2026'!$C$3:$C$102),0),11)=1,$B52="Triều Xuống"),1,IF(AND(INDEX('Thang 05-2026'!$A$3:$Q$102,MATCH(1,($A52='Thang 05-2026'!$A$3:$A$102)*($G52='Thang 05-2026'!$C$3:$C$102),0),10)=1,$B52="Triều Lên",INDEX('Thang 05-2026'!$A$3:$Q$102,MATCH(1,($A52='Thang 05-2026'!$A$3:$A$102)*($G52='Thang 05-2026'!$C$3:$C$102),0),11)=0),1,0))</f>
        <v>0</v>
      </c>
      <c r="E52">
        <f t="array" ref="E52">IF(AND(INDEX('Thang 05-2026'!$A$3:$Q$102,MATCH(1,($A52='Thang 05-2026'!$A$3:$A$102)*($G52='Thang 05-2026'!$C$3:$C$102),0),15)=1,$B52="Triều Xuống"),1,IF(AND(INDEX('Thang 05-2026'!$A$3:$Q$102,MATCH(1,($A52='Thang 05-2026'!$A$3:$A$102)*($G52='Thang 05-2026'!$C$3:$C$102),0),14)=1,$B52="Triều Lên",INDEX('Thang 05-2026'!$A$3:$Q$102,MATCH(1,($A52='Thang 05-2026'!$A$3:$A$102)*($G52='Thang 05-2026'!$C$3:$C$102),0),15)=0),1,0))</f>
        <v>0</v>
      </c>
      <c r="F52">
        <f t="shared" si="0"/>
        <v>0</v>
      </c>
      <c r="G52">
        <f>INDEX('Thang 05-2026'!$A$3:$C$102,MATCH(A52,'Thang 05-2026'!$A$3:$A$102,0),3)</f>
        <v>8</v>
      </c>
    </row>
    <row r="53" spans="1:7" x14ac:dyDescent="0.2">
      <c r="A53" t="s">
        <v>35</v>
      </c>
      <c r="B53" t="s">
        <v>121</v>
      </c>
      <c r="C53">
        <v>1</v>
      </c>
      <c r="D53">
        <f t="array" ref="D53">IF(AND(INDEX('Thang 05-2026'!$A$3:$Q$102,MATCH(1,($A53='Thang 05-2026'!$A$3:$A$102)*($G53='Thang 05-2026'!$C$3:$C$102),0),11)=1,$B53="Triều Xuống"),1,IF(AND(INDEX('Thang 05-2026'!$A$3:$Q$102,MATCH(1,($A53='Thang 05-2026'!$A$3:$A$102)*($G53='Thang 05-2026'!$C$3:$C$102),0),10)=1,$B53="Triều Lên",INDEX('Thang 05-2026'!$A$3:$Q$102,MATCH(1,($A53='Thang 05-2026'!$A$3:$A$102)*($G53='Thang 05-2026'!$C$3:$C$102),0),11)=0),1,0))</f>
        <v>0</v>
      </c>
      <c r="E53">
        <f t="array" ref="E53">IF(AND(INDEX('Thang 05-2026'!$A$3:$Q$102,MATCH(1,($A53='Thang 05-2026'!$A$3:$A$102)*($G53='Thang 05-2026'!$C$3:$C$102),0),15)=1,$B53="Triều Xuống"),1,IF(AND(INDEX('Thang 05-2026'!$A$3:$Q$102,MATCH(1,($A53='Thang 05-2026'!$A$3:$A$102)*($G53='Thang 05-2026'!$C$3:$C$102),0),14)=1,$B53="Triều Lên",INDEX('Thang 05-2026'!$A$3:$Q$102,MATCH(1,($A53='Thang 05-2026'!$A$3:$A$102)*($G53='Thang 05-2026'!$C$3:$C$102),0),15)=0),1,0))</f>
        <v>0</v>
      </c>
      <c r="F53">
        <f t="shared" si="0"/>
        <v>0</v>
      </c>
      <c r="G53">
        <f>INDEX('Thang 05-2026'!$A$3:$C$102,MATCH(A53,'Thang 05-2026'!$A$3:$A$102,0),3)</f>
        <v>8</v>
      </c>
    </row>
    <row r="54" spans="1:7" x14ac:dyDescent="0.2">
      <c r="A54" t="s">
        <v>37</v>
      </c>
      <c r="B54" t="s">
        <v>121</v>
      </c>
      <c r="C54">
        <v>1</v>
      </c>
      <c r="D54">
        <f t="array" ref="D54">IF(AND(INDEX('Thang 05-2026'!$A$3:$Q$102,MATCH(1,($A54='Thang 05-2026'!$A$3:$A$102)*($G54='Thang 05-2026'!$C$3:$C$102),0),11)=1,$B54="Triều Xuống"),1,IF(AND(INDEX('Thang 05-2026'!$A$3:$Q$102,MATCH(1,($A54='Thang 05-2026'!$A$3:$A$102)*($G54='Thang 05-2026'!$C$3:$C$102),0),10)=1,$B54="Triều Lên",INDEX('Thang 05-2026'!$A$3:$Q$102,MATCH(1,($A54='Thang 05-2026'!$A$3:$A$102)*($G54='Thang 05-2026'!$C$3:$C$102),0),11)=0),1,0))</f>
        <v>0</v>
      </c>
      <c r="E54">
        <f t="array" ref="E54">IF(AND(INDEX('Thang 05-2026'!$A$3:$Q$102,MATCH(1,($A54='Thang 05-2026'!$A$3:$A$102)*($G54='Thang 05-2026'!$C$3:$C$102),0),15)=1,$B54="Triều Xuống"),1,IF(AND(INDEX('Thang 05-2026'!$A$3:$Q$102,MATCH(1,($A54='Thang 05-2026'!$A$3:$A$102)*($G54='Thang 05-2026'!$C$3:$C$102),0),14)=1,$B54="Triều Lên",INDEX('Thang 05-2026'!$A$3:$Q$102,MATCH(1,($A54='Thang 05-2026'!$A$3:$A$102)*($G54='Thang 05-2026'!$C$3:$C$102),0),15)=0),1,0))</f>
        <v>0</v>
      </c>
      <c r="F54">
        <f t="shared" si="0"/>
        <v>0</v>
      </c>
      <c r="G54">
        <f>INDEX('Thang 05-2026'!$A$3:$C$102,MATCH(A54,'Thang 05-2026'!$A$3:$A$102,0),3)</f>
        <v>8</v>
      </c>
    </row>
    <row r="55" spans="1:7" x14ac:dyDescent="0.2">
      <c r="A55" t="s">
        <v>38</v>
      </c>
      <c r="B55" t="s">
        <v>121</v>
      </c>
      <c r="C55">
        <v>1</v>
      </c>
      <c r="D55">
        <f t="array" ref="D55">IF(AND(INDEX('Thang 05-2026'!$A$3:$Q$102,MATCH(1,($A55='Thang 05-2026'!$A$3:$A$102)*($G55='Thang 05-2026'!$C$3:$C$102),0),11)=1,$B55="Triều Xuống"),1,IF(AND(INDEX('Thang 05-2026'!$A$3:$Q$102,MATCH(1,($A55='Thang 05-2026'!$A$3:$A$102)*($G55='Thang 05-2026'!$C$3:$C$102),0),10)=1,$B55="Triều Lên",INDEX('Thang 05-2026'!$A$3:$Q$102,MATCH(1,($A55='Thang 05-2026'!$A$3:$A$102)*($G55='Thang 05-2026'!$C$3:$C$102),0),11)=0),1,0))</f>
        <v>0</v>
      </c>
      <c r="E55">
        <f t="array" ref="E55">IF(AND(INDEX('Thang 05-2026'!$A$3:$Q$102,MATCH(1,($A55='Thang 05-2026'!$A$3:$A$102)*($G55='Thang 05-2026'!$C$3:$C$102),0),15)=1,$B55="Triều Xuống"),1,IF(AND(INDEX('Thang 05-2026'!$A$3:$Q$102,MATCH(1,($A55='Thang 05-2026'!$A$3:$A$102)*($G55='Thang 05-2026'!$C$3:$C$102),0),14)=1,$B55="Triều Lên",INDEX('Thang 05-2026'!$A$3:$Q$102,MATCH(1,($A55='Thang 05-2026'!$A$3:$A$102)*($G55='Thang 05-2026'!$C$3:$C$102),0),15)=0),1,0))</f>
        <v>0</v>
      </c>
      <c r="F55">
        <f t="shared" si="0"/>
        <v>0</v>
      </c>
      <c r="G55">
        <f>INDEX('Thang 05-2026'!$A$3:$C$102,MATCH(A55,'Thang 05-2026'!$A$3:$A$102,0),3)</f>
        <v>8</v>
      </c>
    </row>
    <row r="56" spans="1:7" x14ac:dyDescent="0.2">
      <c r="A56" t="s">
        <v>125</v>
      </c>
      <c r="B56" t="s">
        <v>118</v>
      </c>
      <c r="C56">
        <v>1</v>
      </c>
      <c r="D56">
        <f t="array" ref="D56">IF(AND(INDEX('Thang 05-2026'!$A$3:$Q$102,MATCH(1,($A56='Thang 05-2026'!$A$3:$A$102)*($G56='Thang 05-2026'!$C$3:$C$102),0),11)=1,$B56="Triều Xuống"),1,IF(AND(INDEX('Thang 05-2026'!$A$3:$Q$102,MATCH(1,($A56='Thang 05-2026'!$A$3:$A$102)*($G56='Thang 05-2026'!$C$3:$C$102),0),10)=1,$B56="Triều Lên",INDEX('Thang 05-2026'!$A$3:$Q$102,MATCH(1,($A56='Thang 05-2026'!$A$3:$A$102)*($G56='Thang 05-2026'!$C$3:$C$102),0),11)=0),1,0))</f>
        <v>0</v>
      </c>
      <c r="E56">
        <f t="array" ref="E56">IF(AND(INDEX('Thang 05-2026'!$A$3:$Q$102,MATCH(1,($A56='Thang 05-2026'!$A$3:$A$102)*($G56='Thang 05-2026'!$C$3:$C$102),0),15)=1,$B56="Triều Xuống"),1,IF(AND(INDEX('Thang 05-2026'!$A$3:$Q$102,MATCH(1,($A56='Thang 05-2026'!$A$3:$A$102)*($G56='Thang 05-2026'!$C$3:$C$102),0),14)=1,$B56="Triều Lên",INDEX('Thang 05-2026'!$A$3:$Q$102,MATCH(1,($A56='Thang 05-2026'!$A$3:$A$102)*($G56='Thang 05-2026'!$C$3:$C$102),0),15)=0),1,0))</f>
        <v>1</v>
      </c>
      <c r="F56">
        <f t="shared" si="0"/>
        <v>1</v>
      </c>
      <c r="G56">
        <f>INDEX('Thang 05-2026'!$A$3:$C$102,MATCH(A56,'Thang 05-2026'!$A$3:$A$102,0),3)</f>
        <v>11</v>
      </c>
    </row>
    <row r="57" spans="1:7" x14ac:dyDescent="0.2">
      <c r="A57" t="s">
        <v>126</v>
      </c>
      <c r="B57" t="s">
        <v>118</v>
      </c>
      <c r="C57">
        <v>1</v>
      </c>
      <c r="D57">
        <f t="array" ref="D57">IF(AND(INDEX('Thang 05-2026'!$A$3:$Q$102,MATCH(1,($A57='Thang 05-2026'!$A$3:$A$102)*($G57='Thang 05-2026'!$C$3:$C$102),0),11)=1,$B57="Triều Xuống"),1,IF(AND(INDEX('Thang 05-2026'!$A$3:$Q$102,MATCH(1,($A57='Thang 05-2026'!$A$3:$A$102)*($G57='Thang 05-2026'!$C$3:$C$102),0),10)=1,$B57="Triều Lên",INDEX('Thang 05-2026'!$A$3:$Q$102,MATCH(1,($A57='Thang 05-2026'!$A$3:$A$102)*($G57='Thang 05-2026'!$C$3:$C$102),0),11)=0),1,0))</f>
        <v>0</v>
      </c>
      <c r="E57">
        <f t="array" ref="E57">IF(AND(INDEX('Thang 05-2026'!$A$3:$Q$102,MATCH(1,($A57='Thang 05-2026'!$A$3:$A$102)*($G57='Thang 05-2026'!$C$3:$C$102),0),15)=1,$B57="Triều Xuống"),1,IF(AND(INDEX('Thang 05-2026'!$A$3:$Q$102,MATCH(1,($A57='Thang 05-2026'!$A$3:$A$102)*($G57='Thang 05-2026'!$C$3:$C$102),0),14)=1,$B57="Triều Lên",INDEX('Thang 05-2026'!$A$3:$Q$102,MATCH(1,($A57='Thang 05-2026'!$A$3:$A$102)*($G57='Thang 05-2026'!$C$3:$C$102),0),15)=0),1,0))</f>
        <v>0</v>
      </c>
      <c r="F57">
        <f t="shared" si="0"/>
        <v>0</v>
      </c>
      <c r="G57">
        <f>INDEX('Thang 05-2026'!$A$3:$C$102,MATCH(A57,'Thang 05-2026'!$A$3:$A$102,0),3)</f>
        <v>11</v>
      </c>
    </row>
    <row r="58" spans="1:7" x14ac:dyDescent="0.2">
      <c r="A58" t="s">
        <v>127</v>
      </c>
      <c r="B58" t="s">
        <v>118</v>
      </c>
      <c r="C58">
        <v>1</v>
      </c>
      <c r="D58">
        <f t="array" ref="D58">IF(AND(INDEX('Thang 05-2026'!$A$3:$Q$102,MATCH(1,($A58='Thang 05-2026'!$A$3:$A$102)*($G58='Thang 05-2026'!$C$3:$C$102),0),11)=1,$B58="Triều Xuống"),1,IF(AND(INDEX('Thang 05-2026'!$A$3:$Q$102,MATCH(1,($A58='Thang 05-2026'!$A$3:$A$102)*($G58='Thang 05-2026'!$C$3:$C$102),0),10)=1,$B58="Triều Lên",INDEX('Thang 05-2026'!$A$3:$Q$102,MATCH(1,($A58='Thang 05-2026'!$A$3:$A$102)*($G58='Thang 05-2026'!$C$3:$C$102),0),11)=0),1,0))</f>
        <v>0</v>
      </c>
      <c r="E58">
        <f t="array" ref="E58">IF(AND(INDEX('Thang 05-2026'!$A$3:$Q$102,MATCH(1,($A58='Thang 05-2026'!$A$3:$A$102)*($G58='Thang 05-2026'!$C$3:$C$102),0),15)=1,$B58="Triều Xuống"),1,IF(AND(INDEX('Thang 05-2026'!$A$3:$Q$102,MATCH(1,($A58='Thang 05-2026'!$A$3:$A$102)*($G58='Thang 05-2026'!$C$3:$C$102),0),14)=1,$B58="Triều Lên",INDEX('Thang 05-2026'!$A$3:$Q$102,MATCH(1,($A58='Thang 05-2026'!$A$3:$A$102)*($G58='Thang 05-2026'!$C$3:$C$102),0),15)=0),1,0))</f>
        <v>0</v>
      </c>
      <c r="F58">
        <f t="shared" si="0"/>
        <v>0</v>
      </c>
      <c r="G58">
        <f>INDEX('Thang 05-2026'!$A$3:$C$102,MATCH(A58,'Thang 05-2026'!$A$3:$A$102,0),3)</f>
        <v>11</v>
      </c>
    </row>
    <row r="59" spans="1:7" x14ac:dyDescent="0.2">
      <c r="A59" t="s">
        <v>128</v>
      </c>
      <c r="B59" t="s">
        <v>118</v>
      </c>
      <c r="C59">
        <v>1</v>
      </c>
      <c r="D59">
        <f t="array" ref="D59">IF(AND(INDEX('Thang 05-2026'!$A$3:$Q$102,MATCH(1,($A59='Thang 05-2026'!$A$3:$A$102)*($G59='Thang 05-2026'!$C$3:$C$102),0),11)=1,$B59="Triều Xuống"),1,IF(AND(INDEX('Thang 05-2026'!$A$3:$Q$102,MATCH(1,($A59='Thang 05-2026'!$A$3:$A$102)*($G59='Thang 05-2026'!$C$3:$C$102),0),10)=1,$B59="Triều Lên",INDEX('Thang 05-2026'!$A$3:$Q$102,MATCH(1,($A59='Thang 05-2026'!$A$3:$A$102)*($G59='Thang 05-2026'!$C$3:$C$102),0),11)=0),1,0))</f>
        <v>0</v>
      </c>
      <c r="E59">
        <f t="array" ref="E59">IF(AND(INDEX('Thang 05-2026'!$A$3:$Q$102,MATCH(1,($A59='Thang 05-2026'!$A$3:$A$102)*($G59='Thang 05-2026'!$C$3:$C$102),0),15)=1,$B59="Triều Xuống"),1,IF(AND(INDEX('Thang 05-2026'!$A$3:$Q$102,MATCH(1,($A59='Thang 05-2026'!$A$3:$A$102)*($G59='Thang 05-2026'!$C$3:$C$102),0),14)=1,$B59="Triều Lên",INDEX('Thang 05-2026'!$A$3:$Q$102,MATCH(1,($A59='Thang 05-2026'!$A$3:$A$102)*($G59='Thang 05-2026'!$C$3:$C$102),0),15)=0),1,0))</f>
        <v>0</v>
      </c>
      <c r="F59">
        <f t="shared" si="0"/>
        <v>0</v>
      </c>
      <c r="G59">
        <f>INDEX('Thang 05-2026'!$A$3:$C$102,MATCH(A59,'Thang 05-2026'!$A$3:$A$102,0),3)</f>
        <v>11</v>
      </c>
    </row>
    <row r="60" spans="1:7" x14ac:dyDescent="0.2">
      <c r="A60" t="s">
        <v>125</v>
      </c>
      <c r="B60" t="s">
        <v>121</v>
      </c>
      <c r="C60">
        <v>1</v>
      </c>
      <c r="D60">
        <f t="array" ref="D60">IF(AND(INDEX('Thang 05-2026'!$A$3:$Q$102,MATCH(1,($A60='Thang 05-2026'!$A$3:$A$102)*($G60='Thang 05-2026'!$C$3:$C$102),0),11)=1,$B60="Triều Xuống"),1,IF(AND(INDEX('Thang 05-2026'!$A$3:$Q$102,MATCH(1,($A60='Thang 05-2026'!$A$3:$A$102)*($G60='Thang 05-2026'!$C$3:$C$102),0),10)=1,$B60="Triều Lên",INDEX('Thang 05-2026'!$A$3:$Q$102,MATCH(1,($A60='Thang 05-2026'!$A$3:$A$102)*($G60='Thang 05-2026'!$C$3:$C$102),0),11)=0),1,0))</f>
        <v>0</v>
      </c>
      <c r="E60">
        <f t="array" ref="E60">IF(AND(INDEX('Thang 05-2026'!$A$3:$Q$102,MATCH(1,($A60='Thang 05-2026'!$A$3:$A$102)*($G60='Thang 05-2026'!$C$3:$C$102),0),15)=1,$B60="Triều Xuống"),1,IF(AND(INDEX('Thang 05-2026'!$A$3:$Q$102,MATCH(1,($A60='Thang 05-2026'!$A$3:$A$102)*($G60='Thang 05-2026'!$C$3:$C$102),0),14)=1,$B60="Triều Lên",INDEX('Thang 05-2026'!$A$3:$Q$102,MATCH(1,($A60='Thang 05-2026'!$A$3:$A$102)*($G60='Thang 05-2026'!$C$3:$C$102),0),15)=0),1,0))</f>
        <v>0</v>
      </c>
      <c r="F60">
        <f t="shared" si="0"/>
        <v>0</v>
      </c>
      <c r="G60">
        <f>INDEX('Thang 05-2026'!$A$3:$C$102,MATCH(A60,'Thang 05-2026'!$A$3:$A$102,0),3)</f>
        <v>11</v>
      </c>
    </row>
    <row r="61" spans="1:7" x14ac:dyDescent="0.2">
      <c r="A61" t="s">
        <v>126</v>
      </c>
      <c r="B61" t="s">
        <v>121</v>
      </c>
      <c r="C61">
        <v>1</v>
      </c>
      <c r="D61">
        <f t="array" ref="D61">IF(AND(INDEX('Thang 05-2026'!$A$3:$Q$102,MATCH(1,($A61='Thang 05-2026'!$A$3:$A$102)*($G61='Thang 05-2026'!$C$3:$C$102),0),11)=1,$B61="Triều Xuống"),1,IF(AND(INDEX('Thang 05-2026'!$A$3:$Q$102,MATCH(1,($A61='Thang 05-2026'!$A$3:$A$102)*($G61='Thang 05-2026'!$C$3:$C$102),0),10)=1,$B61="Triều Lên",INDEX('Thang 05-2026'!$A$3:$Q$102,MATCH(1,($A61='Thang 05-2026'!$A$3:$A$102)*($G61='Thang 05-2026'!$C$3:$C$102),0),11)=0),1,0))</f>
        <v>0</v>
      </c>
      <c r="E61">
        <f t="array" ref="E61">IF(AND(INDEX('Thang 05-2026'!$A$3:$Q$102,MATCH(1,($A61='Thang 05-2026'!$A$3:$A$102)*($G61='Thang 05-2026'!$C$3:$C$102),0),15)=1,$B61="Triều Xuống"),1,IF(AND(INDEX('Thang 05-2026'!$A$3:$Q$102,MATCH(1,($A61='Thang 05-2026'!$A$3:$A$102)*($G61='Thang 05-2026'!$C$3:$C$102),0),14)=1,$B61="Triều Lên",INDEX('Thang 05-2026'!$A$3:$Q$102,MATCH(1,($A61='Thang 05-2026'!$A$3:$A$102)*($G61='Thang 05-2026'!$C$3:$C$102),0),15)=0),1,0))</f>
        <v>0</v>
      </c>
      <c r="F61">
        <f t="shared" si="0"/>
        <v>0</v>
      </c>
      <c r="G61">
        <f>INDEX('Thang 05-2026'!$A$3:$C$102,MATCH(A61,'Thang 05-2026'!$A$3:$A$102,0),3)</f>
        <v>11</v>
      </c>
    </row>
    <row r="62" spans="1:7" x14ac:dyDescent="0.2">
      <c r="A62" t="s">
        <v>127</v>
      </c>
      <c r="B62" t="s">
        <v>121</v>
      </c>
      <c r="C62">
        <v>1</v>
      </c>
      <c r="D62">
        <f t="array" ref="D62">IF(AND(INDEX('Thang 05-2026'!$A$3:$Q$102,MATCH(1,($A62='Thang 05-2026'!$A$3:$A$102)*($G62='Thang 05-2026'!$C$3:$C$102),0),11)=1,$B62="Triều Xuống"),1,IF(AND(INDEX('Thang 05-2026'!$A$3:$Q$102,MATCH(1,($A62='Thang 05-2026'!$A$3:$A$102)*($G62='Thang 05-2026'!$C$3:$C$102),0),10)=1,$B62="Triều Lên",INDEX('Thang 05-2026'!$A$3:$Q$102,MATCH(1,($A62='Thang 05-2026'!$A$3:$A$102)*($G62='Thang 05-2026'!$C$3:$C$102),0),11)=0),1,0))</f>
        <v>0</v>
      </c>
      <c r="E62">
        <f t="array" ref="E62">IF(AND(INDEX('Thang 05-2026'!$A$3:$Q$102,MATCH(1,($A62='Thang 05-2026'!$A$3:$A$102)*($G62='Thang 05-2026'!$C$3:$C$102),0),15)=1,$B62="Triều Xuống"),1,IF(AND(INDEX('Thang 05-2026'!$A$3:$Q$102,MATCH(1,($A62='Thang 05-2026'!$A$3:$A$102)*($G62='Thang 05-2026'!$C$3:$C$102),0),14)=1,$B62="Triều Lên",INDEX('Thang 05-2026'!$A$3:$Q$102,MATCH(1,($A62='Thang 05-2026'!$A$3:$A$102)*($G62='Thang 05-2026'!$C$3:$C$102),0),15)=0),1,0))</f>
        <v>0</v>
      </c>
      <c r="F62">
        <f t="shared" si="0"/>
        <v>0</v>
      </c>
      <c r="G62">
        <f>INDEX('Thang 05-2026'!$A$3:$C$102,MATCH(A62,'Thang 05-2026'!$A$3:$A$102,0),3)</f>
        <v>11</v>
      </c>
    </row>
    <row r="63" spans="1:7" x14ac:dyDescent="0.2">
      <c r="A63" t="s">
        <v>128</v>
      </c>
      <c r="B63" t="s">
        <v>121</v>
      </c>
      <c r="C63">
        <v>1</v>
      </c>
      <c r="D63">
        <f t="array" ref="D63">IF(AND(INDEX('Thang 05-2026'!$A$3:$Q$102,MATCH(1,($A63='Thang 05-2026'!$A$3:$A$102)*($G63='Thang 05-2026'!$C$3:$C$102),0),11)=1,$B63="Triều Xuống"),1,IF(AND(INDEX('Thang 05-2026'!$A$3:$Q$102,MATCH(1,($A63='Thang 05-2026'!$A$3:$A$102)*($G63='Thang 05-2026'!$C$3:$C$102),0),10)=1,$B63="Triều Lên",INDEX('Thang 05-2026'!$A$3:$Q$102,MATCH(1,($A63='Thang 05-2026'!$A$3:$A$102)*($G63='Thang 05-2026'!$C$3:$C$102),0),11)=0),1,0))</f>
        <v>0</v>
      </c>
      <c r="E63">
        <f t="array" ref="E63">IF(AND(INDEX('Thang 05-2026'!$A$3:$Q$102,MATCH(1,($A63='Thang 05-2026'!$A$3:$A$102)*($G63='Thang 05-2026'!$C$3:$C$102),0),15)=1,$B63="Triều Xuống"),1,IF(AND(INDEX('Thang 05-2026'!$A$3:$Q$102,MATCH(1,($A63='Thang 05-2026'!$A$3:$A$102)*($G63='Thang 05-2026'!$C$3:$C$102),0),14)=1,$B63="Triều Lên",INDEX('Thang 05-2026'!$A$3:$Q$102,MATCH(1,($A63='Thang 05-2026'!$A$3:$A$102)*($G63='Thang 05-2026'!$C$3:$C$102),0),15)=0),1,0))</f>
        <v>0</v>
      </c>
      <c r="F63">
        <f t="shared" si="0"/>
        <v>0</v>
      </c>
      <c r="G63">
        <f>INDEX('Thang 05-2026'!$A$3:$C$102,MATCH(A63,'Thang 05-2026'!$A$3:$A$102,0),3)</f>
        <v>11</v>
      </c>
    </row>
    <row r="64" spans="1:7" x14ac:dyDescent="0.2">
      <c r="A64" t="s">
        <v>41</v>
      </c>
      <c r="B64" t="s">
        <v>118</v>
      </c>
      <c r="C64">
        <v>1</v>
      </c>
      <c r="D64">
        <f t="array" ref="D64">IF(AND(INDEX('Thang 05-2026'!$A$3:$Q$102,MATCH(1,($A64='Thang 05-2026'!$A$3:$A$102)*($G64='Thang 05-2026'!$C$3:$C$102),0),11)=1,$B64="Triều Xuống"),1,IF(AND(INDEX('Thang 05-2026'!$A$3:$Q$102,MATCH(1,($A64='Thang 05-2026'!$A$3:$A$102)*($G64='Thang 05-2026'!$C$3:$C$102),0),10)=1,$B64="Triều Lên",INDEX('Thang 05-2026'!$A$3:$Q$102,MATCH(1,($A64='Thang 05-2026'!$A$3:$A$102)*($G64='Thang 05-2026'!$C$3:$C$102),0),11)=0),1,0))</f>
        <v>1</v>
      </c>
      <c r="E64">
        <f t="array" ref="E64">IF(AND(INDEX('Thang 05-2026'!$A$3:$Q$102,MATCH(1,($A64='Thang 05-2026'!$A$3:$A$102)*($G64='Thang 05-2026'!$C$3:$C$102),0),15)=1,$B64="Triều Xuống"),1,IF(AND(INDEX('Thang 05-2026'!$A$3:$Q$102,MATCH(1,($A64='Thang 05-2026'!$A$3:$A$102)*($G64='Thang 05-2026'!$C$3:$C$102),0),14)=1,$B64="Triều Lên",INDEX('Thang 05-2026'!$A$3:$Q$102,MATCH(1,($A64='Thang 05-2026'!$A$3:$A$102)*($G64='Thang 05-2026'!$C$3:$C$102),0),15)=0),1,0))</f>
        <v>0</v>
      </c>
      <c r="F64">
        <f t="shared" si="0"/>
        <v>1</v>
      </c>
      <c r="G64">
        <f>INDEX('Thang 05-2026'!$A$3:$C$102,MATCH(A64,'Thang 05-2026'!$A$3:$A$102,0),3)</f>
        <v>11</v>
      </c>
    </row>
    <row r="65" spans="1:7" x14ac:dyDescent="0.2">
      <c r="A65" t="s">
        <v>42</v>
      </c>
      <c r="B65" t="s">
        <v>118</v>
      </c>
      <c r="C65">
        <v>1</v>
      </c>
      <c r="D65">
        <f t="array" ref="D65">IF(AND(INDEX('Thang 05-2026'!$A$3:$Q$102,MATCH(1,($A65='Thang 05-2026'!$A$3:$A$102)*($G65='Thang 05-2026'!$C$3:$C$102),0),11)=1,$B65="Triều Xuống"),1,IF(AND(INDEX('Thang 05-2026'!$A$3:$Q$102,MATCH(1,($A65='Thang 05-2026'!$A$3:$A$102)*($G65='Thang 05-2026'!$C$3:$C$102),0),10)=1,$B65="Triều Lên",INDEX('Thang 05-2026'!$A$3:$Q$102,MATCH(1,($A65='Thang 05-2026'!$A$3:$A$102)*($G65='Thang 05-2026'!$C$3:$C$102),0),11)=0),1,0))</f>
        <v>0</v>
      </c>
      <c r="E65">
        <f t="array" ref="E65">IF(AND(INDEX('Thang 05-2026'!$A$3:$Q$102,MATCH(1,($A65='Thang 05-2026'!$A$3:$A$102)*($G65='Thang 05-2026'!$C$3:$C$102),0),15)=1,$B65="Triều Xuống"),1,IF(AND(INDEX('Thang 05-2026'!$A$3:$Q$102,MATCH(1,($A65='Thang 05-2026'!$A$3:$A$102)*($G65='Thang 05-2026'!$C$3:$C$102),0),14)=1,$B65="Triều Lên",INDEX('Thang 05-2026'!$A$3:$Q$102,MATCH(1,($A65='Thang 05-2026'!$A$3:$A$102)*($G65='Thang 05-2026'!$C$3:$C$102),0),15)=0),1,0))</f>
        <v>0</v>
      </c>
      <c r="F65">
        <f t="shared" si="0"/>
        <v>0</v>
      </c>
      <c r="G65">
        <f>INDEX('Thang 05-2026'!$A$3:$C$102,MATCH(A65,'Thang 05-2026'!$A$3:$A$102,0),3)</f>
        <v>11</v>
      </c>
    </row>
    <row r="66" spans="1:7" x14ac:dyDescent="0.2">
      <c r="A66" t="s">
        <v>43</v>
      </c>
      <c r="B66" t="s">
        <v>118</v>
      </c>
      <c r="C66">
        <v>1</v>
      </c>
      <c r="D66">
        <f t="array" ref="D66">IF(AND(INDEX('Thang 05-2026'!$A$3:$Q$102,MATCH(1,($A66='Thang 05-2026'!$A$3:$A$102)*($G66='Thang 05-2026'!$C$3:$C$102),0),11)=1,$B66="Triều Xuống"),1,IF(AND(INDEX('Thang 05-2026'!$A$3:$Q$102,MATCH(1,($A66='Thang 05-2026'!$A$3:$A$102)*($G66='Thang 05-2026'!$C$3:$C$102),0),10)=1,$B66="Triều Lên",INDEX('Thang 05-2026'!$A$3:$Q$102,MATCH(1,($A66='Thang 05-2026'!$A$3:$A$102)*($G66='Thang 05-2026'!$C$3:$C$102),0),11)=0),1,0))</f>
        <v>0</v>
      </c>
      <c r="E66">
        <f t="array" ref="E66">IF(AND(INDEX('Thang 05-2026'!$A$3:$Q$102,MATCH(1,($A66='Thang 05-2026'!$A$3:$A$102)*($G66='Thang 05-2026'!$C$3:$C$102),0),15)=1,$B66="Triều Xuống"),1,IF(AND(INDEX('Thang 05-2026'!$A$3:$Q$102,MATCH(1,($A66='Thang 05-2026'!$A$3:$A$102)*($G66='Thang 05-2026'!$C$3:$C$102),0),14)=1,$B66="Triều Lên",INDEX('Thang 05-2026'!$A$3:$Q$102,MATCH(1,($A66='Thang 05-2026'!$A$3:$A$102)*($G66='Thang 05-2026'!$C$3:$C$102),0),15)=0),1,0))</f>
        <v>0</v>
      </c>
      <c r="F66">
        <f t="shared" si="0"/>
        <v>0</v>
      </c>
      <c r="G66">
        <f>INDEX('Thang 05-2026'!$A$3:$C$102,MATCH(A66,'Thang 05-2026'!$A$3:$A$102,0),3)</f>
        <v>11</v>
      </c>
    </row>
    <row r="67" spans="1:7" x14ac:dyDescent="0.2">
      <c r="A67" t="s">
        <v>44</v>
      </c>
      <c r="B67" t="s">
        <v>118</v>
      </c>
      <c r="C67">
        <v>1</v>
      </c>
      <c r="D67">
        <f t="array" ref="D67">IF(AND(INDEX('Thang 05-2026'!$A$3:$Q$102,MATCH(1,($A67='Thang 05-2026'!$A$3:$A$102)*($G67='Thang 05-2026'!$C$3:$C$102),0),11)=1,$B67="Triều Xuống"),1,IF(AND(INDEX('Thang 05-2026'!$A$3:$Q$102,MATCH(1,($A67='Thang 05-2026'!$A$3:$A$102)*($G67='Thang 05-2026'!$C$3:$C$102),0),10)=1,$B67="Triều Lên",INDEX('Thang 05-2026'!$A$3:$Q$102,MATCH(1,($A67='Thang 05-2026'!$A$3:$A$102)*($G67='Thang 05-2026'!$C$3:$C$102),0),11)=0),1,0))</f>
        <v>0</v>
      </c>
      <c r="E67">
        <f t="array" ref="E67">IF(AND(INDEX('Thang 05-2026'!$A$3:$Q$102,MATCH(1,($A67='Thang 05-2026'!$A$3:$A$102)*($G67='Thang 05-2026'!$C$3:$C$102),0),15)=1,$B67="Triều Xuống"),1,IF(AND(INDEX('Thang 05-2026'!$A$3:$Q$102,MATCH(1,($A67='Thang 05-2026'!$A$3:$A$102)*($G67='Thang 05-2026'!$C$3:$C$102),0),14)=1,$B67="Triều Lên",INDEX('Thang 05-2026'!$A$3:$Q$102,MATCH(1,($A67='Thang 05-2026'!$A$3:$A$102)*($G67='Thang 05-2026'!$C$3:$C$102),0),15)=0),1,0))</f>
        <v>0</v>
      </c>
      <c r="F67">
        <f t="shared" ref="F67:F130" si="1">D67+E67</f>
        <v>0</v>
      </c>
      <c r="G67">
        <f>INDEX('Thang 05-2026'!$A$3:$C$102,MATCH(A67,'Thang 05-2026'!$A$3:$A$102,0),3)</f>
        <v>11</v>
      </c>
    </row>
    <row r="68" spans="1:7" x14ac:dyDescent="0.2">
      <c r="A68" t="s">
        <v>41</v>
      </c>
      <c r="B68" t="s">
        <v>121</v>
      </c>
      <c r="C68">
        <v>1</v>
      </c>
      <c r="D68">
        <f t="array" ref="D68">IF(AND(INDEX('Thang 05-2026'!$A$3:$Q$102,MATCH(1,($A68='Thang 05-2026'!$A$3:$A$102)*($G68='Thang 05-2026'!$C$3:$C$102),0),11)=1,$B68="Triều Xuống"),1,IF(AND(INDEX('Thang 05-2026'!$A$3:$Q$102,MATCH(1,($A68='Thang 05-2026'!$A$3:$A$102)*($G68='Thang 05-2026'!$C$3:$C$102),0),10)=1,$B68="Triều Lên",INDEX('Thang 05-2026'!$A$3:$Q$102,MATCH(1,($A68='Thang 05-2026'!$A$3:$A$102)*($G68='Thang 05-2026'!$C$3:$C$102),0),11)=0),1,0))</f>
        <v>0</v>
      </c>
      <c r="E68">
        <f t="array" ref="E68">IF(AND(INDEX('Thang 05-2026'!$A$3:$Q$102,MATCH(1,($A68='Thang 05-2026'!$A$3:$A$102)*($G68='Thang 05-2026'!$C$3:$C$102),0),15)=1,$B68="Triều Xuống"),1,IF(AND(INDEX('Thang 05-2026'!$A$3:$Q$102,MATCH(1,($A68='Thang 05-2026'!$A$3:$A$102)*($G68='Thang 05-2026'!$C$3:$C$102),0),14)=1,$B68="Triều Lên",INDEX('Thang 05-2026'!$A$3:$Q$102,MATCH(1,($A68='Thang 05-2026'!$A$3:$A$102)*($G68='Thang 05-2026'!$C$3:$C$102),0),15)=0),1,0))</f>
        <v>0</v>
      </c>
      <c r="F68">
        <f t="shared" si="1"/>
        <v>0</v>
      </c>
      <c r="G68">
        <f>INDEX('Thang 05-2026'!$A$3:$C$102,MATCH(A68,'Thang 05-2026'!$A$3:$A$102,0),3)</f>
        <v>11</v>
      </c>
    </row>
    <row r="69" spans="1:7" x14ac:dyDescent="0.2">
      <c r="A69" t="s">
        <v>42</v>
      </c>
      <c r="B69" t="s">
        <v>121</v>
      </c>
      <c r="C69">
        <v>1</v>
      </c>
      <c r="D69">
        <f t="array" ref="D69">IF(AND(INDEX('Thang 05-2026'!$A$3:$Q$102,MATCH(1,($A69='Thang 05-2026'!$A$3:$A$102)*($G69='Thang 05-2026'!$C$3:$C$102),0),11)=1,$B69="Triều Xuống"),1,IF(AND(INDEX('Thang 05-2026'!$A$3:$Q$102,MATCH(1,($A69='Thang 05-2026'!$A$3:$A$102)*($G69='Thang 05-2026'!$C$3:$C$102),0),10)=1,$B69="Triều Lên",INDEX('Thang 05-2026'!$A$3:$Q$102,MATCH(1,($A69='Thang 05-2026'!$A$3:$A$102)*($G69='Thang 05-2026'!$C$3:$C$102),0),11)=0),1,0))</f>
        <v>0</v>
      </c>
      <c r="E69">
        <f t="array" ref="E69">IF(AND(INDEX('Thang 05-2026'!$A$3:$Q$102,MATCH(1,($A69='Thang 05-2026'!$A$3:$A$102)*($G69='Thang 05-2026'!$C$3:$C$102),0),15)=1,$B69="Triều Xuống"),1,IF(AND(INDEX('Thang 05-2026'!$A$3:$Q$102,MATCH(1,($A69='Thang 05-2026'!$A$3:$A$102)*($G69='Thang 05-2026'!$C$3:$C$102),0),14)=1,$B69="Triều Lên",INDEX('Thang 05-2026'!$A$3:$Q$102,MATCH(1,($A69='Thang 05-2026'!$A$3:$A$102)*($G69='Thang 05-2026'!$C$3:$C$102),0),15)=0),1,0))</f>
        <v>0</v>
      </c>
      <c r="F69">
        <f t="shared" si="1"/>
        <v>0</v>
      </c>
      <c r="G69">
        <f>INDEX('Thang 05-2026'!$A$3:$C$102,MATCH(A69,'Thang 05-2026'!$A$3:$A$102,0),3)</f>
        <v>11</v>
      </c>
    </row>
    <row r="70" spans="1:7" x14ac:dyDescent="0.2">
      <c r="A70" t="s">
        <v>43</v>
      </c>
      <c r="B70" t="s">
        <v>121</v>
      </c>
      <c r="C70">
        <v>1</v>
      </c>
      <c r="D70">
        <f t="array" ref="D70">IF(AND(INDEX('Thang 05-2026'!$A$3:$Q$102,MATCH(1,($A70='Thang 05-2026'!$A$3:$A$102)*($G70='Thang 05-2026'!$C$3:$C$102),0),11)=1,$B70="Triều Xuống"),1,IF(AND(INDEX('Thang 05-2026'!$A$3:$Q$102,MATCH(1,($A70='Thang 05-2026'!$A$3:$A$102)*($G70='Thang 05-2026'!$C$3:$C$102),0),10)=1,$B70="Triều Lên",INDEX('Thang 05-2026'!$A$3:$Q$102,MATCH(1,($A70='Thang 05-2026'!$A$3:$A$102)*($G70='Thang 05-2026'!$C$3:$C$102),0),11)=0),1,0))</f>
        <v>0</v>
      </c>
      <c r="E70">
        <f t="array" ref="E70">IF(AND(INDEX('Thang 05-2026'!$A$3:$Q$102,MATCH(1,($A70='Thang 05-2026'!$A$3:$A$102)*($G70='Thang 05-2026'!$C$3:$C$102),0),15)=1,$B70="Triều Xuống"),1,IF(AND(INDEX('Thang 05-2026'!$A$3:$Q$102,MATCH(1,($A70='Thang 05-2026'!$A$3:$A$102)*($G70='Thang 05-2026'!$C$3:$C$102),0),14)=1,$B70="Triều Lên",INDEX('Thang 05-2026'!$A$3:$Q$102,MATCH(1,($A70='Thang 05-2026'!$A$3:$A$102)*($G70='Thang 05-2026'!$C$3:$C$102),0),15)=0),1,0))</f>
        <v>0</v>
      </c>
      <c r="F70">
        <f t="shared" si="1"/>
        <v>0</v>
      </c>
      <c r="G70">
        <f>INDEX('Thang 05-2026'!$A$3:$C$102,MATCH(A70,'Thang 05-2026'!$A$3:$A$102,0),3)</f>
        <v>11</v>
      </c>
    </row>
    <row r="71" spans="1:7" x14ac:dyDescent="0.2">
      <c r="A71" t="s">
        <v>44</v>
      </c>
      <c r="B71" t="s">
        <v>121</v>
      </c>
      <c r="C71">
        <v>1</v>
      </c>
      <c r="D71">
        <f t="array" ref="D71">IF(AND(INDEX('Thang 05-2026'!$A$3:$Q$102,MATCH(1,($A71='Thang 05-2026'!$A$3:$A$102)*($G71='Thang 05-2026'!$C$3:$C$102),0),11)=1,$B71="Triều Xuống"),1,IF(AND(INDEX('Thang 05-2026'!$A$3:$Q$102,MATCH(1,($A71='Thang 05-2026'!$A$3:$A$102)*($G71='Thang 05-2026'!$C$3:$C$102),0),10)=1,$B71="Triều Lên",INDEX('Thang 05-2026'!$A$3:$Q$102,MATCH(1,($A71='Thang 05-2026'!$A$3:$A$102)*($G71='Thang 05-2026'!$C$3:$C$102),0),11)=0),1,0))</f>
        <v>0</v>
      </c>
      <c r="E71">
        <f t="array" ref="E71">IF(AND(INDEX('Thang 05-2026'!$A$3:$Q$102,MATCH(1,($A71='Thang 05-2026'!$A$3:$A$102)*($G71='Thang 05-2026'!$C$3:$C$102),0),15)=1,$B71="Triều Xuống"),1,IF(AND(INDEX('Thang 05-2026'!$A$3:$Q$102,MATCH(1,($A71='Thang 05-2026'!$A$3:$A$102)*($G71='Thang 05-2026'!$C$3:$C$102),0),14)=1,$B71="Triều Lên",INDEX('Thang 05-2026'!$A$3:$Q$102,MATCH(1,($A71='Thang 05-2026'!$A$3:$A$102)*($G71='Thang 05-2026'!$C$3:$C$102),0),15)=0),1,0))</f>
        <v>0</v>
      </c>
      <c r="F71">
        <f t="shared" si="1"/>
        <v>0</v>
      </c>
      <c r="G71">
        <f>INDEX('Thang 05-2026'!$A$3:$C$102,MATCH(A71,'Thang 05-2026'!$A$3:$A$102,0),3)</f>
        <v>11</v>
      </c>
    </row>
    <row r="72" spans="1:7" x14ac:dyDescent="0.2">
      <c r="A72" t="s">
        <v>45</v>
      </c>
      <c r="B72" t="s">
        <v>118</v>
      </c>
      <c r="C72">
        <v>1</v>
      </c>
      <c r="D72">
        <f t="array" ref="D72">IF(AND(INDEX('Thang 05-2026'!$A$3:$Q$102,MATCH(1,($A72='Thang 05-2026'!$A$3:$A$102)*($G72='Thang 05-2026'!$C$3:$C$102),0),11)=1,$B72="Triều Xuống"),1,IF(AND(INDEX('Thang 05-2026'!$A$3:$Q$102,MATCH(1,($A72='Thang 05-2026'!$A$3:$A$102)*($G72='Thang 05-2026'!$C$3:$C$102),0),10)=1,$B72="Triều Lên",INDEX('Thang 05-2026'!$A$3:$Q$102,MATCH(1,($A72='Thang 05-2026'!$A$3:$A$102)*($G72='Thang 05-2026'!$C$3:$C$102),0),11)=0),1,0))</f>
        <v>0</v>
      </c>
      <c r="E72">
        <f t="array" ref="E72">IF(AND(INDEX('Thang 05-2026'!$A$3:$Q$102,MATCH(1,($A72='Thang 05-2026'!$A$3:$A$102)*($G72='Thang 05-2026'!$C$3:$C$102),0),15)=1,$B72="Triều Xuống"),1,IF(AND(INDEX('Thang 05-2026'!$A$3:$Q$102,MATCH(1,($A72='Thang 05-2026'!$A$3:$A$102)*($G72='Thang 05-2026'!$C$3:$C$102),0),14)=1,$B72="Triều Lên",INDEX('Thang 05-2026'!$A$3:$Q$102,MATCH(1,($A72='Thang 05-2026'!$A$3:$A$102)*($G72='Thang 05-2026'!$C$3:$C$102),0),15)=0),1,0))</f>
        <v>0</v>
      </c>
      <c r="F72">
        <f t="shared" si="1"/>
        <v>0</v>
      </c>
      <c r="G72">
        <f>INDEX('Thang 05-2026'!$A$3:$C$102,MATCH(A72,'Thang 05-2026'!$A$3:$A$102,0),3)</f>
        <v>12</v>
      </c>
    </row>
    <row r="73" spans="1:7" x14ac:dyDescent="0.2">
      <c r="A73" t="s">
        <v>47</v>
      </c>
      <c r="B73" t="s">
        <v>118</v>
      </c>
      <c r="C73">
        <v>1</v>
      </c>
      <c r="D73">
        <f t="array" ref="D73">IF(AND(INDEX('Thang 05-2026'!$A$3:$Q$102,MATCH(1,($A73='Thang 05-2026'!$A$3:$A$102)*($G73='Thang 05-2026'!$C$3:$C$102),0),11)=1,$B73="Triều Xuống"),1,IF(AND(INDEX('Thang 05-2026'!$A$3:$Q$102,MATCH(1,($A73='Thang 05-2026'!$A$3:$A$102)*($G73='Thang 05-2026'!$C$3:$C$102),0),10)=1,$B73="Triều Lên",INDEX('Thang 05-2026'!$A$3:$Q$102,MATCH(1,($A73='Thang 05-2026'!$A$3:$A$102)*($G73='Thang 05-2026'!$C$3:$C$102),0),11)=0),1,0))</f>
        <v>0</v>
      </c>
      <c r="E73">
        <f t="array" ref="E73">IF(AND(INDEX('Thang 05-2026'!$A$3:$Q$102,MATCH(1,($A73='Thang 05-2026'!$A$3:$A$102)*($G73='Thang 05-2026'!$C$3:$C$102),0),15)=1,$B73="Triều Xuống"),1,IF(AND(INDEX('Thang 05-2026'!$A$3:$Q$102,MATCH(1,($A73='Thang 05-2026'!$A$3:$A$102)*($G73='Thang 05-2026'!$C$3:$C$102),0),14)=1,$B73="Triều Lên",INDEX('Thang 05-2026'!$A$3:$Q$102,MATCH(1,($A73='Thang 05-2026'!$A$3:$A$102)*($G73='Thang 05-2026'!$C$3:$C$102),0),15)=0),1,0))</f>
        <v>0</v>
      </c>
      <c r="F73">
        <f t="shared" si="1"/>
        <v>0</v>
      </c>
      <c r="G73">
        <f>INDEX('Thang 05-2026'!$A$3:$C$102,MATCH(A73,'Thang 05-2026'!$A$3:$A$102,0),3)</f>
        <v>12</v>
      </c>
    </row>
    <row r="74" spans="1:7" x14ac:dyDescent="0.2">
      <c r="A74" t="s">
        <v>48</v>
      </c>
      <c r="B74" t="s">
        <v>118</v>
      </c>
      <c r="C74">
        <v>1</v>
      </c>
      <c r="D74">
        <f t="array" ref="D74">IF(AND(INDEX('Thang 05-2026'!$A$3:$Q$102,MATCH(1,($A74='Thang 05-2026'!$A$3:$A$102)*($G74='Thang 05-2026'!$C$3:$C$102),0),11)=1,$B74="Triều Xuống"),1,IF(AND(INDEX('Thang 05-2026'!$A$3:$Q$102,MATCH(1,($A74='Thang 05-2026'!$A$3:$A$102)*($G74='Thang 05-2026'!$C$3:$C$102),0),10)=1,$B74="Triều Lên",INDEX('Thang 05-2026'!$A$3:$Q$102,MATCH(1,($A74='Thang 05-2026'!$A$3:$A$102)*($G74='Thang 05-2026'!$C$3:$C$102),0),11)=0),1,0))</f>
        <v>0</v>
      </c>
      <c r="E74">
        <f t="array" ref="E74">IF(AND(INDEX('Thang 05-2026'!$A$3:$Q$102,MATCH(1,($A74='Thang 05-2026'!$A$3:$A$102)*($G74='Thang 05-2026'!$C$3:$C$102),0),15)=1,$B74="Triều Xuống"),1,IF(AND(INDEX('Thang 05-2026'!$A$3:$Q$102,MATCH(1,($A74='Thang 05-2026'!$A$3:$A$102)*($G74='Thang 05-2026'!$C$3:$C$102),0),14)=1,$B74="Triều Lên",INDEX('Thang 05-2026'!$A$3:$Q$102,MATCH(1,($A74='Thang 05-2026'!$A$3:$A$102)*($G74='Thang 05-2026'!$C$3:$C$102),0),15)=0),1,0))</f>
        <v>0</v>
      </c>
      <c r="F74">
        <f t="shared" si="1"/>
        <v>0</v>
      </c>
      <c r="G74">
        <f>INDEX('Thang 05-2026'!$A$3:$C$102,MATCH(A74,'Thang 05-2026'!$A$3:$A$102,0),3)</f>
        <v>12</v>
      </c>
    </row>
    <row r="75" spans="1:7" x14ac:dyDescent="0.2">
      <c r="A75" t="s">
        <v>49</v>
      </c>
      <c r="B75" t="s">
        <v>118</v>
      </c>
      <c r="C75">
        <v>1</v>
      </c>
      <c r="D75">
        <f t="array" ref="D75">IF(AND(INDEX('Thang 05-2026'!$A$3:$Q$102,MATCH(1,($A75='Thang 05-2026'!$A$3:$A$102)*($G75='Thang 05-2026'!$C$3:$C$102),0),11)=1,$B75="Triều Xuống"),1,IF(AND(INDEX('Thang 05-2026'!$A$3:$Q$102,MATCH(1,($A75='Thang 05-2026'!$A$3:$A$102)*($G75='Thang 05-2026'!$C$3:$C$102),0),10)=1,$B75="Triều Lên",INDEX('Thang 05-2026'!$A$3:$Q$102,MATCH(1,($A75='Thang 05-2026'!$A$3:$A$102)*($G75='Thang 05-2026'!$C$3:$C$102),0),11)=0),1,0))</f>
        <v>0</v>
      </c>
      <c r="E75">
        <f t="array" ref="E75">IF(AND(INDEX('Thang 05-2026'!$A$3:$Q$102,MATCH(1,($A75='Thang 05-2026'!$A$3:$A$102)*($G75='Thang 05-2026'!$C$3:$C$102),0),15)=1,$B75="Triều Xuống"),1,IF(AND(INDEX('Thang 05-2026'!$A$3:$Q$102,MATCH(1,($A75='Thang 05-2026'!$A$3:$A$102)*($G75='Thang 05-2026'!$C$3:$C$102),0),14)=1,$B75="Triều Lên",INDEX('Thang 05-2026'!$A$3:$Q$102,MATCH(1,($A75='Thang 05-2026'!$A$3:$A$102)*($G75='Thang 05-2026'!$C$3:$C$102),0),15)=0),1,0))</f>
        <v>0</v>
      </c>
      <c r="F75">
        <f t="shared" si="1"/>
        <v>0</v>
      </c>
      <c r="G75">
        <f>INDEX('Thang 05-2026'!$A$3:$C$102,MATCH(A75,'Thang 05-2026'!$A$3:$A$102,0),3)</f>
        <v>12</v>
      </c>
    </row>
    <row r="76" spans="1:7" x14ac:dyDescent="0.2">
      <c r="A76" t="s">
        <v>50</v>
      </c>
      <c r="B76" t="s">
        <v>118</v>
      </c>
      <c r="C76">
        <v>1</v>
      </c>
      <c r="D76">
        <f t="array" ref="D76">IF(AND(INDEX('Thang 05-2026'!$A$3:$Q$102,MATCH(1,($A76='Thang 05-2026'!$A$3:$A$102)*($G76='Thang 05-2026'!$C$3:$C$102),0),11)=1,$B76="Triều Xuống"),1,IF(AND(INDEX('Thang 05-2026'!$A$3:$Q$102,MATCH(1,($A76='Thang 05-2026'!$A$3:$A$102)*($G76='Thang 05-2026'!$C$3:$C$102),0),10)=1,$B76="Triều Lên",INDEX('Thang 05-2026'!$A$3:$Q$102,MATCH(1,($A76='Thang 05-2026'!$A$3:$A$102)*($G76='Thang 05-2026'!$C$3:$C$102),0),11)=0),1,0))</f>
        <v>0</v>
      </c>
      <c r="E76">
        <f t="array" ref="E76">IF(AND(INDEX('Thang 05-2026'!$A$3:$Q$102,MATCH(1,($A76='Thang 05-2026'!$A$3:$A$102)*($G76='Thang 05-2026'!$C$3:$C$102),0),15)=1,$B76="Triều Xuống"),1,IF(AND(INDEX('Thang 05-2026'!$A$3:$Q$102,MATCH(1,($A76='Thang 05-2026'!$A$3:$A$102)*($G76='Thang 05-2026'!$C$3:$C$102),0),14)=1,$B76="Triều Lên",INDEX('Thang 05-2026'!$A$3:$Q$102,MATCH(1,($A76='Thang 05-2026'!$A$3:$A$102)*($G76='Thang 05-2026'!$C$3:$C$102),0),15)=0),1,0))</f>
        <v>0</v>
      </c>
      <c r="F76">
        <f t="shared" si="1"/>
        <v>0</v>
      </c>
      <c r="G76">
        <f>INDEX('Thang 05-2026'!$A$3:$C$102,MATCH(A76,'Thang 05-2026'!$A$3:$A$102,0),3)</f>
        <v>12</v>
      </c>
    </row>
    <row r="77" spans="1:7" x14ac:dyDescent="0.2">
      <c r="A77" t="s">
        <v>45</v>
      </c>
      <c r="B77" t="s">
        <v>121</v>
      </c>
      <c r="C77">
        <v>1</v>
      </c>
      <c r="D77">
        <f t="array" ref="D77">IF(AND(INDEX('Thang 05-2026'!$A$3:$Q$102,MATCH(1,($A77='Thang 05-2026'!$A$3:$A$102)*($G77='Thang 05-2026'!$C$3:$C$102),0),11)=1,$B77="Triều Xuống"),1,IF(AND(INDEX('Thang 05-2026'!$A$3:$Q$102,MATCH(1,($A77='Thang 05-2026'!$A$3:$A$102)*($G77='Thang 05-2026'!$C$3:$C$102),0),10)=1,$B77="Triều Lên",INDEX('Thang 05-2026'!$A$3:$Q$102,MATCH(1,($A77='Thang 05-2026'!$A$3:$A$102)*($G77='Thang 05-2026'!$C$3:$C$102),0),11)=0),1,0))</f>
        <v>0</v>
      </c>
      <c r="E77">
        <f t="array" ref="E77">IF(AND(INDEX('Thang 05-2026'!$A$3:$Q$102,MATCH(1,($A77='Thang 05-2026'!$A$3:$A$102)*($G77='Thang 05-2026'!$C$3:$C$102),0),15)=1,$B77="Triều Xuống"),1,IF(AND(INDEX('Thang 05-2026'!$A$3:$Q$102,MATCH(1,($A77='Thang 05-2026'!$A$3:$A$102)*($G77='Thang 05-2026'!$C$3:$C$102),0),14)=1,$B77="Triều Lên",INDEX('Thang 05-2026'!$A$3:$Q$102,MATCH(1,($A77='Thang 05-2026'!$A$3:$A$102)*($G77='Thang 05-2026'!$C$3:$C$102),0),15)=0),1,0))</f>
        <v>1</v>
      </c>
      <c r="F77">
        <f t="shared" si="1"/>
        <v>1</v>
      </c>
      <c r="G77">
        <f>INDEX('Thang 05-2026'!$A$3:$C$102,MATCH(A77,'Thang 05-2026'!$A$3:$A$102,0),3)</f>
        <v>12</v>
      </c>
    </row>
    <row r="78" spans="1:7" x14ac:dyDescent="0.2">
      <c r="A78" t="s">
        <v>47</v>
      </c>
      <c r="B78" t="s">
        <v>121</v>
      </c>
      <c r="C78">
        <v>1</v>
      </c>
      <c r="D78">
        <f t="array" ref="D78">IF(AND(INDEX('Thang 05-2026'!$A$3:$Q$102,MATCH(1,($A78='Thang 05-2026'!$A$3:$A$102)*($G78='Thang 05-2026'!$C$3:$C$102),0),11)=1,$B78="Triều Xuống"),1,IF(AND(INDEX('Thang 05-2026'!$A$3:$Q$102,MATCH(1,($A78='Thang 05-2026'!$A$3:$A$102)*($G78='Thang 05-2026'!$C$3:$C$102),0),10)=1,$B78="Triều Lên",INDEX('Thang 05-2026'!$A$3:$Q$102,MATCH(1,($A78='Thang 05-2026'!$A$3:$A$102)*($G78='Thang 05-2026'!$C$3:$C$102),0),11)=0),1,0))</f>
        <v>0</v>
      </c>
      <c r="E78">
        <f t="array" ref="E78">IF(AND(INDEX('Thang 05-2026'!$A$3:$Q$102,MATCH(1,($A78='Thang 05-2026'!$A$3:$A$102)*($G78='Thang 05-2026'!$C$3:$C$102),0),15)=1,$B78="Triều Xuống"),1,IF(AND(INDEX('Thang 05-2026'!$A$3:$Q$102,MATCH(1,($A78='Thang 05-2026'!$A$3:$A$102)*($G78='Thang 05-2026'!$C$3:$C$102),0),14)=1,$B78="Triều Lên",INDEX('Thang 05-2026'!$A$3:$Q$102,MATCH(1,($A78='Thang 05-2026'!$A$3:$A$102)*($G78='Thang 05-2026'!$C$3:$C$102),0),15)=0),1,0))</f>
        <v>0</v>
      </c>
      <c r="F78">
        <f t="shared" si="1"/>
        <v>0</v>
      </c>
      <c r="G78">
        <f>INDEX('Thang 05-2026'!$A$3:$C$102,MATCH(A78,'Thang 05-2026'!$A$3:$A$102,0),3)</f>
        <v>12</v>
      </c>
    </row>
    <row r="79" spans="1:7" x14ac:dyDescent="0.2">
      <c r="A79" t="s">
        <v>48</v>
      </c>
      <c r="B79" t="s">
        <v>121</v>
      </c>
      <c r="C79">
        <v>1</v>
      </c>
      <c r="D79">
        <f t="array" ref="D79">IF(AND(INDEX('Thang 05-2026'!$A$3:$Q$102,MATCH(1,($A79='Thang 05-2026'!$A$3:$A$102)*($G79='Thang 05-2026'!$C$3:$C$102),0),11)=1,$B79="Triều Xuống"),1,IF(AND(INDEX('Thang 05-2026'!$A$3:$Q$102,MATCH(1,($A79='Thang 05-2026'!$A$3:$A$102)*($G79='Thang 05-2026'!$C$3:$C$102),0),10)=1,$B79="Triều Lên",INDEX('Thang 05-2026'!$A$3:$Q$102,MATCH(1,($A79='Thang 05-2026'!$A$3:$A$102)*($G79='Thang 05-2026'!$C$3:$C$102),0),11)=0),1,0))</f>
        <v>1</v>
      </c>
      <c r="E79">
        <f t="array" ref="E79">IF(AND(INDEX('Thang 05-2026'!$A$3:$Q$102,MATCH(1,($A79='Thang 05-2026'!$A$3:$A$102)*($G79='Thang 05-2026'!$C$3:$C$102),0),15)=1,$B79="Triều Xuống"),1,IF(AND(INDEX('Thang 05-2026'!$A$3:$Q$102,MATCH(1,($A79='Thang 05-2026'!$A$3:$A$102)*($G79='Thang 05-2026'!$C$3:$C$102),0),14)=1,$B79="Triều Lên",INDEX('Thang 05-2026'!$A$3:$Q$102,MATCH(1,($A79='Thang 05-2026'!$A$3:$A$102)*($G79='Thang 05-2026'!$C$3:$C$102),0),15)=0),1,0))</f>
        <v>0</v>
      </c>
      <c r="F79">
        <f t="shared" si="1"/>
        <v>1</v>
      </c>
      <c r="G79">
        <f>INDEX('Thang 05-2026'!$A$3:$C$102,MATCH(A79,'Thang 05-2026'!$A$3:$A$102,0),3)</f>
        <v>12</v>
      </c>
    </row>
    <row r="80" spans="1:7" x14ac:dyDescent="0.2">
      <c r="A80" t="s">
        <v>49</v>
      </c>
      <c r="B80" t="s">
        <v>121</v>
      </c>
      <c r="C80">
        <v>1</v>
      </c>
      <c r="D80">
        <f t="array" ref="D80">IF(AND(INDEX('Thang 05-2026'!$A$3:$Q$102,MATCH(1,($A80='Thang 05-2026'!$A$3:$A$102)*($G80='Thang 05-2026'!$C$3:$C$102),0),11)=1,$B80="Triều Xuống"),1,IF(AND(INDEX('Thang 05-2026'!$A$3:$Q$102,MATCH(1,($A80='Thang 05-2026'!$A$3:$A$102)*($G80='Thang 05-2026'!$C$3:$C$102),0),10)=1,$B80="Triều Lên",INDEX('Thang 05-2026'!$A$3:$Q$102,MATCH(1,($A80='Thang 05-2026'!$A$3:$A$102)*($G80='Thang 05-2026'!$C$3:$C$102),0),11)=0),1,0))</f>
        <v>0</v>
      </c>
      <c r="E80">
        <f t="array" ref="E80">IF(AND(INDEX('Thang 05-2026'!$A$3:$Q$102,MATCH(1,($A80='Thang 05-2026'!$A$3:$A$102)*($G80='Thang 05-2026'!$C$3:$C$102),0),15)=1,$B80="Triều Xuống"),1,IF(AND(INDEX('Thang 05-2026'!$A$3:$Q$102,MATCH(1,($A80='Thang 05-2026'!$A$3:$A$102)*($G80='Thang 05-2026'!$C$3:$C$102),0),14)=1,$B80="Triều Lên",INDEX('Thang 05-2026'!$A$3:$Q$102,MATCH(1,($A80='Thang 05-2026'!$A$3:$A$102)*($G80='Thang 05-2026'!$C$3:$C$102),0),15)=0),1,0))</f>
        <v>0</v>
      </c>
      <c r="F80">
        <f t="shared" si="1"/>
        <v>0</v>
      </c>
      <c r="G80">
        <f>INDEX('Thang 05-2026'!$A$3:$C$102,MATCH(A80,'Thang 05-2026'!$A$3:$A$102,0),3)</f>
        <v>12</v>
      </c>
    </row>
    <row r="81" spans="1:7" x14ac:dyDescent="0.2">
      <c r="A81" t="s">
        <v>50</v>
      </c>
      <c r="B81" t="s">
        <v>121</v>
      </c>
      <c r="C81">
        <v>1</v>
      </c>
      <c r="D81">
        <f t="array" ref="D81">IF(AND(INDEX('Thang 05-2026'!$A$3:$Q$102,MATCH(1,($A81='Thang 05-2026'!$A$3:$A$102)*($G81='Thang 05-2026'!$C$3:$C$102),0),11)=1,$B81="Triều Xuống"),1,IF(AND(INDEX('Thang 05-2026'!$A$3:$Q$102,MATCH(1,($A81='Thang 05-2026'!$A$3:$A$102)*($G81='Thang 05-2026'!$C$3:$C$102),0),10)=1,$B81="Triều Lên",INDEX('Thang 05-2026'!$A$3:$Q$102,MATCH(1,($A81='Thang 05-2026'!$A$3:$A$102)*($G81='Thang 05-2026'!$C$3:$C$102),0),11)=0),1,0))</f>
        <v>0</v>
      </c>
      <c r="E81">
        <f t="array" ref="E81">IF(AND(INDEX('Thang 05-2026'!$A$3:$Q$102,MATCH(1,($A81='Thang 05-2026'!$A$3:$A$102)*($G81='Thang 05-2026'!$C$3:$C$102),0),15)=1,$B81="Triều Xuống"),1,IF(AND(INDEX('Thang 05-2026'!$A$3:$Q$102,MATCH(1,($A81='Thang 05-2026'!$A$3:$A$102)*($G81='Thang 05-2026'!$C$3:$C$102),0),14)=1,$B81="Triều Lên",INDEX('Thang 05-2026'!$A$3:$Q$102,MATCH(1,($A81='Thang 05-2026'!$A$3:$A$102)*($G81='Thang 05-2026'!$C$3:$C$102),0),15)=0),1,0))</f>
        <v>0</v>
      </c>
      <c r="F81">
        <f t="shared" si="1"/>
        <v>0</v>
      </c>
      <c r="G81">
        <f>INDEX('Thang 05-2026'!$A$3:$C$102,MATCH(A81,'Thang 05-2026'!$A$3:$A$102,0),3)</f>
        <v>12</v>
      </c>
    </row>
    <row r="82" spans="1:7" x14ac:dyDescent="0.2">
      <c r="A82" t="s">
        <v>51</v>
      </c>
      <c r="B82" t="s">
        <v>118</v>
      </c>
      <c r="C82">
        <v>1</v>
      </c>
      <c r="D82">
        <f t="array" ref="D82">IF(AND(INDEX('Thang 05-2026'!$A$3:$Q$102,MATCH(1,($A82='Thang 05-2026'!$A$3:$A$102)*($G82='Thang 05-2026'!$C$3:$C$102),0),11)=1,$B82="Triều Xuống"),1,IF(AND(INDEX('Thang 05-2026'!$A$3:$Q$102,MATCH(1,($A82='Thang 05-2026'!$A$3:$A$102)*($G82='Thang 05-2026'!$C$3:$C$102),0),10)=1,$B82="Triều Lên",INDEX('Thang 05-2026'!$A$3:$Q$102,MATCH(1,($A82='Thang 05-2026'!$A$3:$A$102)*($G82='Thang 05-2026'!$C$3:$C$102),0),11)=0),1,0))</f>
        <v>0</v>
      </c>
      <c r="E82">
        <f t="array" ref="E82">IF(AND(INDEX('Thang 05-2026'!$A$3:$Q$102,MATCH(1,($A82='Thang 05-2026'!$A$3:$A$102)*($G82='Thang 05-2026'!$C$3:$C$102),0),15)=1,$B82="Triều Xuống"),1,IF(AND(INDEX('Thang 05-2026'!$A$3:$Q$102,MATCH(1,($A82='Thang 05-2026'!$A$3:$A$102)*($G82='Thang 05-2026'!$C$3:$C$102),0),14)=1,$B82="Triều Lên",INDEX('Thang 05-2026'!$A$3:$Q$102,MATCH(1,($A82='Thang 05-2026'!$A$3:$A$102)*($G82='Thang 05-2026'!$C$3:$C$102),0),15)=0),1,0))</f>
        <v>0</v>
      </c>
      <c r="F82">
        <f t="shared" si="1"/>
        <v>0</v>
      </c>
      <c r="G82">
        <f>INDEX('Thang 05-2026'!$A$3:$C$102,MATCH(A82,'Thang 05-2026'!$A$3:$A$102,0),3)</f>
        <v>12</v>
      </c>
    </row>
    <row r="83" spans="1:7" x14ac:dyDescent="0.2">
      <c r="A83" t="s">
        <v>52</v>
      </c>
      <c r="B83" t="s">
        <v>118</v>
      </c>
      <c r="C83">
        <v>1</v>
      </c>
      <c r="D83">
        <f t="array" ref="D83">IF(AND(INDEX('Thang 05-2026'!$A$3:$Q$102,MATCH(1,($A83='Thang 05-2026'!$A$3:$A$102)*($G83='Thang 05-2026'!$C$3:$C$102),0),11)=1,$B83="Triều Xuống"),1,IF(AND(INDEX('Thang 05-2026'!$A$3:$Q$102,MATCH(1,($A83='Thang 05-2026'!$A$3:$A$102)*($G83='Thang 05-2026'!$C$3:$C$102),0),10)=1,$B83="Triều Lên",INDEX('Thang 05-2026'!$A$3:$Q$102,MATCH(1,($A83='Thang 05-2026'!$A$3:$A$102)*($G83='Thang 05-2026'!$C$3:$C$102),0),11)=0),1,0))</f>
        <v>0</v>
      </c>
      <c r="E83">
        <f t="array" ref="E83">IF(AND(INDEX('Thang 05-2026'!$A$3:$Q$102,MATCH(1,($A83='Thang 05-2026'!$A$3:$A$102)*($G83='Thang 05-2026'!$C$3:$C$102),0),15)=1,$B83="Triều Xuống"),1,IF(AND(INDEX('Thang 05-2026'!$A$3:$Q$102,MATCH(1,($A83='Thang 05-2026'!$A$3:$A$102)*($G83='Thang 05-2026'!$C$3:$C$102),0),14)=1,$B83="Triều Lên",INDEX('Thang 05-2026'!$A$3:$Q$102,MATCH(1,($A83='Thang 05-2026'!$A$3:$A$102)*($G83='Thang 05-2026'!$C$3:$C$102),0),15)=0),1,0))</f>
        <v>0</v>
      </c>
      <c r="F83">
        <f t="shared" si="1"/>
        <v>0</v>
      </c>
      <c r="G83">
        <f>INDEX('Thang 05-2026'!$A$3:$C$102,MATCH(A83,'Thang 05-2026'!$A$3:$A$102,0),3)</f>
        <v>12</v>
      </c>
    </row>
    <row r="84" spans="1:7" x14ac:dyDescent="0.2">
      <c r="A84" t="s">
        <v>53</v>
      </c>
      <c r="B84" t="s">
        <v>118</v>
      </c>
      <c r="C84">
        <v>1</v>
      </c>
      <c r="D84">
        <f t="array" ref="D84">IF(AND(INDEX('Thang 05-2026'!$A$3:$Q$102,MATCH(1,($A84='Thang 05-2026'!$A$3:$A$102)*($G84='Thang 05-2026'!$C$3:$C$102),0),11)=1,$B84="Triều Xuống"),1,IF(AND(INDEX('Thang 05-2026'!$A$3:$Q$102,MATCH(1,($A84='Thang 05-2026'!$A$3:$A$102)*($G84='Thang 05-2026'!$C$3:$C$102),0),10)=1,$B84="Triều Lên",INDEX('Thang 05-2026'!$A$3:$Q$102,MATCH(1,($A84='Thang 05-2026'!$A$3:$A$102)*($G84='Thang 05-2026'!$C$3:$C$102),0),11)=0),1,0))</f>
        <v>0</v>
      </c>
      <c r="E84">
        <f t="array" ref="E84">IF(AND(INDEX('Thang 05-2026'!$A$3:$Q$102,MATCH(1,($A84='Thang 05-2026'!$A$3:$A$102)*($G84='Thang 05-2026'!$C$3:$C$102),0),15)=1,$B84="Triều Xuống"),1,IF(AND(INDEX('Thang 05-2026'!$A$3:$Q$102,MATCH(1,($A84='Thang 05-2026'!$A$3:$A$102)*($G84='Thang 05-2026'!$C$3:$C$102),0),14)=1,$B84="Triều Lên",INDEX('Thang 05-2026'!$A$3:$Q$102,MATCH(1,($A84='Thang 05-2026'!$A$3:$A$102)*($G84='Thang 05-2026'!$C$3:$C$102),0),15)=0),1,0))</f>
        <v>0</v>
      </c>
      <c r="F84">
        <f t="shared" si="1"/>
        <v>0</v>
      </c>
      <c r="G84">
        <f>INDEX('Thang 05-2026'!$A$3:$C$102,MATCH(A84,'Thang 05-2026'!$A$3:$A$102,0),3)</f>
        <v>12</v>
      </c>
    </row>
    <row r="85" spans="1:7" x14ac:dyDescent="0.2">
      <c r="A85" t="s">
        <v>54</v>
      </c>
      <c r="B85" t="s">
        <v>118</v>
      </c>
      <c r="C85">
        <v>1</v>
      </c>
      <c r="D85">
        <f t="array" ref="D85">IF(AND(INDEX('Thang 05-2026'!$A$3:$Q$102,MATCH(1,($A85='Thang 05-2026'!$A$3:$A$102)*($G85='Thang 05-2026'!$C$3:$C$102),0),11)=1,$B85="Triều Xuống"),1,IF(AND(INDEX('Thang 05-2026'!$A$3:$Q$102,MATCH(1,($A85='Thang 05-2026'!$A$3:$A$102)*($G85='Thang 05-2026'!$C$3:$C$102),0),10)=1,$B85="Triều Lên",INDEX('Thang 05-2026'!$A$3:$Q$102,MATCH(1,($A85='Thang 05-2026'!$A$3:$A$102)*($G85='Thang 05-2026'!$C$3:$C$102),0),11)=0),1,0))</f>
        <v>0</v>
      </c>
      <c r="E85">
        <f t="array" ref="E85">IF(AND(INDEX('Thang 05-2026'!$A$3:$Q$102,MATCH(1,($A85='Thang 05-2026'!$A$3:$A$102)*($G85='Thang 05-2026'!$C$3:$C$102),0),15)=1,$B85="Triều Xuống"),1,IF(AND(INDEX('Thang 05-2026'!$A$3:$Q$102,MATCH(1,($A85='Thang 05-2026'!$A$3:$A$102)*($G85='Thang 05-2026'!$C$3:$C$102),0),14)=1,$B85="Triều Lên",INDEX('Thang 05-2026'!$A$3:$Q$102,MATCH(1,($A85='Thang 05-2026'!$A$3:$A$102)*($G85='Thang 05-2026'!$C$3:$C$102),0),15)=0),1,0))</f>
        <v>0</v>
      </c>
      <c r="F85">
        <f t="shared" si="1"/>
        <v>0</v>
      </c>
      <c r="G85">
        <f>INDEX('Thang 05-2026'!$A$3:$C$102,MATCH(A85,'Thang 05-2026'!$A$3:$A$102,0),3)</f>
        <v>12</v>
      </c>
    </row>
    <row r="86" spans="1:7" x14ac:dyDescent="0.2">
      <c r="A86" t="s">
        <v>55</v>
      </c>
      <c r="B86" t="s">
        <v>118</v>
      </c>
      <c r="C86">
        <v>1</v>
      </c>
      <c r="D86">
        <f t="array" ref="D86">IF(AND(INDEX('Thang 05-2026'!$A$3:$Q$102,MATCH(1,($A86='Thang 05-2026'!$A$3:$A$102)*($G86='Thang 05-2026'!$C$3:$C$102),0),11)=1,$B86="Triều Xuống"),1,IF(AND(INDEX('Thang 05-2026'!$A$3:$Q$102,MATCH(1,($A86='Thang 05-2026'!$A$3:$A$102)*($G86='Thang 05-2026'!$C$3:$C$102),0),10)=1,$B86="Triều Lên",INDEX('Thang 05-2026'!$A$3:$Q$102,MATCH(1,($A86='Thang 05-2026'!$A$3:$A$102)*($G86='Thang 05-2026'!$C$3:$C$102),0),11)=0),1,0))</f>
        <v>0</v>
      </c>
      <c r="E86">
        <f t="array" ref="E86">IF(AND(INDEX('Thang 05-2026'!$A$3:$Q$102,MATCH(1,($A86='Thang 05-2026'!$A$3:$A$102)*($G86='Thang 05-2026'!$C$3:$C$102),0),15)=1,$B86="Triều Xuống"),1,IF(AND(INDEX('Thang 05-2026'!$A$3:$Q$102,MATCH(1,($A86='Thang 05-2026'!$A$3:$A$102)*($G86='Thang 05-2026'!$C$3:$C$102),0),14)=1,$B86="Triều Lên",INDEX('Thang 05-2026'!$A$3:$Q$102,MATCH(1,($A86='Thang 05-2026'!$A$3:$A$102)*($G86='Thang 05-2026'!$C$3:$C$102),0),15)=0),1,0))</f>
        <v>0</v>
      </c>
      <c r="F86">
        <f t="shared" si="1"/>
        <v>0</v>
      </c>
      <c r="G86">
        <f>INDEX('Thang 05-2026'!$A$3:$C$102,MATCH(A86,'Thang 05-2026'!$A$3:$A$102,0),3)</f>
        <v>12</v>
      </c>
    </row>
    <row r="87" spans="1:7" x14ac:dyDescent="0.2">
      <c r="A87" t="s">
        <v>51</v>
      </c>
      <c r="B87" t="s">
        <v>121</v>
      </c>
      <c r="C87">
        <v>1</v>
      </c>
      <c r="D87">
        <f t="array" ref="D87">IF(AND(INDEX('Thang 05-2026'!$A$3:$Q$102,MATCH(1,($A87='Thang 05-2026'!$A$3:$A$102)*($G87='Thang 05-2026'!$C$3:$C$102),0),11)=1,$B87="Triều Xuống"),1,IF(AND(INDEX('Thang 05-2026'!$A$3:$Q$102,MATCH(1,($A87='Thang 05-2026'!$A$3:$A$102)*($G87='Thang 05-2026'!$C$3:$C$102),0),10)=1,$B87="Triều Lên",INDEX('Thang 05-2026'!$A$3:$Q$102,MATCH(1,($A87='Thang 05-2026'!$A$3:$A$102)*($G87='Thang 05-2026'!$C$3:$C$102),0),11)=0),1,0))</f>
        <v>1</v>
      </c>
      <c r="E87">
        <f t="array" ref="E87">IF(AND(INDEX('Thang 05-2026'!$A$3:$Q$102,MATCH(1,($A87='Thang 05-2026'!$A$3:$A$102)*($G87='Thang 05-2026'!$C$3:$C$102),0),15)=1,$B87="Triều Xuống"),1,IF(AND(INDEX('Thang 05-2026'!$A$3:$Q$102,MATCH(1,($A87='Thang 05-2026'!$A$3:$A$102)*($G87='Thang 05-2026'!$C$3:$C$102),0),14)=1,$B87="Triều Lên",INDEX('Thang 05-2026'!$A$3:$Q$102,MATCH(1,($A87='Thang 05-2026'!$A$3:$A$102)*($G87='Thang 05-2026'!$C$3:$C$102),0),15)=0),1,0))</f>
        <v>0</v>
      </c>
      <c r="F87">
        <f t="shared" si="1"/>
        <v>1</v>
      </c>
      <c r="G87">
        <f>INDEX('Thang 05-2026'!$A$3:$C$102,MATCH(A87,'Thang 05-2026'!$A$3:$A$102,0),3)</f>
        <v>12</v>
      </c>
    </row>
    <row r="88" spans="1:7" x14ac:dyDescent="0.2">
      <c r="A88" t="s">
        <v>52</v>
      </c>
      <c r="B88" t="s">
        <v>121</v>
      </c>
      <c r="C88">
        <v>1</v>
      </c>
      <c r="D88">
        <f t="array" ref="D88">IF(AND(INDEX('Thang 05-2026'!$A$3:$Q$102,MATCH(1,($A88='Thang 05-2026'!$A$3:$A$102)*($G88='Thang 05-2026'!$C$3:$C$102),0),11)=1,$B88="Triều Xuống"),1,IF(AND(INDEX('Thang 05-2026'!$A$3:$Q$102,MATCH(1,($A88='Thang 05-2026'!$A$3:$A$102)*($G88='Thang 05-2026'!$C$3:$C$102),0),10)=1,$B88="Triều Lên",INDEX('Thang 05-2026'!$A$3:$Q$102,MATCH(1,($A88='Thang 05-2026'!$A$3:$A$102)*($G88='Thang 05-2026'!$C$3:$C$102),0),11)=0),1,0))</f>
        <v>0</v>
      </c>
      <c r="E88">
        <f t="array" ref="E88">IF(AND(INDEX('Thang 05-2026'!$A$3:$Q$102,MATCH(1,($A88='Thang 05-2026'!$A$3:$A$102)*($G88='Thang 05-2026'!$C$3:$C$102),0),15)=1,$B88="Triều Xuống"),1,IF(AND(INDEX('Thang 05-2026'!$A$3:$Q$102,MATCH(1,($A88='Thang 05-2026'!$A$3:$A$102)*($G88='Thang 05-2026'!$C$3:$C$102),0),14)=1,$B88="Triều Lên",INDEX('Thang 05-2026'!$A$3:$Q$102,MATCH(1,($A88='Thang 05-2026'!$A$3:$A$102)*($G88='Thang 05-2026'!$C$3:$C$102),0),15)=0),1,0))</f>
        <v>0</v>
      </c>
      <c r="F88">
        <f t="shared" si="1"/>
        <v>0</v>
      </c>
      <c r="G88">
        <f>INDEX('Thang 05-2026'!$A$3:$C$102,MATCH(A88,'Thang 05-2026'!$A$3:$A$102,0),3)</f>
        <v>12</v>
      </c>
    </row>
    <row r="89" spans="1:7" x14ac:dyDescent="0.2">
      <c r="A89" t="s">
        <v>53</v>
      </c>
      <c r="B89" t="s">
        <v>121</v>
      </c>
      <c r="C89">
        <v>1</v>
      </c>
      <c r="D89">
        <f t="array" ref="D89">IF(AND(INDEX('Thang 05-2026'!$A$3:$Q$102,MATCH(1,($A89='Thang 05-2026'!$A$3:$A$102)*($G89='Thang 05-2026'!$C$3:$C$102),0),11)=1,$B89="Triều Xuống"),1,IF(AND(INDEX('Thang 05-2026'!$A$3:$Q$102,MATCH(1,($A89='Thang 05-2026'!$A$3:$A$102)*($G89='Thang 05-2026'!$C$3:$C$102),0),10)=1,$B89="Triều Lên",INDEX('Thang 05-2026'!$A$3:$Q$102,MATCH(1,($A89='Thang 05-2026'!$A$3:$A$102)*($G89='Thang 05-2026'!$C$3:$C$102),0),11)=0),1,0))</f>
        <v>0</v>
      </c>
      <c r="E89">
        <f t="array" ref="E89">IF(AND(INDEX('Thang 05-2026'!$A$3:$Q$102,MATCH(1,($A89='Thang 05-2026'!$A$3:$A$102)*($G89='Thang 05-2026'!$C$3:$C$102),0),15)=1,$B89="Triều Xuống"),1,IF(AND(INDEX('Thang 05-2026'!$A$3:$Q$102,MATCH(1,($A89='Thang 05-2026'!$A$3:$A$102)*($G89='Thang 05-2026'!$C$3:$C$102),0),14)=1,$B89="Triều Lên",INDEX('Thang 05-2026'!$A$3:$Q$102,MATCH(1,($A89='Thang 05-2026'!$A$3:$A$102)*($G89='Thang 05-2026'!$C$3:$C$102),0),15)=0),1,0))</f>
        <v>0</v>
      </c>
      <c r="F89">
        <f t="shared" si="1"/>
        <v>0</v>
      </c>
      <c r="G89">
        <f>INDEX('Thang 05-2026'!$A$3:$C$102,MATCH(A89,'Thang 05-2026'!$A$3:$A$102,0),3)</f>
        <v>12</v>
      </c>
    </row>
    <row r="90" spans="1:7" x14ac:dyDescent="0.2">
      <c r="A90" t="s">
        <v>54</v>
      </c>
      <c r="B90" t="s">
        <v>121</v>
      </c>
      <c r="C90">
        <v>1</v>
      </c>
      <c r="D90">
        <f t="array" ref="D90">IF(AND(INDEX('Thang 05-2026'!$A$3:$Q$102,MATCH(1,($A90='Thang 05-2026'!$A$3:$A$102)*($G90='Thang 05-2026'!$C$3:$C$102),0),11)=1,$B90="Triều Xuống"),1,IF(AND(INDEX('Thang 05-2026'!$A$3:$Q$102,MATCH(1,($A90='Thang 05-2026'!$A$3:$A$102)*($G90='Thang 05-2026'!$C$3:$C$102),0),10)=1,$B90="Triều Lên",INDEX('Thang 05-2026'!$A$3:$Q$102,MATCH(1,($A90='Thang 05-2026'!$A$3:$A$102)*($G90='Thang 05-2026'!$C$3:$C$102),0),11)=0),1,0))</f>
        <v>0</v>
      </c>
      <c r="E90">
        <f t="array" ref="E90">IF(AND(INDEX('Thang 05-2026'!$A$3:$Q$102,MATCH(1,($A90='Thang 05-2026'!$A$3:$A$102)*($G90='Thang 05-2026'!$C$3:$C$102),0),15)=1,$B90="Triều Xuống"),1,IF(AND(INDEX('Thang 05-2026'!$A$3:$Q$102,MATCH(1,($A90='Thang 05-2026'!$A$3:$A$102)*($G90='Thang 05-2026'!$C$3:$C$102),0),14)=1,$B90="Triều Lên",INDEX('Thang 05-2026'!$A$3:$Q$102,MATCH(1,($A90='Thang 05-2026'!$A$3:$A$102)*($G90='Thang 05-2026'!$C$3:$C$102),0),15)=0),1,0))</f>
        <v>0</v>
      </c>
      <c r="F90">
        <f t="shared" si="1"/>
        <v>0</v>
      </c>
      <c r="G90">
        <f>INDEX('Thang 05-2026'!$A$3:$C$102,MATCH(A90,'Thang 05-2026'!$A$3:$A$102,0),3)</f>
        <v>12</v>
      </c>
    </row>
    <row r="91" spans="1:7" x14ac:dyDescent="0.2">
      <c r="A91" t="s">
        <v>55</v>
      </c>
      <c r="B91" t="s">
        <v>121</v>
      </c>
      <c r="C91">
        <v>1</v>
      </c>
      <c r="D91">
        <f t="array" ref="D91">IF(AND(INDEX('Thang 05-2026'!$A$3:$Q$102,MATCH(1,($A91='Thang 05-2026'!$A$3:$A$102)*($G91='Thang 05-2026'!$C$3:$C$102),0),11)=1,$B91="Triều Xuống"),1,IF(AND(INDEX('Thang 05-2026'!$A$3:$Q$102,MATCH(1,($A91='Thang 05-2026'!$A$3:$A$102)*($G91='Thang 05-2026'!$C$3:$C$102),0),10)=1,$B91="Triều Lên",INDEX('Thang 05-2026'!$A$3:$Q$102,MATCH(1,($A91='Thang 05-2026'!$A$3:$A$102)*($G91='Thang 05-2026'!$C$3:$C$102),0),11)=0),1,0))</f>
        <v>0</v>
      </c>
      <c r="E91">
        <f t="array" ref="E91">IF(AND(INDEX('Thang 05-2026'!$A$3:$Q$102,MATCH(1,($A91='Thang 05-2026'!$A$3:$A$102)*($G91='Thang 05-2026'!$C$3:$C$102),0),15)=1,$B91="Triều Xuống"),1,IF(AND(INDEX('Thang 05-2026'!$A$3:$Q$102,MATCH(1,($A91='Thang 05-2026'!$A$3:$A$102)*($G91='Thang 05-2026'!$C$3:$C$102),0),14)=1,$B91="Triều Lên",INDEX('Thang 05-2026'!$A$3:$Q$102,MATCH(1,($A91='Thang 05-2026'!$A$3:$A$102)*($G91='Thang 05-2026'!$C$3:$C$102),0),15)=0),1,0))</f>
        <v>0</v>
      </c>
      <c r="F91">
        <f t="shared" si="1"/>
        <v>0</v>
      </c>
      <c r="G91">
        <f>INDEX('Thang 05-2026'!$A$3:$C$102,MATCH(A91,'Thang 05-2026'!$A$3:$A$102,0),3)</f>
        <v>12</v>
      </c>
    </row>
    <row r="92" spans="1:7" x14ac:dyDescent="0.2">
      <c r="A92" t="s">
        <v>56</v>
      </c>
      <c r="B92" t="s">
        <v>118</v>
      </c>
      <c r="C92">
        <v>1</v>
      </c>
      <c r="D92">
        <f t="array" ref="D92">IF(AND(INDEX('Thang 05-2026'!$A$3:$Q$102,MATCH(1,($A92='Thang 05-2026'!$A$3:$A$102)*($G92='Thang 05-2026'!$C$3:$C$102),0),11)=1,$B92="Triều Xuống"),1,IF(AND(INDEX('Thang 05-2026'!$A$3:$Q$102,MATCH(1,($A92='Thang 05-2026'!$A$3:$A$102)*($G92='Thang 05-2026'!$C$3:$C$102),0),10)=1,$B92="Triều Lên",INDEX('Thang 05-2026'!$A$3:$Q$102,MATCH(1,($A92='Thang 05-2026'!$A$3:$A$102)*($G92='Thang 05-2026'!$C$3:$C$102),0),11)=0),1,0))</f>
        <v>0</v>
      </c>
      <c r="E92">
        <f t="array" ref="E92">IF(AND(INDEX('Thang 05-2026'!$A$3:$Q$102,MATCH(1,($A92='Thang 05-2026'!$A$3:$A$102)*($G92='Thang 05-2026'!$C$3:$C$102),0),15)=1,$B92="Triều Xuống"),1,IF(AND(INDEX('Thang 05-2026'!$A$3:$Q$102,MATCH(1,($A92='Thang 05-2026'!$A$3:$A$102)*($G92='Thang 05-2026'!$C$3:$C$102),0),14)=1,$B92="Triều Lên",INDEX('Thang 05-2026'!$A$3:$Q$102,MATCH(1,($A92='Thang 05-2026'!$A$3:$A$102)*($G92='Thang 05-2026'!$C$3:$C$102),0),15)=0),1,0))</f>
        <v>0</v>
      </c>
      <c r="F92">
        <f t="shared" si="1"/>
        <v>0</v>
      </c>
      <c r="G92">
        <f>INDEX('Thang 05-2026'!$A$3:$C$102,MATCH(A92,'Thang 05-2026'!$A$3:$A$102,0),3)</f>
        <v>13</v>
      </c>
    </row>
    <row r="93" spans="1:7" x14ac:dyDescent="0.2">
      <c r="A93" t="s">
        <v>58</v>
      </c>
      <c r="B93" t="s">
        <v>118</v>
      </c>
      <c r="C93">
        <v>1</v>
      </c>
      <c r="D93">
        <f t="array" ref="D93">IF(AND(INDEX('Thang 05-2026'!$A$3:$Q$102,MATCH(1,($A93='Thang 05-2026'!$A$3:$A$102)*($G93='Thang 05-2026'!$C$3:$C$102),0),11)=1,$B93="Triều Xuống"),1,IF(AND(INDEX('Thang 05-2026'!$A$3:$Q$102,MATCH(1,($A93='Thang 05-2026'!$A$3:$A$102)*($G93='Thang 05-2026'!$C$3:$C$102),0),10)=1,$B93="Triều Lên",INDEX('Thang 05-2026'!$A$3:$Q$102,MATCH(1,($A93='Thang 05-2026'!$A$3:$A$102)*($G93='Thang 05-2026'!$C$3:$C$102),0),11)=0),1,0))</f>
        <v>0</v>
      </c>
      <c r="E93">
        <f t="array" ref="E93">IF(AND(INDEX('Thang 05-2026'!$A$3:$Q$102,MATCH(1,($A93='Thang 05-2026'!$A$3:$A$102)*($G93='Thang 05-2026'!$C$3:$C$102),0),15)=1,$B93="Triều Xuống"),1,IF(AND(INDEX('Thang 05-2026'!$A$3:$Q$102,MATCH(1,($A93='Thang 05-2026'!$A$3:$A$102)*($G93='Thang 05-2026'!$C$3:$C$102),0),14)=1,$B93="Triều Lên",INDEX('Thang 05-2026'!$A$3:$Q$102,MATCH(1,($A93='Thang 05-2026'!$A$3:$A$102)*($G93='Thang 05-2026'!$C$3:$C$102),0),15)=0),1,0))</f>
        <v>0</v>
      </c>
      <c r="F93">
        <f t="shared" si="1"/>
        <v>0</v>
      </c>
      <c r="G93">
        <f>INDEX('Thang 05-2026'!$A$3:$C$102,MATCH(A93,'Thang 05-2026'!$A$3:$A$102,0),3)</f>
        <v>13</v>
      </c>
    </row>
    <row r="94" spans="1:7" x14ac:dyDescent="0.2">
      <c r="A94" t="s">
        <v>59</v>
      </c>
      <c r="B94" t="s">
        <v>118</v>
      </c>
      <c r="C94">
        <v>1</v>
      </c>
      <c r="D94">
        <f t="array" ref="D94">IF(AND(INDEX('Thang 05-2026'!$A$3:$Q$102,MATCH(1,($A94='Thang 05-2026'!$A$3:$A$102)*($G94='Thang 05-2026'!$C$3:$C$102),0),11)=1,$B94="Triều Xuống"),1,IF(AND(INDEX('Thang 05-2026'!$A$3:$Q$102,MATCH(1,($A94='Thang 05-2026'!$A$3:$A$102)*($G94='Thang 05-2026'!$C$3:$C$102),0),10)=1,$B94="Triều Lên",INDEX('Thang 05-2026'!$A$3:$Q$102,MATCH(1,($A94='Thang 05-2026'!$A$3:$A$102)*($G94='Thang 05-2026'!$C$3:$C$102),0),11)=0),1,0))</f>
        <v>0</v>
      </c>
      <c r="E94">
        <f t="array" ref="E94">IF(AND(INDEX('Thang 05-2026'!$A$3:$Q$102,MATCH(1,($A94='Thang 05-2026'!$A$3:$A$102)*($G94='Thang 05-2026'!$C$3:$C$102),0),15)=1,$B94="Triều Xuống"),1,IF(AND(INDEX('Thang 05-2026'!$A$3:$Q$102,MATCH(1,($A94='Thang 05-2026'!$A$3:$A$102)*($G94='Thang 05-2026'!$C$3:$C$102),0),14)=1,$B94="Triều Lên",INDEX('Thang 05-2026'!$A$3:$Q$102,MATCH(1,($A94='Thang 05-2026'!$A$3:$A$102)*($G94='Thang 05-2026'!$C$3:$C$102),0),15)=0),1,0))</f>
        <v>0</v>
      </c>
      <c r="F94">
        <f t="shared" si="1"/>
        <v>0</v>
      </c>
      <c r="G94">
        <f>INDEX('Thang 05-2026'!$A$3:$C$102,MATCH(A94,'Thang 05-2026'!$A$3:$A$102,0),3)</f>
        <v>13</v>
      </c>
    </row>
    <row r="95" spans="1:7" x14ac:dyDescent="0.2">
      <c r="A95" t="s">
        <v>60</v>
      </c>
      <c r="B95" t="s">
        <v>118</v>
      </c>
      <c r="C95">
        <v>1</v>
      </c>
      <c r="D95">
        <f t="array" ref="D95">IF(AND(INDEX('Thang 05-2026'!$A$3:$Q$102,MATCH(1,($A95='Thang 05-2026'!$A$3:$A$102)*($G95='Thang 05-2026'!$C$3:$C$102),0),11)=1,$B95="Triều Xuống"),1,IF(AND(INDEX('Thang 05-2026'!$A$3:$Q$102,MATCH(1,($A95='Thang 05-2026'!$A$3:$A$102)*($G95='Thang 05-2026'!$C$3:$C$102),0),10)=1,$B95="Triều Lên",INDEX('Thang 05-2026'!$A$3:$Q$102,MATCH(1,($A95='Thang 05-2026'!$A$3:$A$102)*($G95='Thang 05-2026'!$C$3:$C$102),0),11)=0),1,0))</f>
        <v>0</v>
      </c>
      <c r="E95">
        <f t="array" ref="E95">IF(AND(INDEX('Thang 05-2026'!$A$3:$Q$102,MATCH(1,($A95='Thang 05-2026'!$A$3:$A$102)*($G95='Thang 05-2026'!$C$3:$C$102),0),15)=1,$B95="Triều Xuống"),1,IF(AND(INDEX('Thang 05-2026'!$A$3:$Q$102,MATCH(1,($A95='Thang 05-2026'!$A$3:$A$102)*($G95='Thang 05-2026'!$C$3:$C$102),0),14)=1,$B95="Triều Lên",INDEX('Thang 05-2026'!$A$3:$Q$102,MATCH(1,($A95='Thang 05-2026'!$A$3:$A$102)*($G95='Thang 05-2026'!$C$3:$C$102),0),15)=0),1,0))</f>
        <v>0</v>
      </c>
      <c r="F95">
        <f t="shared" si="1"/>
        <v>0</v>
      </c>
      <c r="G95">
        <f>INDEX('Thang 05-2026'!$A$3:$C$102,MATCH(A95,'Thang 05-2026'!$A$3:$A$102,0),3)</f>
        <v>13</v>
      </c>
    </row>
    <row r="96" spans="1:7" x14ac:dyDescent="0.2">
      <c r="A96" t="s">
        <v>61</v>
      </c>
      <c r="B96" t="s">
        <v>118</v>
      </c>
      <c r="C96">
        <v>1</v>
      </c>
      <c r="D96">
        <f t="array" ref="D96">IF(AND(INDEX('Thang 05-2026'!$A$3:$Q$102,MATCH(1,($A96='Thang 05-2026'!$A$3:$A$102)*($G96='Thang 05-2026'!$C$3:$C$102),0),11)=1,$B96="Triều Xuống"),1,IF(AND(INDEX('Thang 05-2026'!$A$3:$Q$102,MATCH(1,($A96='Thang 05-2026'!$A$3:$A$102)*($G96='Thang 05-2026'!$C$3:$C$102),0),10)=1,$B96="Triều Lên",INDEX('Thang 05-2026'!$A$3:$Q$102,MATCH(1,($A96='Thang 05-2026'!$A$3:$A$102)*($G96='Thang 05-2026'!$C$3:$C$102),0),11)=0),1,0))</f>
        <v>0</v>
      </c>
      <c r="E96">
        <f t="array" ref="E96">IF(AND(INDEX('Thang 05-2026'!$A$3:$Q$102,MATCH(1,($A96='Thang 05-2026'!$A$3:$A$102)*($G96='Thang 05-2026'!$C$3:$C$102),0),15)=1,$B96="Triều Xuống"),1,IF(AND(INDEX('Thang 05-2026'!$A$3:$Q$102,MATCH(1,($A96='Thang 05-2026'!$A$3:$A$102)*($G96='Thang 05-2026'!$C$3:$C$102),0),14)=1,$B96="Triều Lên",INDEX('Thang 05-2026'!$A$3:$Q$102,MATCH(1,($A96='Thang 05-2026'!$A$3:$A$102)*($G96='Thang 05-2026'!$C$3:$C$102),0),15)=0),1,0))</f>
        <v>0</v>
      </c>
      <c r="F96">
        <f t="shared" si="1"/>
        <v>0</v>
      </c>
      <c r="G96">
        <f>INDEX('Thang 05-2026'!$A$3:$C$102,MATCH(A96,'Thang 05-2026'!$A$3:$A$102,0),3)</f>
        <v>13</v>
      </c>
    </row>
    <row r="97" spans="1:7" x14ac:dyDescent="0.2">
      <c r="A97" t="s">
        <v>56</v>
      </c>
      <c r="B97" t="s">
        <v>121</v>
      </c>
      <c r="C97">
        <v>1</v>
      </c>
      <c r="D97">
        <f t="array" ref="D97">IF(AND(INDEX('Thang 05-2026'!$A$3:$Q$102,MATCH(1,($A97='Thang 05-2026'!$A$3:$A$102)*($G97='Thang 05-2026'!$C$3:$C$102),0),11)=1,$B97="Triều Xuống"),1,IF(AND(INDEX('Thang 05-2026'!$A$3:$Q$102,MATCH(1,($A97='Thang 05-2026'!$A$3:$A$102)*($G97='Thang 05-2026'!$C$3:$C$102),0),10)=1,$B97="Triều Lên",INDEX('Thang 05-2026'!$A$3:$Q$102,MATCH(1,($A97='Thang 05-2026'!$A$3:$A$102)*($G97='Thang 05-2026'!$C$3:$C$102),0),11)=0),1,0))</f>
        <v>0</v>
      </c>
      <c r="E97">
        <f t="array" ref="E97">IF(AND(INDEX('Thang 05-2026'!$A$3:$Q$102,MATCH(1,($A97='Thang 05-2026'!$A$3:$A$102)*($G97='Thang 05-2026'!$C$3:$C$102),0),15)=1,$B97="Triều Xuống"),1,IF(AND(INDEX('Thang 05-2026'!$A$3:$Q$102,MATCH(1,($A97='Thang 05-2026'!$A$3:$A$102)*($G97='Thang 05-2026'!$C$3:$C$102),0),14)=1,$B97="Triều Lên",INDEX('Thang 05-2026'!$A$3:$Q$102,MATCH(1,($A97='Thang 05-2026'!$A$3:$A$102)*($G97='Thang 05-2026'!$C$3:$C$102),0),15)=0),1,0))</f>
        <v>0</v>
      </c>
      <c r="F97">
        <f t="shared" si="1"/>
        <v>0</v>
      </c>
      <c r="G97">
        <f>INDEX('Thang 05-2026'!$A$3:$C$102,MATCH(A97,'Thang 05-2026'!$A$3:$A$102,0),3)</f>
        <v>13</v>
      </c>
    </row>
    <row r="98" spans="1:7" x14ac:dyDescent="0.2">
      <c r="A98" t="s">
        <v>58</v>
      </c>
      <c r="B98" t="s">
        <v>121</v>
      </c>
      <c r="C98">
        <v>1</v>
      </c>
      <c r="D98">
        <f t="array" ref="D98">IF(AND(INDEX('Thang 05-2026'!$A$3:$Q$102,MATCH(1,($A98='Thang 05-2026'!$A$3:$A$102)*($G98='Thang 05-2026'!$C$3:$C$102),0),11)=1,$B98="Triều Xuống"),1,IF(AND(INDEX('Thang 05-2026'!$A$3:$Q$102,MATCH(1,($A98='Thang 05-2026'!$A$3:$A$102)*($G98='Thang 05-2026'!$C$3:$C$102),0),10)=1,$B98="Triều Lên",INDEX('Thang 05-2026'!$A$3:$Q$102,MATCH(1,($A98='Thang 05-2026'!$A$3:$A$102)*($G98='Thang 05-2026'!$C$3:$C$102),0),11)=0),1,0))</f>
        <v>0</v>
      </c>
      <c r="E98">
        <f t="array" ref="E98">IF(AND(INDEX('Thang 05-2026'!$A$3:$Q$102,MATCH(1,($A98='Thang 05-2026'!$A$3:$A$102)*($G98='Thang 05-2026'!$C$3:$C$102),0),15)=1,$B98="Triều Xuống"),1,IF(AND(INDEX('Thang 05-2026'!$A$3:$Q$102,MATCH(1,($A98='Thang 05-2026'!$A$3:$A$102)*($G98='Thang 05-2026'!$C$3:$C$102),0),14)=1,$B98="Triều Lên",INDEX('Thang 05-2026'!$A$3:$Q$102,MATCH(1,($A98='Thang 05-2026'!$A$3:$A$102)*($G98='Thang 05-2026'!$C$3:$C$102),0),15)=0),1,0))</f>
        <v>0</v>
      </c>
      <c r="F98">
        <f t="shared" si="1"/>
        <v>0</v>
      </c>
      <c r="G98">
        <f>INDEX('Thang 05-2026'!$A$3:$C$102,MATCH(A98,'Thang 05-2026'!$A$3:$A$102,0),3)</f>
        <v>13</v>
      </c>
    </row>
    <row r="99" spans="1:7" x14ac:dyDescent="0.2">
      <c r="A99" t="s">
        <v>59</v>
      </c>
      <c r="B99" t="s">
        <v>121</v>
      </c>
      <c r="C99">
        <v>1</v>
      </c>
      <c r="D99">
        <f t="array" ref="D99">IF(AND(INDEX('Thang 05-2026'!$A$3:$Q$102,MATCH(1,($A99='Thang 05-2026'!$A$3:$A$102)*($G99='Thang 05-2026'!$C$3:$C$102),0),11)=1,$B99="Triều Xuống"),1,IF(AND(INDEX('Thang 05-2026'!$A$3:$Q$102,MATCH(1,($A99='Thang 05-2026'!$A$3:$A$102)*($G99='Thang 05-2026'!$C$3:$C$102),0),10)=1,$B99="Triều Lên",INDEX('Thang 05-2026'!$A$3:$Q$102,MATCH(1,($A99='Thang 05-2026'!$A$3:$A$102)*($G99='Thang 05-2026'!$C$3:$C$102),0),11)=0),1,0))</f>
        <v>0</v>
      </c>
      <c r="E99">
        <f t="array" ref="E99">IF(AND(INDEX('Thang 05-2026'!$A$3:$Q$102,MATCH(1,($A99='Thang 05-2026'!$A$3:$A$102)*($G99='Thang 05-2026'!$C$3:$C$102),0),15)=1,$B99="Triều Xuống"),1,IF(AND(INDEX('Thang 05-2026'!$A$3:$Q$102,MATCH(1,($A99='Thang 05-2026'!$A$3:$A$102)*($G99='Thang 05-2026'!$C$3:$C$102),0),14)=1,$B99="Triều Lên",INDEX('Thang 05-2026'!$A$3:$Q$102,MATCH(1,($A99='Thang 05-2026'!$A$3:$A$102)*($G99='Thang 05-2026'!$C$3:$C$102),0),15)=0),1,0))</f>
        <v>0</v>
      </c>
      <c r="F99">
        <f t="shared" si="1"/>
        <v>0</v>
      </c>
      <c r="G99">
        <f>INDEX('Thang 05-2026'!$A$3:$C$102,MATCH(A99,'Thang 05-2026'!$A$3:$A$102,0),3)</f>
        <v>13</v>
      </c>
    </row>
    <row r="100" spans="1:7" x14ac:dyDescent="0.2">
      <c r="A100" t="s">
        <v>60</v>
      </c>
      <c r="B100" t="s">
        <v>121</v>
      </c>
      <c r="C100">
        <v>1</v>
      </c>
      <c r="D100">
        <f t="array" ref="D100">IF(AND(INDEX('Thang 05-2026'!$A$3:$Q$102,MATCH(1,($A100='Thang 05-2026'!$A$3:$A$102)*($G100='Thang 05-2026'!$C$3:$C$102),0),11)=1,$B100="Triều Xuống"),1,IF(AND(INDEX('Thang 05-2026'!$A$3:$Q$102,MATCH(1,($A100='Thang 05-2026'!$A$3:$A$102)*($G100='Thang 05-2026'!$C$3:$C$102),0),10)=1,$B100="Triều Lên",INDEX('Thang 05-2026'!$A$3:$Q$102,MATCH(1,($A100='Thang 05-2026'!$A$3:$A$102)*($G100='Thang 05-2026'!$C$3:$C$102),0),11)=0),1,0))</f>
        <v>0</v>
      </c>
      <c r="E100">
        <f t="array" ref="E100">IF(AND(INDEX('Thang 05-2026'!$A$3:$Q$102,MATCH(1,($A100='Thang 05-2026'!$A$3:$A$102)*($G100='Thang 05-2026'!$C$3:$C$102),0),15)=1,$B100="Triều Xuống"),1,IF(AND(INDEX('Thang 05-2026'!$A$3:$Q$102,MATCH(1,($A100='Thang 05-2026'!$A$3:$A$102)*($G100='Thang 05-2026'!$C$3:$C$102),0),14)=1,$B100="Triều Lên",INDEX('Thang 05-2026'!$A$3:$Q$102,MATCH(1,($A100='Thang 05-2026'!$A$3:$A$102)*($G100='Thang 05-2026'!$C$3:$C$102),0),15)=0),1,0))</f>
        <v>0</v>
      </c>
      <c r="F100">
        <f t="shared" si="1"/>
        <v>0</v>
      </c>
      <c r="G100">
        <f>INDEX('Thang 05-2026'!$A$3:$C$102,MATCH(A100,'Thang 05-2026'!$A$3:$A$102,0),3)</f>
        <v>13</v>
      </c>
    </row>
    <row r="101" spans="1:7" x14ac:dyDescent="0.2">
      <c r="A101" t="s">
        <v>61</v>
      </c>
      <c r="B101" t="s">
        <v>121</v>
      </c>
      <c r="C101">
        <v>1</v>
      </c>
      <c r="D101">
        <f t="array" ref="D101">IF(AND(INDEX('Thang 05-2026'!$A$3:$Q$102,MATCH(1,($A101='Thang 05-2026'!$A$3:$A$102)*($G101='Thang 05-2026'!$C$3:$C$102),0),11)=1,$B101="Triều Xuống"),1,IF(AND(INDEX('Thang 05-2026'!$A$3:$Q$102,MATCH(1,($A101='Thang 05-2026'!$A$3:$A$102)*($G101='Thang 05-2026'!$C$3:$C$102),0),10)=1,$B101="Triều Lên",INDEX('Thang 05-2026'!$A$3:$Q$102,MATCH(1,($A101='Thang 05-2026'!$A$3:$A$102)*($G101='Thang 05-2026'!$C$3:$C$102),0),11)=0),1,0))</f>
        <v>1</v>
      </c>
      <c r="E101">
        <f t="array" ref="E101">IF(AND(INDEX('Thang 05-2026'!$A$3:$Q$102,MATCH(1,($A101='Thang 05-2026'!$A$3:$A$102)*($G101='Thang 05-2026'!$C$3:$C$102),0),15)=1,$B101="Triều Xuống"),1,IF(AND(INDEX('Thang 05-2026'!$A$3:$Q$102,MATCH(1,($A101='Thang 05-2026'!$A$3:$A$102)*($G101='Thang 05-2026'!$C$3:$C$102),0),14)=1,$B101="Triều Lên",INDEX('Thang 05-2026'!$A$3:$Q$102,MATCH(1,($A101='Thang 05-2026'!$A$3:$A$102)*($G101='Thang 05-2026'!$C$3:$C$102),0),15)=0),1,0))</f>
        <v>0</v>
      </c>
      <c r="F101">
        <f t="shared" si="1"/>
        <v>1</v>
      </c>
      <c r="G101">
        <f>INDEX('Thang 05-2026'!$A$3:$C$102,MATCH(A101,'Thang 05-2026'!$A$3:$A$102,0),3)</f>
        <v>13</v>
      </c>
    </row>
    <row r="102" spans="1:7" x14ac:dyDescent="0.2">
      <c r="A102" t="s">
        <v>62</v>
      </c>
      <c r="B102" t="s">
        <v>118</v>
      </c>
      <c r="C102">
        <v>1</v>
      </c>
      <c r="D102">
        <f t="array" ref="D102">IF(AND(INDEX('Thang 05-2026'!$A$3:$Q$102,MATCH(1,($A102='Thang 05-2026'!$A$3:$A$102)*($G102='Thang 05-2026'!$C$3:$C$102),0),11)=1,$B102="Triều Xuống"),1,IF(AND(INDEX('Thang 05-2026'!$A$3:$Q$102,MATCH(1,($A102='Thang 05-2026'!$A$3:$A$102)*($G102='Thang 05-2026'!$C$3:$C$102),0),10)=1,$B102="Triều Lên",INDEX('Thang 05-2026'!$A$3:$Q$102,MATCH(1,($A102='Thang 05-2026'!$A$3:$A$102)*($G102='Thang 05-2026'!$C$3:$C$102),0),11)=0),1,0))</f>
        <v>0</v>
      </c>
      <c r="E102">
        <f t="array" ref="E102">IF(AND(INDEX('Thang 05-2026'!$A$3:$Q$102,MATCH(1,($A102='Thang 05-2026'!$A$3:$A$102)*($G102='Thang 05-2026'!$C$3:$C$102),0),15)=1,$B102="Triều Xuống"),1,IF(AND(INDEX('Thang 05-2026'!$A$3:$Q$102,MATCH(1,($A102='Thang 05-2026'!$A$3:$A$102)*($G102='Thang 05-2026'!$C$3:$C$102),0),14)=1,$B102="Triều Lên",INDEX('Thang 05-2026'!$A$3:$Q$102,MATCH(1,($A102='Thang 05-2026'!$A$3:$A$102)*($G102='Thang 05-2026'!$C$3:$C$102),0),15)=0),1,0))</f>
        <v>1</v>
      </c>
      <c r="F102">
        <f t="shared" si="1"/>
        <v>1</v>
      </c>
      <c r="G102">
        <f>INDEX('Thang 05-2026'!$A$3:$C$102,MATCH(A102,'Thang 05-2026'!$A$3:$A$102,0),3)</f>
        <v>14</v>
      </c>
    </row>
    <row r="103" spans="1:7" x14ac:dyDescent="0.2">
      <c r="A103" t="s">
        <v>64</v>
      </c>
      <c r="B103" t="s">
        <v>118</v>
      </c>
      <c r="C103">
        <v>1</v>
      </c>
      <c r="D103">
        <f t="array" ref="D103">IF(AND(INDEX('Thang 05-2026'!$A$3:$Q$102,MATCH(1,($A103='Thang 05-2026'!$A$3:$A$102)*($G103='Thang 05-2026'!$C$3:$C$102),0),11)=1,$B103="Triều Xuống"),1,IF(AND(INDEX('Thang 05-2026'!$A$3:$Q$102,MATCH(1,($A103='Thang 05-2026'!$A$3:$A$102)*($G103='Thang 05-2026'!$C$3:$C$102),0),10)=1,$B103="Triều Lên",INDEX('Thang 05-2026'!$A$3:$Q$102,MATCH(1,($A103='Thang 05-2026'!$A$3:$A$102)*($G103='Thang 05-2026'!$C$3:$C$102),0),11)=0),1,0))</f>
        <v>0</v>
      </c>
      <c r="E103">
        <f t="array" ref="E103">IF(AND(INDEX('Thang 05-2026'!$A$3:$Q$102,MATCH(1,($A103='Thang 05-2026'!$A$3:$A$102)*($G103='Thang 05-2026'!$C$3:$C$102),0),15)=1,$B103="Triều Xuống"),1,IF(AND(INDEX('Thang 05-2026'!$A$3:$Q$102,MATCH(1,($A103='Thang 05-2026'!$A$3:$A$102)*($G103='Thang 05-2026'!$C$3:$C$102),0),14)=1,$B103="Triều Lên",INDEX('Thang 05-2026'!$A$3:$Q$102,MATCH(1,($A103='Thang 05-2026'!$A$3:$A$102)*($G103='Thang 05-2026'!$C$3:$C$102),0),15)=0),1,0))</f>
        <v>0</v>
      </c>
      <c r="F103">
        <f t="shared" si="1"/>
        <v>0</v>
      </c>
      <c r="G103">
        <f>INDEX('Thang 05-2026'!$A$3:$C$102,MATCH(A103,'Thang 05-2026'!$A$3:$A$102,0),3)</f>
        <v>14</v>
      </c>
    </row>
    <row r="104" spans="1:7" x14ac:dyDescent="0.2">
      <c r="A104" t="s">
        <v>65</v>
      </c>
      <c r="B104" t="s">
        <v>118</v>
      </c>
      <c r="C104">
        <v>1</v>
      </c>
      <c r="D104">
        <f t="array" ref="D104">IF(AND(INDEX('Thang 05-2026'!$A$3:$Q$102,MATCH(1,($A104='Thang 05-2026'!$A$3:$A$102)*($G104='Thang 05-2026'!$C$3:$C$102),0),11)=1,$B104="Triều Xuống"),1,IF(AND(INDEX('Thang 05-2026'!$A$3:$Q$102,MATCH(1,($A104='Thang 05-2026'!$A$3:$A$102)*($G104='Thang 05-2026'!$C$3:$C$102),0),10)=1,$B104="Triều Lên",INDEX('Thang 05-2026'!$A$3:$Q$102,MATCH(1,($A104='Thang 05-2026'!$A$3:$A$102)*($G104='Thang 05-2026'!$C$3:$C$102),0),11)=0),1,0))</f>
        <v>0</v>
      </c>
      <c r="E104">
        <f t="array" ref="E104">IF(AND(INDEX('Thang 05-2026'!$A$3:$Q$102,MATCH(1,($A104='Thang 05-2026'!$A$3:$A$102)*($G104='Thang 05-2026'!$C$3:$C$102),0),15)=1,$B104="Triều Xuống"),1,IF(AND(INDEX('Thang 05-2026'!$A$3:$Q$102,MATCH(1,($A104='Thang 05-2026'!$A$3:$A$102)*($G104='Thang 05-2026'!$C$3:$C$102),0),14)=1,$B104="Triều Lên",INDEX('Thang 05-2026'!$A$3:$Q$102,MATCH(1,($A104='Thang 05-2026'!$A$3:$A$102)*($G104='Thang 05-2026'!$C$3:$C$102),0),15)=0),1,0))</f>
        <v>0</v>
      </c>
      <c r="F104">
        <f t="shared" si="1"/>
        <v>0</v>
      </c>
      <c r="G104">
        <f>INDEX('Thang 05-2026'!$A$3:$C$102,MATCH(A104,'Thang 05-2026'!$A$3:$A$102,0),3)</f>
        <v>14</v>
      </c>
    </row>
    <row r="105" spans="1:7" x14ac:dyDescent="0.2">
      <c r="A105" t="s">
        <v>66</v>
      </c>
      <c r="B105" t="s">
        <v>118</v>
      </c>
      <c r="C105">
        <v>1</v>
      </c>
      <c r="D105">
        <f t="array" ref="D105">IF(AND(INDEX('Thang 05-2026'!$A$3:$Q$102,MATCH(1,($A105='Thang 05-2026'!$A$3:$A$102)*($G105='Thang 05-2026'!$C$3:$C$102),0),11)=1,$B105="Triều Xuống"),1,IF(AND(INDEX('Thang 05-2026'!$A$3:$Q$102,MATCH(1,($A105='Thang 05-2026'!$A$3:$A$102)*($G105='Thang 05-2026'!$C$3:$C$102),0),10)=1,$B105="Triều Lên",INDEX('Thang 05-2026'!$A$3:$Q$102,MATCH(1,($A105='Thang 05-2026'!$A$3:$A$102)*($G105='Thang 05-2026'!$C$3:$C$102),0),11)=0),1,0))</f>
        <v>0</v>
      </c>
      <c r="E105">
        <f t="array" ref="E105">IF(AND(INDEX('Thang 05-2026'!$A$3:$Q$102,MATCH(1,($A105='Thang 05-2026'!$A$3:$A$102)*($G105='Thang 05-2026'!$C$3:$C$102),0),15)=1,$B105="Triều Xuống"),1,IF(AND(INDEX('Thang 05-2026'!$A$3:$Q$102,MATCH(1,($A105='Thang 05-2026'!$A$3:$A$102)*($G105='Thang 05-2026'!$C$3:$C$102),0),14)=1,$B105="Triều Lên",INDEX('Thang 05-2026'!$A$3:$Q$102,MATCH(1,($A105='Thang 05-2026'!$A$3:$A$102)*($G105='Thang 05-2026'!$C$3:$C$102),0),15)=0),1,0))</f>
        <v>0</v>
      </c>
      <c r="F105">
        <f t="shared" si="1"/>
        <v>0</v>
      </c>
      <c r="G105">
        <f>INDEX('Thang 05-2026'!$A$3:$C$102,MATCH(A105,'Thang 05-2026'!$A$3:$A$102,0),3)</f>
        <v>14</v>
      </c>
    </row>
    <row r="106" spans="1:7" x14ac:dyDescent="0.2">
      <c r="A106" t="s">
        <v>62</v>
      </c>
      <c r="B106" t="s">
        <v>121</v>
      </c>
      <c r="C106">
        <v>1</v>
      </c>
      <c r="D106">
        <f t="array" ref="D106">IF(AND(INDEX('Thang 05-2026'!$A$3:$Q$102,MATCH(1,($A106='Thang 05-2026'!$A$3:$A$102)*($G106='Thang 05-2026'!$C$3:$C$102),0),11)=1,$B106="Triều Xuống"),1,IF(AND(INDEX('Thang 05-2026'!$A$3:$Q$102,MATCH(1,($A106='Thang 05-2026'!$A$3:$A$102)*($G106='Thang 05-2026'!$C$3:$C$102),0),10)=1,$B106="Triều Lên",INDEX('Thang 05-2026'!$A$3:$Q$102,MATCH(1,($A106='Thang 05-2026'!$A$3:$A$102)*($G106='Thang 05-2026'!$C$3:$C$102),0),11)=0),1,0))</f>
        <v>1</v>
      </c>
      <c r="E106">
        <f t="array" ref="E106">IF(AND(INDEX('Thang 05-2026'!$A$3:$Q$102,MATCH(1,($A106='Thang 05-2026'!$A$3:$A$102)*($G106='Thang 05-2026'!$C$3:$C$102),0),15)=1,$B106="Triều Xuống"),1,IF(AND(INDEX('Thang 05-2026'!$A$3:$Q$102,MATCH(1,($A106='Thang 05-2026'!$A$3:$A$102)*($G106='Thang 05-2026'!$C$3:$C$102),0),14)=1,$B106="Triều Lên",INDEX('Thang 05-2026'!$A$3:$Q$102,MATCH(1,($A106='Thang 05-2026'!$A$3:$A$102)*($G106='Thang 05-2026'!$C$3:$C$102),0),15)=0),1,0))</f>
        <v>0</v>
      </c>
      <c r="F106">
        <f t="shared" si="1"/>
        <v>1</v>
      </c>
      <c r="G106">
        <f>INDEX('Thang 05-2026'!$A$3:$C$102,MATCH(A106,'Thang 05-2026'!$A$3:$A$102,0),3)</f>
        <v>14</v>
      </c>
    </row>
    <row r="107" spans="1:7" x14ac:dyDescent="0.2">
      <c r="A107" t="s">
        <v>64</v>
      </c>
      <c r="B107" t="s">
        <v>121</v>
      </c>
      <c r="C107">
        <v>1</v>
      </c>
      <c r="D107">
        <f t="array" ref="D107">IF(AND(INDEX('Thang 05-2026'!$A$3:$Q$102,MATCH(1,($A107='Thang 05-2026'!$A$3:$A$102)*($G107='Thang 05-2026'!$C$3:$C$102),0),11)=1,$B107="Triều Xuống"),1,IF(AND(INDEX('Thang 05-2026'!$A$3:$Q$102,MATCH(1,($A107='Thang 05-2026'!$A$3:$A$102)*($G107='Thang 05-2026'!$C$3:$C$102),0),10)=1,$B107="Triều Lên",INDEX('Thang 05-2026'!$A$3:$Q$102,MATCH(1,($A107='Thang 05-2026'!$A$3:$A$102)*($G107='Thang 05-2026'!$C$3:$C$102),0),11)=0),1,0))</f>
        <v>0</v>
      </c>
      <c r="E107">
        <f t="array" ref="E107">IF(AND(INDEX('Thang 05-2026'!$A$3:$Q$102,MATCH(1,($A107='Thang 05-2026'!$A$3:$A$102)*($G107='Thang 05-2026'!$C$3:$C$102),0),15)=1,$B107="Triều Xuống"),1,IF(AND(INDEX('Thang 05-2026'!$A$3:$Q$102,MATCH(1,($A107='Thang 05-2026'!$A$3:$A$102)*($G107='Thang 05-2026'!$C$3:$C$102),0),14)=1,$B107="Triều Lên",INDEX('Thang 05-2026'!$A$3:$Q$102,MATCH(1,($A107='Thang 05-2026'!$A$3:$A$102)*($G107='Thang 05-2026'!$C$3:$C$102),0),15)=0),1,0))</f>
        <v>0</v>
      </c>
      <c r="F107">
        <f t="shared" si="1"/>
        <v>0</v>
      </c>
      <c r="G107">
        <f>INDEX('Thang 05-2026'!$A$3:$C$102,MATCH(A107,'Thang 05-2026'!$A$3:$A$102,0),3)</f>
        <v>14</v>
      </c>
    </row>
    <row r="108" spans="1:7" x14ac:dyDescent="0.2">
      <c r="A108" t="s">
        <v>65</v>
      </c>
      <c r="B108" t="s">
        <v>121</v>
      </c>
      <c r="C108">
        <v>1</v>
      </c>
      <c r="D108">
        <f t="array" ref="D108">IF(AND(INDEX('Thang 05-2026'!$A$3:$Q$102,MATCH(1,($A108='Thang 05-2026'!$A$3:$A$102)*($G108='Thang 05-2026'!$C$3:$C$102),0),11)=1,$B108="Triều Xuống"),1,IF(AND(INDEX('Thang 05-2026'!$A$3:$Q$102,MATCH(1,($A108='Thang 05-2026'!$A$3:$A$102)*($G108='Thang 05-2026'!$C$3:$C$102),0),10)=1,$B108="Triều Lên",INDEX('Thang 05-2026'!$A$3:$Q$102,MATCH(1,($A108='Thang 05-2026'!$A$3:$A$102)*($G108='Thang 05-2026'!$C$3:$C$102),0),11)=0),1,0))</f>
        <v>0</v>
      </c>
      <c r="E108">
        <f t="array" ref="E108">IF(AND(INDEX('Thang 05-2026'!$A$3:$Q$102,MATCH(1,($A108='Thang 05-2026'!$A$3:$A$102)*($G108='Thang 05-2026'!$C$3:$C$102),0),15)=1,$B108="Triều Xuống"),1,IF(AND(INDEX('Thang 05-2026'!$A$3:$Q$102,MATCH(1,($A108='Thang 05-2026'!$A$3:$A$102)*($G108='Thang 05-2026'!$C$3:$C$102),0),14)=1,$B108="Triều Lên",INDEX('Thang 05-2026'!$A$3:$Q$102,MATCH(1,($A108='Thang 05-2026'!$A$3:$A$102)*($G108='Thang 05-2026'!$C$3:$C$102),0),15)=0),1,0))</f>
        <v>0</v>
      </c>
      <c r="F108">
        <f t="shared" si="1"/>
        <v>0</v>
      </c>
      <c r="G108">
        <f>INDEX('Thang 05-2026'!$A$3:$C$102,MATCH(A108,'Thang 05-2026'!$A$3:$A$102,0),3)</f>
        <v>14</v>
      </c>
    </row>
    <row r="109" spans="1:7" x14ac:dyDescent="0.2">
      <c r="A109" t="s">
        <v>66</v>
      </c>
      <c r="B109" t="s">
        <v>121</v>
      </c>
      <c r="C109">
        <v>1</v>
      </c>
      <c r="D109">
        <f t="array" ref="D109">IF(AND(INDEX('Thang 05-2026'!$A$3:$Q$102,MATCH(1,($A109='Thang 05-2026'!$A$3:$A$102)*($G109='Thang 05-2026'!$C$3:$C$102),0),11)=1,$B109="Triều Xuống"),1,IF(AND(INDEX('Thang 05-2026'!$A$3:$Q$102,MATCH(1,($A109='Thang 05-2026'!$A$3:$A$102)*($G109='Thang 05-2026'!$C$3:$C$102),0),10)=1,$B109="Triều Lên",INDEX('Thang 05-2026'!$A$3:$Q$102,MATCH(1,($A109='Thang 05-2026'!$A$3:$A$102)*($G109='Thang 05-2026'!$C$3:$C$102),0),11)=0),1,0))</f>
        <v>0</v>
      </c>
      <c r="E109">
        <f t="array" ref="E109">IF(AND(INDEX('Thang 05-2026'!$A$3:$Q$102,MATCH(1,($A109='Thang 05-2026'!$A$3:$A$102)*($G109='Thang 05-2026'!$C$3:$C$102),0),15)=1,$B109="Triều Xuống"),1,IF(AND(INDEX('Thang 05-2026'!$A$3:$Q$102,MATCH(1,($A109='Thang 05-2026'!$A$3:$A$102)*($G109='Thang 05-2026'!$C$3:$C$102),0),14)=1,$B109="Triều Lên",INDEX('Thang 05-2026'!$A$3:$Q$102,MATCH(1,($A109='Thang 05-2026'!$A$3:$A$102)*($G109='Thang 05-2026'!$C$3:$C$102),0),15)=0),1,0))</f>
        <v>0</v>
      </c>
      <c r="F109">
        <f t="shared" si="1"/>
        <v>0</v>
      </c>
      <c r="G109">
        <f>INDEX('Thang 05-2026'!$A$3:$C$102,MATCH(A109,'Thang 05-2026'!$A$3:$A$102,0),3)</f>
        <v>14</v>
      </c>
    </row>
    <row r="110" spans="1:7" x14ac:dyDescent="0.2">
      <c r="A110" t="s">
        <v>67</v>
      </c>
      <c r="B110" t="s">
        <v>118</v>
      </c>
      <c r="C110">
        <v>1</v>
      </c>
      <c r="D110">
        <f t="array" ref="D110">IF(AND(INDEX('Thang 05-2026'!$A$3:$Q$102,MATCH(1,($A110='Thang 05-2026'!$A$3:$A$102)*($G110='Thang 05-2026'!$C$3:$C$102),0),11)=1,$B110="Triều Xuống"),1,IF(AND(INDEX('Thang 05-2026'!$A$3:$Q$102,MATCH(1,($A110='Thang 05-2026'!$A$3:$A$102)*($G110='Thang 05-2026'!$C$3:$C$102),0),10)=1,$B110="Triều Lên",INDEX('Thang 05-2026'!$A$3:$Q$102,MATCH(1,($A110='Thang 05-2026'!$A$3:$A$102)*($G110='Thang 05-2026'!$C$3:$C$102),0),11)=0),1,0))</f>
        <v>0</v>
      </c>
      <c r="E110">
        <f t="array" ref="E110">IF(AND(INDEX('Thang 05-2026'!$A$3:$Q$102,MATCH(1,($A110='Thang 05-2026'!$A$3:$A$102)*($G110='Thang 05-2026'!$C$3:$C$102),0),15)=1,$B110="Triều Xuống"),1,IF(AND(INDEX('Thang 05-2026'!$A$3:$Q$102,MATCH(1,($A110='Thang 05-2026'!$A$3:$A$102)*($G110='Thang 05-2026'!$C$3:$C$102),0),14)=1,$B110="Triều Lên",INDEX('Thang 05-2026'!$A$3:$Q$102,MATCH(1,($A110='Thang 05-2026'!$A$3:$A$102)*($G110='Thang 05-2026'!$C$3:$C$102),0),15)=0),1,0))</f>
        <v>1</v>
      </c>
      <c r="F110">
        <f t="shared" si="1"/>
        <v>1</v>
      </c>
      <c r="G110">
        <f>INDEX('Thang 05-2026'!$A$3:$C$102,MATCH(A110,'Thang 05-2026'!$A$3:$A$102,0),3)</f>
        <v>15</v>
      </c>
    </row>
    <row r="111" spans="1:7" x14ac:dyDescent="0.2">
      <c r="A111" t="s">
        <v>69</v>
      </c>
      <c r="B111" t="s">
        <v>118</v>
      </c>
      <c r="C111">
        <v>1</v>
      </c>
      <c r="D111">
        <f t="array" ref="D111">IF(AND(INDEX('Thang 05-2026'!$A$3:$Q$102,MATCH(1,($A111='Thang 05-2026'!$A$3:$A$102)*($G111='Thang 05-2026'!$C$3:$C$102),0),11)=1,$B111="Triều Xuống"),1,IF(AND(INDEX('Thang 05-2026'!$A$3:$Q$102,MATCH(1,($A111='Thang 05-2026'!$A$3:$A$102)*($G111='Thang 05-2026'!$C$3:$C$102),0),10)=1,$B111="Triều Lên",INDEX('Thang 05-2026'!$A$3:$Q$102,MATCH(1,($A111='Thang 05-2026'!$A$3:$A$102)*($G111='Thang 05-2026'!$C$3:$C$102),0),11)=0),1,0))</f>
        <v>0</v>
      </c>
      <c r="E111">
        <f t="array" ref="E111">IF(AND(INDEX('Thang 05-2026'!$A$3:$Q$102,MATCH(1,($A111='Thang 05-2026'!$A$3:$A$102)*($G111='Thang 05-2026'!$C$3:$C$102),0),15)=1,$B111="Triều Xuống"),1,IF(AND(INDEX('Thang 05-2026'!$A$3:$Q$102,MATCH(1,($A111='Thang 05-2026'!$A$3:$A$102)*($G111='Thang 05-2026'!$C$3:$C$102),0),14)=1,$B111="Triều Lên",INDEX('Thang 05-2026'!$A$3:$Q$102,MATCH(1,($A111='Thang 05-2026'!$A$3:$A$102)*($G111='Thang 05-2026'!$C$3:$C$102),0),15)=0),1,0))</f>
        <v>0</v>
      </c>
      <c r="F111">
        <f t="shared" si="1"/>
        <v>0</v>
      </c>
      <c r="G111">
        <f>INDEX('Thang 05-2026'!$A$3:$C$102,MATCH(A111,'Thang 05-2026'!$A$3:$A$102,0),3)</f>
        <v>15</v>
      </c>
    </row>
    <row r="112" spans="1:7" x14ac:dyDescent="0.2">
      <c r="A112" t="s">
        <v>70</v>
      </c>
      <c r="B112" t="s">
        <v>118</v>
      </c>
      <c r="C112">
        <v>1</v>
      </c>
      <c r="D112">
        <f t="array" ref="D112">IF(AND(INDEX('Thang 05-2026'!$A$3:$Q$102,MATCH(1,($A112='Thang 05-2026'!$A$3:$A$102)*($G112='Thang 05-2026'!$C$3:$C$102),0),11)=1,$B112="Triều Xuống"),1,IF(AND(INDEX('Thang 05-2026'!$A$3:$Q$102,MATCH(1,($A112='Thang 05-2026'!$A$3:$A$102)*($G112='Thang 05-2026'!$C$3:$C$102),0),10)=1,$B112="Triều Lên",INDEX('Thang 05-2026'!$A$3:$Q$102,MATCH(1,($A112='Thang 05-2026'!$A$3:$A$102)*($G112='Thang 05-2026'!$C$3:$C$102),0),11)=0),1,0))</f>
        <v>0</v>
      </c>
      <c r="E112">
        <f t="array" ref="E112">IF(AND(INDEX('Thang 05-2026'!$A$3:$Q$102,MATCH(1,($A112='Thang 05-2026'!$A$3:$A$102)*($G112='Thang 05-2026'!$C$3:$C$102),0),15)=1,$B112="Triều Xuống"),1,IF(AND(INDEX('Thang 05-2026'!$A$3:$Q$102,MATCH(1,($A112='Thang 05-2026'!$A$3:$A$102)*($G112='Thang 05-2026'!$C$3:$C$102),0),14)=1,$B112="Triều Lên",INDEX('Thang 05-2026'!$A$3:$Q$102,MATCH(1,($A112='Thang 05-2026'!$A$3:$A$102)*($G112='Thang 05-2026'!$C$3:$C$102),0),15)=0),1,0))</f>
        <v>0</v>
      </c>
      <c r="F112">
        <f t="shared" si="1"/>
        <v>0</v>
      </c>
      <c r="G112">
        <f>INDEX('Thang 05-2026'!$A$3:$C$102,MATCH(A112,'Thang 05-2026'!$A$3:$A$102,0),3)</f>
        <v>15</v>
      </c>
    </row>
    <row r="113" spans="1:7" x14ac:dyDescent="0.2">
      <c r="A113" t="s">
        <v>71</v>
      </c>
      <c r="B113" t="s">
        <v>118</v>
      </c>
      <c r="C113">
        <v>1</v>
      </c>
      <c r="D113">
        <f t="array" ref="D113">IF(AND(INDEX('Thang 05-2026'!$A$3:$Q$102,MATCH(1,($A113='Thang 05-2026'!$A$3:$A$102)*($G113='Thang 05-2026'!$C$3:$C$102),0),11)=1,$B113="Triều Xuống"),1,IF(AND(INDEX('Thang 05-2026'!$A$3:$Q$102,MATCH(1,($A113='Thang 05-2026'!$A$3:$A$102)*($G113='Thang 05-2026'!$C$3:$C$102),0),10)=1,$B113="Triều Lên",INDEX('Thang 05-2026'!$A$3:$Q$102,MATCH(1,($A113='Thang 05-2026'!$A$3:$A$102)*($G113='Thang 05-2026'!$C$3:$C$102),0),11)=0),1,0))</f>
        <v>1</v>
      </c>
      <c r="E113">
        <f t="array" ref="E113">IF(AND(INDEX('Thang 05-2026'!$A$3:$Q$102,MATCH(1,($A113='Thang 05-2026'!$A$3:$A$102)*($G113='Thang 05-2026'!$C$3:$C$102),0),15)=1,$B113="Triều Xuống"),1,IF(AND(INDEX('Thang 05-2026'!$A$3:$Q$102,MATCH(1,($A113='Thang 05-2026'!$A$3:$A$102)*($G113='Thang 05-2026'!$C$3:$C$102),0),14)=1,$B113="Triều Lên",INDEX('Thang 05-2026'!$A$3:$Q$102,MATCH(1,($A113='Thang 05-2026'!$A$3:$A$102)*($G113='Thang 05-2026'!$C$3:$C$102),0),15)=0),1,0))</f>
        <v>0</v>
      </c>
      <c r="F113">
        <f t="shared" si="1"/>
        <v>1</v>
      </c>
      <c r="G113">
        <f>INDEX('Thang 05-2026'!$A$3:$C$102,MATCH(A113,'Thang 05-2026'!$A$3:$A$102,0),3)</f>
        <v>15</v>
      </c>
    </row>
    <row r="114" spans="1:7" x14ac:dyDescent="0.2">
      <c r="A114" t="s">
        <v>67</v>
      </c>
      <c r="B114" t="s">
        <v>121</v>
      </c>
      <c r="C114">
        <v>1</v>
      </c>
      <c r="D114">
        <f t="array" ref="D114">IF(AND(INDEX('Thang 05-2026'!$A$3:$Q$102,MATCH(1,($A114='Thang 05-2026'!$A$3:$A$102)*($G114='Thang 05-2026'!$C$3:$C$102),0),11)=1,$B114="Triều Xuống"),1,IF(AND(INDEX('Thang 05-2026'!$A$3:$Q$102,MATCH(1,($A114='Thang 05-2026'!$A$3:$A$102)*($G114='Thang 05-2026'!$C$3:$C$102),0),10)=1,$B114="Triều Lên",INDEX('Thang 05-2026'!$A$3:$Q$102,MATCH(1,($A114='Thang 05-2026'!$A$3:$A$102)*($G114='Thang 05-2026'!$C$3:$C$102),0),11)=0),1,0))</f>
        <v>0</v>
      </c>
      <c r="E114">
        <f t="array" ref="E114">IF(AND(INDEX('Thang 05-2026'!$A$3:$Q$102,MATCH(1,($A114='Thang 05-2026'!$A$3:$A$102)*($G114='Thang 05-2026'!$C$3:$C$102),0),15)=1,$B114="Triều Xuống"),1,IF(AND(INDEX('Thang 05-2026'!$A$3:$Q$102,MATCH(1,($A114='Thang 05-2026'!$A$3:$A$102)*($G114='Thang 05-2026'!$C$3:$C$102),0),14)=1,$B114="Triều Lên",INDEX('Thang 05-2026'!$A$3:$Q$102,MATCH(1,($A114='Thang 05-2026'!$A$3:$A$102)*($G114='Thang 05-2026'!$C$3:$C$102),0),15)=0),1,0))</f>
        <v>0</v>
      </c>
      <c r="F114">
        <f t="shared" si="1"/>
        <v>0</v>
      </c>
      <c r="G114">
        <f>INDEX('Thang 05-2026'!$A$3:$C$102,MATCH(A114,'Thang 05-2026'!$A$3:$A$102,0),3)</f>
        <v>15</v>
      </c>
    </row>
    <row r="115" spans="1:7" x14ac:dyDescent="0.2">
      <c r="A115" t="s">
        <v>69</v>
      </c>
      <c r="B115" t="s">
        <v>121</v>
      </c>
      <c r="C115">
        <v>1</v>
      </c>
      <c r="D115">
        <f t="array" ref="D115">IF(AND(INDEX('Thang 05-2026'!$A$3:$Q$102,MATCH(1,($A115='Thang 05-2026'!$A$3:$A$102)*($G115='Thang 05-2026'!$C$3:$C$102),0),11)=1,$B115="Triều Xuống"),1,IF(AND(INDEX('Thang 05-2026'!$A$3:$Q$102,MATCH(1,($A115='Thang 05-2026'!$A$3:$A$102)*($G115='Thang 05-2026'!$C$3:$C$102),0),10)=1,$B115="Triều Lên",INDEX('Thang 05-2026'!$A$3:$Q$102,MATCH(1,($A115='Thang 05-2026'!$A$3:$A$102)*($G115='Thang 05-2026'!$C$3:$C$102),0),11)=0),1,0))</f>
        <v>0</v>
      </c>
      <c r="E115">
        <f t="array" ref="E115">IF(AND(INDEX('Thang 05-2026'!$A$3:$Q$102,MATCH(1,($A115='Thang 05-2026'!$A$3:$A$102)*($G115='Thang 05-2026'!$C$3:$C$102),0),15)=1,$B115="Triều Xuống"),1,IF(AND(INDEX('Thang 05-2026'!$A$3:$Q$102,MATCH(1,($A115='Thang 05-2026'!$A$3:$A$102)*($G115='Thang 05-2026'!$C$3:$C$102),0),14)=1,$B115="Triều Lên",INDEX('Thang 05-2026'!$A$3:$Q$102,MATCH(1,($A115='Thang 05-2026'!$A$3:$A$102)*($G115='Thang 05-2026'!$C$3:$C$102),0),15)=0),1,0))</f>
        <v>0</v>
      </c>
      <c r="F115">
        <f t="shared" si="1"/>
        <v>0</v>
      </c>
      <c r="G115">
        <f>INDEX('Thang 05-2026'!$A$3:$C$102,MATCH(A115,'Thang 05-2026'!$A$3:$A$102,0),3)</f>
        <v>15</v>
      </c>
    </row>
    <row r="116" spans="1:7" x14ac:dyDescent="0.2">
      <c r="A116" t="s">
        <v>70</v>
      </c>
      <c r="B116" t="s">
        <v>121</v>
      </c>
      <c r="C116">
        <v>1</v>
      </c>
      <c r="D116">
        <f t="array" ref="D116">IF(AND(INDEX('Thang 05-2026'!$A$3:$Q$102,MATCH(1,($A116='Thang 05-2026'!$A$3:$A$102)*($G116='Thang 05-2026'!$C$3:$C$102),0),11)=1,$B116="Triều Xuống"),1,IF(AND(INDEX('Thang 05-2026'!$A$3:$Q$102,MATCH(1,($A116='Thang 05-2026'!$A$3:$A$102)*($G116='Thang 05-2026'!$C$3:$C$102),0),10)=1,$B116="Triều Lên",INDEX('Thang 05-2026'!$A$3:$Q$102,MATCH(1,($A116='Thang 05-2026'!$A$3:$A$102)*($G116='Thang 05-2026'!$C$3:$C$102),0),11)=0),1,0))</f>
        <v>0</v>
      </c>
      <c r="E116">
        <f t="array" ref="E116">IF(AND(INDEX('Thang 05-2026'!$A$3:$Q$102,MATCH(1,($A116='Thang 05-2026'!$A$3:$A$102)*($G116='Thang 05-2026'!$C$3:$C$102),0),15)=1,$B116="Triều Xuống"),1,IF(AND(INDEX('Thang 05-2026'!$A$3:$Q$102,MATCH(1,($A116='Thang 05-2026'!$A$3:$A$102)*($G116='Thang 05-2026'!$C$3:$C$102),0),14)=1,$B116="Triều Lên",INDEX('Thang 05-2026'!$A$3:$Q$102,MATCH(1,($A116='Thang 05-2026'!$A$3:$A$102)*($G116='Thang 05-2026'!$C$3:$C$102),0),15)=0),1,0))</f>
        <v>0</v>
      </c>
      <c r="F116">
        <f t="shared" si="1"/>
        <v>0</v>
      </c>
      <c r="G116">
        <f>INDEX('Thang 05-2026'!$A$3:$C$102,MATCH(A116,'Thang 05-2026'!$A$3:$A$102,0),3)</f>
        <v>15</v>
      </c>
    </row>
    <row r="117" spans="1:7" x14ac:dyDescent="0.2">
      <c r="A117" t="s">
        <v>71</v>
      </c>
      <c r="B117" t="s">
        <v>121</v>
      </c>
      <c r="C117">
        <v>1</v>
      </c>
      <c r="D117">
        <f t="array" ref="D117">IF(AND(INDEX('Thang 05-2026'!$A$3:$Q$102,MATCH(1,($A117='Thang 05-2026'!$A$3:$A$102)*($G117='Thang 05-2026'!$C$3:$C$102),0),11)=1,$B117="Triều Xuống"),1,IF(AND(INDEX('Thang 05-2026'!$A$3:$Q$102,MATCH(1,($A117='Thang 05-2026'!$A$3:$A$102)*($G117='Thang 05-2026'!$C$3:$C$102),0),10)=1,$B117="Triều Lên",INDEX('Thang 05-2026'!$A$3:$Q$102,MATCH(1,($A117='Thang 05-2026'!$A$3:$A$102)*($G117='Thang 05-2026'!$C$3:$C$102),0),11)=0),1,0))</f>
        <v>0</v>
      </c>
      <c r="E117">
        <f t="array" ref="E117">IF(AND(INDEX('Thang 05-2026'!$A$3:$Q$102,MATCH(1,($A117='Thang 05-2026'!$A$3:$A$102)*($G117='Thang 05-2026'!$C$3:$C$102),0),15)=1,$B117="Triều Xuống"),1,IF(AND(INDEX('Thang 05-2026'!$A$3:$Q$102,MATCH(1,($A117='Thang 05-2026'!$A$3:$A$102)*($G117='Thang 05-2026'!$C$3:$C$102),0),14)=1,$B117="Triều Lên",INDEX('Thang 05-2026'!$A$3:$Q$102,MATCH(1,($A117='Thang 05-2026'!$A$3:$A$102)*($G117='Thang 05-2026'!$C$3:$C$102),0),15)=0),1,0))</f>
        <v>0</v>
      </c>
      <c r="F117">
        <f t="shared" si="1"/>
        <v>0</v>
      </c>
      <c r="G117">
        <f>INDEX('Thang 05-2026'!$A$3:$C$102,MATCH(A117,'Thang 05-2026'!$A$3:$A$102,0),3)</f>
        <v>15</v>
      </c>
    </row>
    <row r="118" spans="1:7" x14ac:dyDescent="0.2">
      <c r="A118" t="s">
        <v>129</v>
      </c>
      <c r="B118" t="s">
        <v>118</v>
      </c>
      <c r="C118">
        <v>1</v>
      </c>
      <c r="D118">
        <f t="array" ref="D118">IF(AND(INDEX('Thang 05-2026'!$A$3:$Q$102,MATCH(1,($A118='Thang 05-2026'!$A$3:$A$102)*($G118='Thang 05-2026'!$C$3:$C$102),0),11)=1,$B118="Triều Xuống"),1,IF(AND(INDEX('Thang 05-2026'!$A$3:$Q$102,MATCH(1,($A118='Thang 05-2026'!$A$3:$A$102)*($G118='Thang 05-2026'!$C$3:$C$102),0),10)=1,$B118="Triều Lên",INDEX('Thang 05-2026'!$A$3:$Q$102,MATCH(1,($A118='Thang 05-2026'!$A$3:$A$102)*($G118='Thang 05-2026'!$C$3:$C$102),0),11)=0),1,0))</f>
        <v>0</v>
      </c>
      <c r="E118">
        <f t="array" ref="E118">IF(AND(INDEX('Thang 05-2026'!$A$3:$Q$102,MATCH(1,($A118='Thang 05-2026'!$A$3:$A$102)*($G118='Thang 05-2026'!$C$3:$C$102),0),15)=1,$B118="Triều Xuống"),1,IF(AND(INDEX('Thang 05-2026'!$A$3:$Q$102,MATCH(1,($A118='Thang 05-2026'!$A$3:$A$102)*($G118='Thang 05-2026'!$C$3:$C$102),0),14)=1,$B118="Triều Lên",INDEX('Thang 05-2026'!$A$3:$Q$102,MATCH(1,($A118='Thang 05-2026'!$A$3:$A$102)*($G118='Thang 05-2026'!$C$3:$C$102),0),15)=0),1,0))</f>
        <v>0</v>
      </c>
      <c r="F118">
        <f t="shared" si="1"/>
        <v>0</v>
      </c>
      <c r="G118">
        <f>INDEX('Thang 05-2026'!$A$3:$C$102,MATCH(A118,'Thang 05-2026'!$A$3:$A$102,0),3)</f>
        <v>19</v>
      </c>
    </row>
    <row r="119" spans="1:7" x14ac:dyDescent="0.2">
      <c r="A119" t="s">
        <v>130</v>
      </c>
      <c r="B119" t="s">
        <v>118</v>
      </c>
      <c r="C119">
        <v>1</v>
      </c>
      <c r="D119">
        <f t="array" ref="D119">IF(AND(INDEX('Thang 05-2026'!$A$3:$Q$102,MATCH(1,($A119='Thang 05-2026'!$A$3:$A$102)*($G119='Thang 05-2026'!$C$3:$C$102),0),11)=1,$B119="Triều Xuống"),1,IF(AND(INDEX('Thang 05-2026'!$A$3:$Q$102,MATCH(1,($A119='Thang 05-2026'!$A$3:$A$102)*($G119='Thang 05-2026'!$C$3:$C$102),0),10)=1,$B119="Triều Lên",INDEX('Thang 05-2026'!$A$3:$Q$102,MATCH(1,($A119='Thang 05-2026'!$A$3:$A$102)*($G119='Thang 05-2026'!$C$3:$C$102),0),11)=0),1,0))</f>
        <v>0</v>
      </c>
      <c r="E119">
        <f t="array" ref="E119">IF(AND(INDEX('Thang 05-2026'!$A$3:$Q$102,MATCH(1,($A119='Thang 05-2026'!$A$3:$A$102)*($G119='Thang 05-2026'!$C$3:$C$102),0),15)=1,$B119="Triều Xuống"),1,IF(AND(INDEX('Thang 05-2026'!$A$3:$Q$102,MATCH(1,($A119='Thang 05-2026'!$A$3:$A$102)*($G119='Thang 05-2026'!$C$3:$C$102),0),14)=1,$B119="Triều Lên",INDEX('Thang 05-2026'!$A$3:$Q$102,MATCH(1,($A119='Thang 05-2026'!$A$3:$A$102)*($G119='Thang 05-2026'!$C$3:$C$102),0),15)=0),1,0))</f>
        <v>0</v>
      </c>
      <c r="F119">
        <f t="shared" si="1"/>
        <v>0</v>
      </c>
      <c r="G119">
        <f>INDEX('Thang 05-2026'!$A$3:$C$102,MATCH(A119,'Thang 05-2026'!$A$3:$A$102,0),3)</f>
        <v>19</v>
      </c>
    </row>
    <row r="120" spans="1:7" x14ac:dyDescent="0.2">
      <c r="A120" t="s">
        <v>73</v>
      </c>
      <c r="B120" t="s">
        <v>118</v>
      </c>
      <c r="C120">
        <v>1</v>
      </c>
      <c r="D120">
        <f t="array" ref="D120">IF(AND(INDEX('Thang 05-2026'!$A$3:$Q$102,MATCH(1,($A120='Thang 05-2026'!$A$3:$A$102)*($G120='Thang 05-2026'!$C$3:$C$102),0),11)=1,$B120="Triều Xuống"),1,IF(AND(INDEX('Thang 05-2026'!$A$3:$Q$102,MATCH(1,($A120='Thang 05-2026'!$A$3:$A$102)*($G120='Thang 05-2026'!$C$3:$C$102),0),10)=1,$B120="Triều Lên",INDEX('Thang 05-2026'!$A$3:$Q$102,MATCH(1,($A120='Thang 05-2026'!$A$3:$A$102)*($G120='Thang 05-2026'!$C$3:$C$102),0),11)=0),1,0))</f>
        <v>0</v>
      </c>
      <c r="E120">
        <f t="array" ref="E120">IF(AND(INDEX('Thang 05-2026'!$A$3:$Q$102,MATCH(1,($A120='Thang 05-2026'!$A$3:$A$102)*($G120='Thang 05-2026'!$C$3:$C$102),0),15)=1,$B120="Triều Xuống"),1,IF(AND(INDEX('Thang 05-2026'!$A$3:$Q$102,MATCH(1,($A120='Thang 05-2026'!$A$3:$A$102)*($G120='Thang 05-2026'!$C$3:$C$102),0),14)=1,$B120="Triều Lên",INDEX('Thang 05-2026'!$A$3:$Q$102,MATCH(1,($A120='Thang 05-2026'!$A$3:$A$102)*($G120='Thang 05-2026'!$C$3:$C$102),0),15)=0),1,0))</f>
        <v>0</v>
      </c>
      <c r="F120">
        <f t="shared" si="1"/>
        <v>0</v>
      </c>
      <c r="G120">
        <f>INDEX('Thang 05-2026'!$A$3:$C$102,MATCH(A120,'Thang 05-2026'!$A$3:$A$102,0),3)</f>
        <v>19</v>
      </c>
    </row>
    <row r="121" spans="1:7" x14ac:dyDescent="0.2">
      <c r="A121" t="s">
        <v>74</v>
      </c>
      <c r="B121" t="s">
        <v>118</v>
      </c>
      <c r="C121">
        <v>1</v>
      </c>
      <c r="D121">
        <f t="array" ref="D121">IF(AND(INDEX('Thang 05-2026'!$A$3:$Q$102,MATCH(1,($A121='Thang 05-2026'!$A$3:$A$102)*($G121='Thang 05-2026'!$C$3:$C$102),0),11)=1,$B121="Triều Xuống"),1,IF(AND(INDEX('Thang 05-2026'!$A$3:$Q$102,MATCH(1,($A121='Thang 05-2026'!$A$3:$A$102)*($G121='Thang 05-2026'!$C$3:$C$102),0),10)=1,$B121="Triều Lên",INDEX('Thang 05-2026'!$A$3:$Q$102,MATCH(1,($A121='Thang 05-2026'!$A$3:$A$102)*($G121='Thang 05-2026'!$C$3:$C$102),0),11)=0),1,0))</f>
        <v>0</v>
      </c>
      <c r="E121">
        <f t="array" ref="E121">IF(AND(INDEX('Thang 05-2026'!$A$3:$Q$102,MATCH(1,($A121='Thang 05-2026'!$A$3:$A$102)*($G121='Thang 05-2026'!$C$3:$C$102),0),15)=1,$B121="Triều Xuống"),1,IF(AND(INDEX('Thang 05-2026'!$A$3:$Q$102,MATCH(1,($A121='Thang 05-2026'!$A$3:$A$102)*($G121='Thang 05-2026'!$C$3:$C$102),0),14)=1,$B121="Triều Lên",INDEX('Thang 05-2026'!$A$3:$Q$102,MATCH(1,($A121='Thang 05-2026'!$A$3:$A$102)*($G121='Thang 05-2026'!$C$3:$C$102),0),15)=0),1,0))</f>
        <v>0</v>
      </c>
      <c r="F121">
        <f t="shared" si="1"/>
        <v>0</v>
      </c>
      <c r="G121">
        <f>INDEX('Thang 05-2026'!$A$3:$C$102,MATCH(A121,'Thang 05-2026'!$A$3:$A$102,0),3)</f>
        <v>19</v>
      </c>
    </row>
    <row r="122" spans="1:7" x14ac:dyDescent="0.2">
      <c r="A122" t="s">
        <v>75</v>
      </c>
      <c r="B122" t="s">
        <v>118</v>
      </c>
      <c r="C122">
        <v>1</v>
      </c>
      <c r="D122">
        <f t="array" ref="D122">IF(AND(INDEX('Thang 05-2026'!$A$3:$Q$102,MATCH(1,($A122='Thang 05-2026'!$A$3:$A$102)*($G122='Thang 05-2026'!$C$3:$C$102),0),11)=1,$B122="Triều Xuống"),1,IF(AND(INDEX('Thang 05-2026'!$A$3:$Q$102,MATCH(1,($A122='Thang 05-2026'!$A$3:$A$102)*($G122='Thang 05-2026'!$C$3:$C$102),0),10)=1,$B122="Triều Lên",INDEX('Thang 05-2026'!$A$3:$Q$102,MATCH(1,($A122='Thang 05-2026'!$A$3:$A$102)*($G122='Thang 05-2026'!$C$3:$C$102),0),11)=0),1,0))</f>
        <v>0</v>
      </c>
      <c r="E122">
        <f t="array" ref="E122">IF(AND(INDEX('Thang 05-2026'!$A$3:$Q$102,MATCH(1,($A122='Thang 05-2026'!$A$3:$A$102)*($G122='Thang 05-2026'!$C$3:$C$102),0),15)=1,$B122="Triều Xuống"),1,IF(AND(INDEX('Thang 05-2026'!$A$3:$Q$102,MATCH(1,($A122='Thang 05-2026'!$A$3:$A$102)*($G122='Thang 05-2026'!$C$3:$C$102),0),14)=1,$B122="Triều Lên",INDEX('Thang 05-2026'!$A$3:$Q$102,MATCH(1,($A122='Thang 05-2026'!$A$3:$A$102)*($G122='Thang 05-2026'!$C$3:$C$102),0),15)=0),1,0))</f>
        <v>0</v>
      </c>
      <c r="F122">
        <f t="shared" si="1"/>
        <v>0</v>
      </c>
      <c r="G122">
        <f>INDEX('Thang 05-2026'!$A$3:$C$102,MATCH(A122,'Thang 05-2026'!$A$3:$A$102,0),3)</f>
        <v>19</v>
      </c>
    </row>
    <row r="123" spans="1:7" x14ac:dyDescent="0.2">
      <c r="A123" t="s">
        <v>129</v>
      </c>
      <c r="B123" t="s">
        <v>121</v>
      </c>
      <c r="C123">
        <v>1</v>
      </c>
      <c r="D123">
        <f t="array" ref="D123">IF(AND(INDEX('Thang 05-2026'!$A$3:$Q$102,MATCH(1,($A123='Thang 05-2026'!$A$3:$A$102)*($G123='Thang 05-2026'!$C$3:$C$102),0),11)=1,$B123="Triều Xuống"),1,IF(AND(INDEX('Thang 05-2026'!$A$3:$Q$102,MATCH(1,($A123='Thang 05-2026'!$A$3:$A$102)*($G123='Thang 05-2026'!$C$3:$C$102),0),10)=1,$B123="Triều Lên",INDEX('Thang 05-2026'!$A$3:$Q$102,MATCH(1,($A123='Thang 05-2026'!$A$3:$A$102)*($G123='Thang 05-2026'!$C$3:$C$102),0),11)=0),1,0))</f>
        <v>0</v>
      </c>
      <c r="E123">
        <f t="array" ref="E123">IF(AND(INDEX('Thang 05-2026'!$A$3:$Q$102,MATCH(1,($A123='Thang 05-2026'!$A$3:$A$102)*($G123='Thang 05-2026'!$C$3:$C$102),0),15)=1,$B123="Triều Xuống"),1,IF(AND(INDEX('Thang 05-2026'!$A$3:$Q$102,MATCH(1,($A123='Thang 05-2026'!$A$3:$A$102)*($G123='Thang 05-2026'!$C$3:$C$102),0),14)=1,$B123="Triều Lên",INDEX('Thang 05-2026'!$A$3:$Q$102,MATCH(1,($A123='Thang 05-2026'!$A$3:$A$102)*($G123='Thang 05-2026'!$C$3:$C$102),0),15)=0),1,0))</f>
        <v>0</v>
      </c>
      <c r="F123">
        <f t="shared" si="1"/>
        <v>0</v>
      </c>
      <c r="G123">
        <f>INDEX('Thang 05-2026'!$A$3:$C$102,MATCH(A123,'Thang 05-2026'!$A$3:$A$102,0),3)</f>
        <v>19</v>
      </c>
    </row>
    <row r="124" spans="1:7" x14ac:dyDescent="0.2">
      <c r="A124" t="s">
        <v>130</v>
      </c>
      <c r="B124" t="s">
        <v>121</v>
      </c>
      <c r="C124">
        <v>1</v>
      </c>
      <c r="D124">
        <f t="array" ref="D124">IF(AND(INDEX('Thang 05-2026'!$A$3:$Q$102,MATCH(1,($A124='Thang 05-2026'!$A$3:$A$102)*($G124='Thang 05-2026'!$C$3:$C$102),0),11)=1,$B124="Triều Xuống"),1,IF(AND(INDEX('Thang 05-2026'!$A$3:$Q$102,MATCH(1,($A124='Thang 05-2026'!$A$3:$A$102)*($G124='Thang 05-2026'!$C$3:$C$102),0),10)=1,$B124="Triều Lên",INDEX('Thang 05-2026'!$A$3:$Q$102,MATCH(1,($A124='Thang 05-2026'!$A$3:$A$102)*($G124='Thang 05-2026'!$C$3:$C$102),0),11)=0),1,0))</f>
        <v>0</v>
      </c>
      <c r="E124">
        <f t="array" ref="E124">IF(AND(INDEX('Thang 05-2026'!$A$3:$Q$102,MATCH(1,($A124='Thang 05-2026'!$A$3:$A$102)*($G124='Thang 05-2026'!$C$3:$C$102),0),15)=1,$B124="Triều Xuống"),1,IF(AND(INDEX('Thang 05-2026'!$A$3:$Q$102,MATCH(1,($A124='Thang 05-2026'!$A$3:$A$102)*($G124='Thang 05-2026'!$C$3:$C$102),0),14)=1,$B124="Triều Lên",INDEX('Thang 05-2026'!$A$3:$Q$102,MATCH(1,($A124='Thang 05-2026'!$A$3:$A$102)*($G124='Thang 05-2026'!$C$3:$C$102),0),15)=0),1,0))</f>
        <v>0</v>
      </c>
      <c r="F124">
        <f t="shared" si="1"/>
        <v>0</v>
      </c>
      <c r="G124">
        <f>INDEX('Thang 05-2026'!$A$3:$C$102,MATCH(A124,'Thang 05-2026'!$A$3:$A$102,0),3)</f>
        <v>19</v>
      </c>
    </row>
    <row r="125" spans="1:7" x14ac:dyDescent="0.2">
      <c r="A125" t="s">
        <v>73</v>
      </c>
      <c r="B125" t="s">
        <v>121</v>
      </c>
      <c r="C125">
        <v>1</v>
      </c>
      <c r="D125">
        <f t="array" ref="D125">IF(AND(INDEX('Thang 05-2026'!$A$3:$Q$102,MATCH(1,($A125='Thang 05-2026'!$A$3:$A$102)*($G125='Thang 05-2026'!$C$3:$C$102),0),11)=1,$B125="Triều Xuống"),1,IF(AND(INDEX('Thang 05-2026'!$A$3:$Q$102,MATCH(1,($A125='Thang 05-2026'!$A$3:$A$102)*($G125='Thang 05-2026'!$C$3:$C$102),0),10)=1,$B125="Triều Lên",INDEX('Thang 05-2026'!$A$3:$Q$102,MATCH(1,($A125='Thang 05-2026'!$A$3:$A$102)*($G125='Thang 05-2026'!$C$3:$C$102),0),11)=0),1,0))</f>
        <v>0</v>
      </c>
      <c r="E125">
        <f t="array" ref="E125">IF(AND(INDEX('Thang 05-2026'!$A$3:$Q$102,MATCH(1,($A125='Thang 05-2026'!$A$3:$A$102)*($G125='Thang 05-2026'!$C$3:$C$102),0),15)=1,$B125="Triều Xuống"),1,IF(AND(INDEX('Thang 05-2026'!$A$3:$Q$102,MATCH(1,($A125='Thang 05-2026'!$A$3:$A$102)*($G125='Thang 05-2026'!$C$3:$C$102),0),14)=1,$B125="Triều Lên",INDEX('Thang 05-2026'!$A$3:$Q$102,MATCH(1,($A125='Thang 05-2026'!$A$3:$A$102)*($G125='Thang 05-2026'!$C$3:$C$102),0),15)=0),1,0))</f>
        <v>0</v>
      </c>
      <c r="F125">
        <f t="shared" si="1"/>
        <v>0</v>
      </c>
      <c r="G125">
        <f>INDEX('Thang 05-2026'!$A$3:$C$102,MATCH(A125,'Thang 05-2026'!$A$3:$A$102,0),3)</f>
        <v>19</v>
      </c>
    </row>
    <row r="126" spans="1:7" x14ac:dyDescent="0.2">
      <c r="A126" t="s">
        <v>74</v>
      </c>
      <c r="B126" t="s">
        <v>121</v>
      </c>
      <c r="C126">
        <v>1</v>
      </c>
      <c r="D126">
        <f t="array" ref="D126">IF(AND(INDEX('Thang 05-2026'!$A$3:$Q$102,MATCH(1,($A126='Thang 05-2026'!$A$3:$A$102)*($G126='Thang 05-2026'!$C$3:$C$102),0),11)=1,$B126="Triều Xuống"),1,IF(AND(INDEX('Thang 05-2026'!$A$3:$Q$102,MATCH(1,($A126='Thang 05-2026'!$A$3:$A$102)*($G126='Thang 05-2026'!$C$3:$C$102),0),10)=1,$B126="Triều Lên",INDEX('Thang 05-2026'!$A$3:$Q$102,MATCH(1,($A126='Thang 05-2026'!$A$3:$A$102)*($G126='Thang 05-2026'!$C$3:$C$102),0),11)=0),1,0))</f>
        <v>0</v>
      </c>
      <c r="E126">
        <f t="array" ref="E126">IF(AND(INDEX('Thang 05-2026'!$A$3:$Q$102,MATCH(1,($A126='Thang 05-2026'!$A$3:$A$102)*($G126='Thang 05-2026'!$C$3:$C$102),0),15)=1,$B126="Triều Xuống"),1,IF(AND(INDEX('Thang 05-2026'!$A$3:$Q$102,MATCH(1,($A126='Thang 05-2026'!$A$3:$A$102)*($G126='Thang 05-2026'!$C$3:$C$102),0),14)=1,$B126="Triều Lên",INDEX('Thang 05-2026'!$A$3:$Q$102,MATCH(1,($A126='Thang 05-2026'!$A$3:$A$102)*($G126='Thang 05-2026'!$C$3:$C$102),0),15)=0),1,0))</f>
        <v>0</v>
      </c>
      <c r="F126">
        <f t="shared" si="1"/>
        <v>0</v>
      </c>
      <c r="G126">
        <f>INDEX('Thang 05-2026'!$A$3:$C$102,MATCH(A126,'Thang 05-2026'!$A$3:$A$102,0),3)</f>
        <v>19</v>
      </c>
    </row>
    <row r="127" spans="1:7" x14ac:dyDescent="0.2">
      <c r="A127" t="s">
        <v>75</v>
      </c>
      <c r="B127" t="s">
        <v>121</v>
      </c>
      <c r="C127">
        <v>1</v>
      </c>
      <c r="D127">
        <f t="array" ref="D127">IF(AND(INDEX('Thang 05-2026'!$A$3:$Q$102,MATCH(1,($A127='Thang 05-2026'!$A$3:$A$102)*($G127='Thang 05-2026'!$C$3:$C$102),0),11)=1,$B127="Triều Xuống"),1,IF(AND(INDEX('Thang 05-2026'!$A$3:$Q$102,MATCH(1,($A127='Thang 05-2026'!$A$3:$A$102)*($G127='Thang 05-2026'!$C$3:$C$102),0),10)=1,$B127="Triều Lên",INDEX('Thang 05-2026'!$A$3:$Q$102,MATCH(1,($A127='Thang 05-2026'!$A$3:$A$102)*($G127='Thang 05-2026'!$C$3:$C$102),0),11)=0),1,0))</f>
        <v>0</v>
      </c>
      <c r="E127">
        <f t="array" ref="E127">IF(AND(INDEX('Thang 05-2026'!$A$3:$Q$102,MATCH(1,($A127='Thang 05-2026'!$A$3:$A$102)*($G127='Thang 05-2026'!$C$3:$C$102),0),15)=1,$B127="Triều Xuống"),1,IF(AND(INDEX('Thang 05-2026'!$A$3:$Q$102,MATCH(1,($A127='Thang 05-2026'!$A$3:$A$102)*($G127='Thang 05-2026'!$C$3:$C$102),0),14)=1,$B127="Triều Lên",INDEX('Thang 05-2026'!$A$3:$Q$102,MATCH(1,($A127='Thang 05-2026'!$A$3:$A$102)*($G127='Thang 05-2026'!$C$3:$C$102),0),15)=0),1,0))</f>
        <v>0</v>
      </c>
      <c r="F127">
        <f t="shared" si="1"/>
        <v>0</v>
      </c>
      <c r="G127">
        <f>INDEX('Thang 05-2026'!$A$3:$C$102,MATCH(A127,'Thang 05-2026'!$A$3:$A$102,0),3)</f>
        <v>19</v>
      </c>
    </row>
    <row r="128" spans="1:7" x14ac:dyDescent="0.2">
      <c r="A128" t="s">
        <v>76</v>
      </c>
      <c r="B128" t="s">
        <v>118</v>
      </c>
      <c r="C128">
        <v>1</v>
      </c>
      <c r="D128">
        <f t="array" ref="D128">IF(AND(INDEX('Thang 05-2026'!$A$3:$Q$102,MATCH(1,($A128='Thang 05-2026'!$A$3:$A$102)*($G128='Thang 05-2026'!$C$3:$C$102),0),11)=1,$B128="Triều Xuống"),1,IF(AND(INDEX('Thang 05-2026'!$A$3:$Q$102,MATCH(1,($A128='Thang 05-2026'!$A$3:$A$102)*($G128='Thang 05-2026'!$C$3:$C$102),0),10)=1,$B128="Triều Lên",INDEX('Thang 05-2026'!$A$3:$Q$102,MATCH(1,($A128='Thang 05-2026'!$A$3:$A$102)*($G128='Thang 05-2026'!$C$3:$C$102),0),11)=0),1,0))</f>
        <v>0</v>
      </c>
      <c r="E128">
        <f t="array" ref="E128">IF(AND(INDEX('Thang 05-2026'!$A$3:$Q$102,MATCH(1,($A128='Thang 05-2026'!$A$3:$A$102)*($G128='Thang 05-2026'!$C$3:$C$102),0),15)=1,$B128="Triều Xuống"),1,IF(AND(INDEX('Thang 05-2026'!$A$3:$Q$102,MATCH(1,($A128='Thang 05-2026'!$A$3:$A$102)*($G128='Thang 05-2026'!$C$3:$C$102),0),14)=1,$B128="Triều Lên",INDEX('Thang 05-2026'!$A$3:$Q$102,MATCH(1,($A128='Thang 05-2026'!$A$3:$A$102)*($G128='Thang 05-2026'!$C$3:$C$102),0),15)=0),1,0))</f>
        <v>0</v>
      </c>
      <c r="F128">
        <f t="shared" si="1"/>
        <v>0</v>
      </c>
      <c r="G128">
        <f>INDEX('Thang 05-2026'!$A$3:$C$102,MATCH(A128,'Thang 05-2026'!$A$3:$A$102,0),3)</f>
        <v>20</v>
      </c>
    </row>
    <row r="129" spans="1:7" x14ac:dyDescent="0.2">
      <c r="A129" t="s">
        <v>78</v>
      </c>
      <c r="B129" t="s">
        <v>118</v>
      </c>
      <c r="C129">
        <v>1</v>
      </c>
      <c r="D129">
        <f t="array" ref="D129">IF(AND(INDEX('Thang 05-2026'!$A$3:$Q$102,MATCH(1,($A129='Thang 05-2026'!$A$3:$A$102)*($G129='Thang 05-2026'!$C$3:$C$102),0),11)=1,$B129="Triều Xuống"),1,IF(AND(INDEX('Thang 05-2026'!$A$3:$Q$102,MATCH(1,($A129='Thang 05-2026'!$A$3:$A$102)*($G129='Thang 05-2026'!$C$3:$C$102),0),10)=1,$B129="Triều Lên",INDEX('Thang 05-2026'!$A$3:$Q$102,MATCH(1,($A129='Thang 05-2026'!$A$3:$A$102)*($G129='Thang 05-2026'!$C$3:$C$102),0),11)=0),1,0))</f>
        <v>0</v>
      </c>
      <c r="E129">
        <f t="array" ref="E129">IF(AND(INDEX('Thang 05-2026'!$A$3:$Q$102,MATCH(1,($A129='Thang 05-2026'!$A$3:$A$102)*($G129='Thang 05-2026'!$C$3:$C$102),0),15)=1,$B129="Triều Xuống"),1,IF(AND(INDEX('Thang 05-2026'!$A$3:$Q$102,MATCH(1,($A129='Thang 05-2026'!$A$3:$A$102)*($G129='Thang 05-2026'!$C$3:$C$102),0),14)=1,$B129="Triều Lên",INDEX('Thang 05-2026'!$A$3:$Q$102,MATCH(1,($A129='Thang 05-2026'!$A$3:$A$102)*($G129='Thang 05-2026'!$C$3:$C$102),0),15)=0),1,0))</f>
        <v>0</v>
      </c>
      <c r="F129">
        <f t="shared" si="1"/>
        <v>0</v>
      </c>
      <c r="G129">
        <f>INDEX('Thang 05-2026'!$A$3:$C$102,MATCH(A129,'Thang 05-2026'!$A$3:$A$102,0),3)</f>
        <v>20</v>
      </c>
    </row>
    <row r="130" spans="1:7" x14ac:dyDescent="0.2">
      <c r="A130" t="s">
        <v>79</v>
      </c>
      <c r="B130" t="s">
        <v>118</v>
      </c>
      <c r="C130">
        <v>1</v>
      </c>
      <c r="D130">
        <f t="array" ref="D130">IF(AND(INDEX('Thang 05-2026'!$A$3:$Q$102,MATCH(1,($A130='Thang 05-2026'!$A$3:$A$102)*($G130='Thang 05-2026'!$C$3:$C$102),0),11)=1,$B130="Triều Xuống"),1,IF(AND(INDEX('Thang 05-2026'!$A$3:$Q$102,MATCH(1,($A130='Thang 05-2026'!$A$3:$A$102)*($G130='Thang 05-2026'!$C$3:$C$102),0),10)=1,$B130="Triều Lên",INDEX('Thang 05-2026'!$A$3:$Q$102,MATCH(1,($A130='Thang 05-2026'!$A$3:$A$102)*($G130='Thang 05-2026'!$C$3:$C$102),0),11)=0),1,0))</f>
        <v>0</v>
      </c>
      <c r="E130">
        <f t="array" ref="E130">IF(AND(INDEX('Thang 05-2026'!$A$3:$Q$102,MATCH(1,($A130='Thang 05-2026'!$A$3:$A$102)*($G130='Thang 05-2026'!$C$3:$C$102),0),15)=1,$B130="Triều Xuống"),1,IF(AND(INDEX('Thang 05-2026'!$A$3:$Q$102,MATCH(1,($A130='Thang 05-2026'!$A$3:$A$102)*($G130='Thang 05-2026'!$C$3:$C$102),0),14)=1,$B130="Triều Lên",INDEX('Thang 05-2026'!$A$3:$Q$102,MATCH(1,($A130='Thang 05-2026'!$A$3:$A$102)*($G130='Thang 05-2026'!$C$3:$C$102),0),15)=0),1,0))</f>
        <v>0</v>
      </c>
      <c r="F130">
        <f t="shared" si="1"/>
        <v>0</v>
      </c>
      <c r="G130">
        <f>INDEX('Thang 05-2026'!$A$3:$C$102,MATCH(A130,'Thang 05-2026'!$A$3:$A$102,0),3)</f>
        <v>20</v>
      </c>
    </row>
    <row r="131" spans="1:7" x14ac:dyDescent="0.2">
      <c r="A131" t="s">
        <v>80</v>
      </c>
      <c r="B131" t="s">
        <v>118</v>
      </c>
      <c r="C131">
        <v>1</v>
      </c>
      <c r="D131">
        <f t="array" ref="D131">IF(AND(INDEX('Thang 05-2026'!$A$3:$Q$102,MATCH(1,($A131='Thang 05-2026'!$A$3:$A$102)*($G131='Thang 05-2026'!$C$3:$C$102),0),11)=1,$B131="Triều Xuống"),1,IF(AND(INDEX('Thang 05-2026'!$A$3:$Q$102,MATCH(1,($A131='Thang 05-2026'!$A$3:$A$102)*($G131='Thang 05-2026'!$C$3:$C$102),0),10)=1,$B131="Triều Lên",INDEX('Thang 05-2026'!$A$3:$Q$102,MATCH(1,($A131='Thang 05-2026'!$A$3:$A$102)*($G131='Thang 05-2026'!$C$3:$C$102),0),11)=0),1,0))</f>
        <v>0</v>
      </c>
      <c r="E131">
        <f t="array" ref="E131">IF(AND(INDEX('Thang 05-2026'!$A$3:$Q$102,MATCH(1,($A131='Thang 05-2026'!$A$3:$A$102)*($G131='Thang 05-2026'!$C$3:$C$102),0),15)=1,$B131="Triều Xuống"),1,IF(AND(INDEX('Thang 05-2026'!$A$3:$Q$102,MATCH(1,($A131='Thang 05-2026'!$A$3:$A$102)*($G131='Thang 05-2026'!$C$3:$C$102),0),14)=1,$B131="Triều Lên",INDEX('Thang 05-2026'!$A$3:$Q$102,MATCH(1,($A131='Thang 05-2026'!$A$3:$A$102)*($G131='Thang 05-2026'!$C$3:$C$102),0),15)=0),1,0))</f>
        <v>0</v>
      </c>
      <c r="F131">
        <f t="shared" ref="F131:F173" si="2">D131+E131</f>
        <v>0</v>
      </c>
      <c r="G131">
        <f>INDEX('Thang 05-2026'!$A$3:$C$102,MATCH(A131,'Thang 05-2026'!$A$3:$A$102,0),3)</f>
        <v>20</v>
      </c>
    </row>
    <row r="132" spans="1:7" x14ac:dyDescent="0.2">
      <c r="A132" t="s">
        <v>81</v>
      </c>
      <c r="B132" t="s">
        <v>118</v>
      </c>
      <c r="C132">
        <v>1</v>
      </c>
      <c r="D132">
        <f t="array" ref="D132">IF(AND(INDEX('Thang 05-2026'!$A$3:$Q$102,MATCH(1,($A132='Thang 05-2026'!$A$3:$A$102)*($G132='Thang 05-2026'!$C$3:$C$102),0),11)=1,$B132="Triều Xuống"),1,IF(AND(INDEX('Thang 05-2026'!$A$3:$Q$102,MATCH(1,($A132='Thang 05-2026'!$A$3:$A$102)*($G132='Thang 05-2026'!$C$3:$C$102),0),10)=1,$B132="Triều Lên",INDEX('Thang 05-2026'!$A$3:$Q$102,MATCH(1,($A132='Thang 05-2026'!$A$3:$A$102)*($G132='Thang 05-2026'!$C$3:$C$102),0),11)=0),1,0))</f>
        <v>1</v>
      </c>
      <c r="E132">
        <f t="array" ref="E132">IF(AND(INDEX('Thang 05-2026'!$A$3:$Q$102,MATCH(1,($A132='Thang 05-2026'!$A$3:$A$102)*($G132='Thang 05-2026'!$C$3:$C$102),0),15)=1,$B132="Triều Xuống"),1,IF(AND(INDEX('Thang 05-2026'!$A$3:$Q$102,MATCH(1,($A132='Thang 05-2026'!$A$3:$A$102)*($G132='Thang 05-2026'!$C$3:$C$102),0),14)=1,$B132="Triều Lên",INDEX('Thang 05-2026'!$A$3:$Q$102,MATCH(1,($A132='Thang 05-2026'!$A$3:$A$102)*($G132='Thang 05-2026'!$C$3:$C$102),0),15)=0),1,0))</f>
        <v>0</v>
      </c>
      <c r="F132">
        <f t="shared" si="2"/>
        <v>1</v>
      </c>
      <c r="G132">
        <f>INDEX('Thang 05-2026'!$A$3:$C$102,MATCH(A132,'Thang 05-2026'!$A$3:$A$102,0),3)</f>
        <v>20</v>
      </c>
    </row>
    <row r="133" spans="1:7" x14ac:dyDescent="0.2">
      <c r="A133" t="s">
        <v>76</v>
      </c>
      <c r="B133" t="s">
        <v>121</v>
      </c>
      <c r="C133">
        <v>1</v>
      </c>
      <c r="D133">
        <f t="array" ref="D133">IF(AND(INDEX('Thang 05-2026'!$A$3:$Q$102,MATCH(1,($A133='Thang 05-2026'!$A$3:$A$102)*($G133='Thang 05-2026'!$C$3:$C$102),0),11)=1,$B133="Triều Xuống"),1,IF(AND(INDEX('Thang 05-2026'!$A$3:$Q$102,MATCH(1,($A133='Thang 05-2026'!$A$3:$A$102)*($G133='Thang 05-2026'!$C$3:$C$102),0),10)=1,$B133="Triều Lên",INDEX('Thang 05-2026'!$A$3:$Q$102,MATCH(1,($A133='Thang 05-2026'!$A$3:$A$102)*($G133='Thang 05-2026'!$C$3:$C$102),0),11)=0),1,0))</f>
        <v>0</v>
      </c>
      <c r="E133">
        <f t="array" ref="E133">IF(AND(INDEX('Thang 05-2026'!$A$3:$Q$102,MATCH(1,($A133='Thang 05-2026'!$A$3:$A$102)*($G133='Thang 05-2026'!$C$3:$C$102),0),15)=1,$B133="Triều Xuống"),1,IF(AND(INDEX('Thang 05-2026'!$A$3:$Q$102,MATCH(1,($A133='Thang 05-2026'!$A$3:$A$102)*($G133='Thang 05-2026'!$C$3:$C$102),0),14)=1,$B133="Triều Lên",INDEX('Thang 05-2026'!$A$3:$Q$102,MATCH(1,($A133='Thang 05-2026'!$A$3:$A$102)*($G133='Thang 05-2026'!$C$3:$C$102),0),15)=0),1,0))</f>
        <v>0</v>
      </c>
      <c r="F133">
        <f t="shared" si="2"/>
        <v>0</v>
      </c>
      <c r="G133">
        <f>INDEX('Thang 05-2026'!$A$3:$C$102,MATCH(A133,'Thang 05-2026'!$A$3:$A$102,0),3)</f>
        <v>20</v>
      </c>
    </row>
    <row r="134" spans="1:7" x14ac:dyDescent="0.2">
      <c r="A134" t="s">
        <v>78</v>
      </c>
      <c r="B134" t="s">
        <v>121</v>
      </c>
      <c r="C134">
        <v>1</v>
      </c>
      <c r="D134">
        <f t="array" ref="D134">IF(AND(INDEX('Thang 05-2026'!$A$3:$Q$102,MATCH(1,($A134='Thang 05-2026'!$A$3:$A$102)*($G134='Thang 05-2026'!$C$3:$C$102),0),11)=1,$B134="Triều Xuống"),1,IF(AND(INDEX('Thang 05-2026'!$A$3:$Q$102,MATCH(1,($A134='Thang 05-2026'!$A$3:$A$102)*($G134='Thang 05-2026'!$C$3:$C$102),0),10)=1,$B134="Triều Lên",INDEX('Thang 05-2026'!$A$3:$Q$102,MATCH(1,($A134='Thang 05-2026'!$A$3:$A$102)*($G134='Thang 05-2026'!$C$3:$C$102),0),11)=0),1,0))</f>
        <v>0</v>
      </c>
      <c r="E134">
        <f t="array" ref="E134">IF(AND(INDEX('Thang 05-2026'!$A$3:$Q$102,MATCH(1,($A134='Thang 05-2026'!$A$3:$A$102)*($G134='Thang 05-2026'!$C$3:$C$102),0),15)=1,$B134="Triều Xuống"),1,IF(AND(INDEX('Thang 05-2026'!$A$3:$Q$102,MATCH(1,($A134='Thang 05-2026'!$A$3:$A$102)*($G134='Thang 05-2026'!$C$3:$C$102),0),14)=1,$B134="Triều Lên",INDEX('Thang 05-2026'!$A$3:$Q$102,MATCH(1,($A134='Thang 05-2026'!$A$3:$A$102)*($G134='Thang 05-2026'!$C$3:$C$102),0),15)=0),1,0))</f>
        <v>0</v>
      </c>
      <c r="F134">
        <f t="shared" si="2"/>
        <v>0</v>
      </c>
      <c r="G134">
        <f>INDEX('Thang 05-2026'!$A$3:$C$102,MATCH(A134,'Thang 05-2026'!$A$3:$A$102,0),3)</f>
        <v>20</v>
      </c>
    </row>
    <row r="135" spans="1:7" x14ac:dyDescent="0.2">
      <c r="A135" t="s">
        <v>79</v>
      </c>
      <c r="B135" t="s">
        <v>121</v>
      </c>
      <c r="C135">
        <v>1</v>
      </c>
      <c r="D135">
        <f t="array" ref="D135">IF(AND(INDEX('Thang 05-2026'!$A$3:$Q$102,MATCH(1,($A135='Thang 05-2026'!$A$3:$A$102)*($G135='Thang 05-2026'!$C$3:$C$102),0),11)=1,$B135="Triều Xuống"),1,IF(AND(INDEX('Thang 05-2026'!$A$3:$Q$102,MATCH(1,($A135='Thang 05-2026'!$A$3:$A$102)*($G135='Thang 05-2026'!$C$3:$C$102),0),10)=1,$B135="Triều Lên",INDEX('Thang 05-2026'!$A$3:$Q$102,MATCH(1,($A135='Thang 05-2026'!$A$3:$A$102)*($G135='Thang 05-2026'!$C$3:$C$102),0),11)=0),1,0))</f>
        <v>0</v>
      </c>
      <c r="E135">
        <f t="array" ref="E135">IF(AND(INDEX('Thang 05-2026'!$A$3:$Q$102,MATCH(1,($A135='Thang 05-2026'!$A$3:$A$102)*($G135='Thang 05-2026'!$C$3:$C$102),0),15)=1,$B135="Triều Xuống"),1,IF(AND(INDEX('Thang 05-2026'!$A$3:$Q$102,MATCH(1,($A135='Thang 05-2026'!$A$3:$A$102)*($G135='Thang 05-2026'!$C$3:$C$102),0),14)=1,$B135="Triều Lên",INDEX('Thang 05-2026'!$A$3:$Q$102,MATCH(1,($A135='Thang 05-2026'!$A$3:$A$102)*($G135='Thang 05-2026'!$C$3:$C$102),0),15)=0),1,0))</f>
        <v>0</v>
      </c>
      <c r="F135">
        <f t="shared" si="2"/>
        <v>0</v>
      </c>
      <c r="G135">
        <f>INDEX('Thang 05-2026'!$A$3:$C$102,MATCH(A135,'Thang 05-2026'!$A$3:$A$102,0),3)</f>
        <v>20</v>
      </c>
    </row>
    <row r="136" spans="1:7" x14ac:dyDescent="0.2">
      <c r="A136" t="s">
        <v>80</v>
      </c>
      <c r="B136" t="s">
        <v>121</v>
      </c>
      <c r="C136">
        <v>1</v>
      </c>
      <c r="D136">
        <f t="array" ref="D136">IF(AND(INDEX('Thang 05-2026'!$A$3:$Q$102,MATCH(1,($A136='Thang 05-2026'!$A$3:$A$102)*($G136='Thang 05-2026'!$C$3:$C$102),0),11)=1,$B136="Triều Xuống"),1,IF(AND(INDEX('Thang 05-2026'!$A$3:$Q$102,MATCH(1,($A136='Thang 05-2026'!$A$3:$A$102)*($G136='Thang 05-2026'!$C$3:$C$102),0),10)=1,$B136="Triều Lên",INDEX('Thang 05-2026'!$A$3:$Q$102,MATCH(1,($A136='Thang 05-2026'!$A$3:$A$102)*($G136='Thang 05-2026'!$C$3:$C$102),0),11)=0),1,0))</f>
        <v>0</v>
      </c>
      <c r="E136">
        <f t="array" ref="E136">IF(AND(INDEX('Thang 05-2026'!$A$3:$Q$102,MATCH(1,($A136='Thang 05-2026'!$A$3:$A$102)*($G136='Thang 05-2026'!$C$3:$C$102),0),15)=1,$B136="Triều Xuống"),1,IF(AND(INDEX('Thang 05-2026'!$A$3:$Q$102,MATCH(1,($A136='Thang 05-2026'!$A$3:$A$102)*($G136='Thang 05-2026'!$C$3:$C$102),0),14)=1,$B136="Triều Lên",INDEX('Thang 05-2026'!$A$3:$Q$102,MATCH(1,($A136='Thang 05-2026'!$A$3:$A$102)*($G136='Thang 05-2026'!$C$3:$C$102),0),15)=0),1,0))</f>
        <v>0</v>
      </c>
      <c r="F136">
        <f t="shared" si="2"/>
        <v>0</v>
      </c>
      <c r="G136">
        <f>INDEX('Thang 05-2026'!$A$3:$C$102,MATCH(A136,'Thang 05-2026'!$A$3:$A$102,0),3)</f>
        <v>20</v>
      </c>
    </row>
    <row r="137" spans="1:7" x14ac:dyDescent="0.2">
      <c r="A137" t="s">
        <v>81</v>
      </c>
      <c r="B137" t="s">
        <v>121</v>
      </c>
      <c r="C137">
        <v>1</v>
      </c>
      <c r="D137">
        <f t="array" ref="D137">IF(AND(INDEX('Thang 05-2026'!$A$3:$Q$102,MATCH(1,($A137='Thang 05-2026'!$A$3:$A$102)*($G137='Thang 05-2026'!$C$3:$C$102),0),11)=1,$B137="Triều Xuống"),1,IF(AND(INDEX('Thang 05-2026'!$A$3:$Q$102,MATCH(1,($A137='Thang 05-2026'!$A$3:$A$102)*($G137='Thang 05-2026'!$C$3:$C$102),0),10)=1,$B137="Triều Lên",INDEX('Thang 05-2026'!$A$3:$Q$102,MATCH(1,($A137='Thang 05-2026'!$A$3:$A$102)*($G137='Thang 05-2026'!$C$3:$C$102),0),11)=0),1,0))</f>
        <v>0</v>
      </c>
      <c r="E137">
        <f t="array" ref="E137">IF(AND(INDEX('Thang 05-2026'!$A$3:$Q$102,MATCH(1,($A137='Thang 05-2026'!$A$3:$A$102)*($G137='Thang 05-2026'!$C$3:$C$102),0),15)=1,$B137="Triều Xuống"),1,IF(AND(INDEX('Thang 05-2026'!$A$3:$Q$102,MATCH(1,($A137='Thang 05-2026'!$A$3:$A$102)*($G137='Thang 05-2026'!$C$3:$C$102),0),14)=1,$B137="Triều Lên",INDEX('Thang 05-2026'!$A$3:$Q$102,MATCH(1,($A137='Thang 05-2026'!$A$3:$A$102)*($G137='Thang 05-2026'!$C$3:$C$102),0),15)=0),1,0))</f>
        <v>0</v>
      </c>
      <c r="F137">
        <f t="shared" si="2"/>
        <v>0</v>
      </c>
      <c r="G137">
        <f>INDEX('Thang 05-2026'!$A$3:$C$102,MATCH(A137,'Thang 05-2026'!$A$3:$A$102,0),3)</f>
        <v>20</v>
      </c>
    </row>
    <row r="138" spans="1:7" x14ac:dyDescent="0.2">
      <c r="A138" t="s">
        <v>82</v>
      </c>
      <c r="B138" t="s">
        <v>118</v>
      </c>
      <c r="C138">
        <v>1</v>
      </c>
      <c r="D138">
        <f t="array" ref="D138">IF(AND(INDEX('Thang 05-2026'!$A$3:$Q$102,MATCH(1,($A138='Thang 05-2026'!$A$3:$A$102)*($G138='Thang 05-2026'!$C$3:$C$102),0),11)=1,$B138="Triều Xuống"),1,IF(AND(INDEX('Thang 05-2026'!$A$3:$Q$102,MATCH(1,($A138='Thang 05-2026'!$A$3:$A$102)*($G138='Thang 05-2026'!$C$3:$C$102),0),10)=1,$B138="Triều Lên",INDEX('Thang 05-2026'!$A$3:$Q$102,MATCH(1,($A138='Thang 05-2026'!$A$3:$A$102)*($G138='Thang 05-2026'!$C$3:$C$102),0),11)=0),1,0))</f>
        <v>0</v>
      </c>
      <c r="E138">
        <f t="array" ref="E138">IF(AND(INDEX('Thang 05-2026'!$A$3:$Q$102,MATCH(1,($A138='Thang 05-2026'!$A$3:$A$102)*($G138='Thang 05-2026'!$C$3:$C$102),0),15)=1,$B138="Triều Xuống"),1,IF(AND(INDEX('Thang 05-2026'!$A$3:$Q$102,MATCH(1,($A138='Thang 05-2026'!$A$3:$A$102)*($G138='Thang 05-2026'!$C$3:$C$102),0),14)=1,$B138="Triều Lên",INDEX('Thang 05-2026'!$A$3:$Q$102,MATCH(1,($A138='Thang 05-2026'!$A$3:$A$102)*($G138='Thang 05-2026'!$C$3:$C$102),0),15)=0),1,0))</f>
        <v>0</v>
      </c>
      <c r="F138">
        <f t="shared" si="2"/>
        <v>0</v>
      </c>
      <c r="G138">
        <f>INDEX('Thang 05-2026'!$A$3:$C$102,MATCH(A138,'Thang 05-2026'!$A$3:$A$102,0),3)</f>
        <v>21</v>
      </c>
    </row>
    <row r="139" spans="1:7" x14ac:dyDescent="0.2">
      <c r="A139" t="s">
        <v>84</v>
      </c>
      <c r="B139" t="s">
        <v>118</v>
      </c>
      <c r="C139">
        <v>1</v>
      </c>
      <c r="D139">
        <f t="array" ref="D139">IF(AND(INDEX('Thang 05-2026'!$A$3:$Q$102,MATCH(1,($A139='Thang 05-2026'!$A$3:$A$102)*($G139='Thang 05-2026'!$C$3:$C$102),0),11)=1,$B139="Triều Xuống"),1,IF(AND(INDEX('Thang 05-2026'!$A$3:$Q$102,MATCH(1,($A139='Thang 05-2026'!$A$3:$A$102)*($G139='Thang 05-2026'!$C$3:$C$102),0),10)=1,$B139="Triều Lên",INDEX('Thang 05-2026'!$A$3:$Q$102,MATCH(1,($A139='Thang 05-2026'!$A$3:$A$102)*($G139='Thang 05-2026'!$C$3:$C$102),0),11)=0),1,0))</f>
        <v>0</v>
      </c>
      <c r="E139">
        <f t="array" ref="E139">IF(AND(INDEX('Thang 05-2026'!$A$3:$Q$102,MATCH(1,($A139='Thang 05-2026'!$A$3:$A$102)*($G139='Thang 05-2026'!$C$3:$C$102),0),15)=1,$B139="Triều Xuống"),1,IF(AND(INDEX('Thang 05-2026'!$A$3:$Q$102,MATCH(1,($A139='Thang 05-2026'!$A$3:$A$102)*($G139='Thang 05-2026'!$C$3:$C$102),0),14)=1,$B139="Triều Lên",INDEX('Thang 05-2026'!$A$3:$Q$102,MATCH(1,($A139='Thang 05-2026'!$A$3:$A$102)*($G139='Thang 05-2026'!$C$3:$C$102),0),15)=0),1,0))</f>
        <v>0</v>
      </c>
      <c r="F139">
        <f t="shared" si="2"/>
        <v>0</v>
      </c>
      <c r="G139">
        <f>INDEX('Thang 05-2026'!$A$3:$C$102,MATCH(A139,'Thang 05-2026'!$A$3:$A$102,0),3)</f>
        <v>21</v>
      </c>
    </row>
    <row r="140" spans="1:7" x14ac:dyDescent="0.2">
      <c r="A140" t="s">
        <v>85</v>
      </c>
      <c r="B140" t="s">
        <v>118</v>
      </c>
      <c r="C140">
        <v>1</v>
      </c>
      <c r="D140">
        <f t="array" ref="D140">IF(AND(INDEX('Thang 05-2026'!$A$3:$Q$102,MATCH(1,($A140='Thang 05-2026'!$A$3:$A$102)*($G140='Thang 05-2026'!$C$3:$C$102),0),11)=1,$B140="Triều Xuống"),1,IF(AND(INDEX('Thang 05-2026'!$A$3:$Q$102,MATCH(1,($A140='Thang 05-2026'!$A$3:$A$102)*($G140='Thang 05-2026'!$C$3:$C$102),0),10)=1,$B140="Triều Lên",INDEX('Thang 05-2026'!$A$3:$Q$102,MATCH(1,($A140='Thang 05-2026'!$A$3:$A$102)*($G140='Thang 05-2026'!$C$3:$C$102),0),11)=0),1,0))</f>
        <v>0</v>
      </c>
      <c r="E140">
        <f t="array" ref="E140">IF(AND(INDEX('Thang 05-2026'!$A$3:$Q$102,MATCH(1,($A140='Thang 05-2026'!$A$3:$A$102)*($G140='Thang 05-2026'!$C$3:$C$102),0),15)=1,$B140="Triều Xuống"),1,IF(AND(INDEX('Thang 05-2026'!$A$3:$Q$102,MATCH(1,($A140='Thang 05-2026'!$A$3:$A$102)*($G140='Thang 05-2026'!$C$3:$C$102),0),14)=1,$B140="Triều Lên",INDEX('Thang 05-2026'!$A$3:$Q$102,MATCH(1,($A140='Thang 05-2026'!$A$3:$A$102)*($G140='Thang 05-2026'!$C$3:$C$102),0),15)=0),1,0))</f>
        <v>0</v>
      </c>
      <c r="F140">
        <f t="shared" si="2"/>
        <v>0</v>
      </c>
      <c r="G140">
        <f>INDEX('Thang 05-2026'!$A$3:$C$102,MATCH(A140,'Thang 05-2026'!$A$3:$A$102,0),3)</f>
        <v>21</v>
      </c>
    </row>
    <row r="141" spans="1:7" x14ac:dyDescent="0.2">
      <c r="A141" t="s">
        <v>86</v>
      </c>
      <c r="B141" t="s">
        <v>118</v>
      </c>
      <c r="C141">
        <v>1</v>
      </c>
      <c r="D141">
        <f t="array" ref="D141">IF(AND(INDEX('Thang 05-2026'!$A$3:$Q$102,MATCH(1,($A141='Thang 05-2026'!$A$3:$A$102)*($G141='Thang 05-2026'!$C$3:$C$102),0),11)=1,$B141="Triều Xuống"),1,IF(AND(INDEX('Thang 05-2026'!$A$3:$Q$102,MATCH(1,($A141='Thang 05-2026'!$A$3:$A$102)*($G141='Thang 05-2026'!$C$3:$C$102),0),10)=1,$B141="Triều Lên",INDEX('Thang 05-2026'!$A$3:$Q$102,MATCH(1,($A141='Thang 05-2026'!$A$3:$A$102)*($G141='Thang 05-2026'!$C$3:$C$102),0),11)=0),1,0))</f>
        <v>0</v>
      </c>
      <c r="E141">
        <f t="array" ref="E141">IF(AND(INDEX('Thang 05-2026'!$A$3:$Q$102,MATCH(1,($A141='Thang 05-2026'!$A$3:$A$102)*($G141='Thang 05-2026'!$C$3:$C$102),0),15)=1,$B141="Triều Xuống"),1,IF(AND(INDEX('Thang 05-2026'!$A$3:$Q$102,MATCH(1,($A141='Thang 05-2026'!$A$3:$A$102)*($G141='Thang 05-2026'!$C$3:$C$102),0),14)=1,$B141="Triều Lên",INDEX('Thang 05-2026'!$A$3:$Q$102,MATCH(1,($A141='Thang 05-2026'!$A$3:$A$102)*($G141='Thang 05-2026'!$C$3:$C$102),0),15)=0),1,0))</f>
        <v>0</v>
      </c>
      <c r="F141">
        <f t="shared" si="2"/>
        <v>0</v>
      </c>
      <c r="G141">
        <f>INDEX('Thang 05-2026'!$A$3:$C$102,MATCH(A141,'Thang 05-2026'!$A$3:$A$102,0),3)</f>
        <v>21</v>
      </c>
    </row>
    <row r="142" spans="1:7" x14ac:dyDescent="0.2">
      <c r="A142" t="s">
        <v>82</v>
      </c>
      <c r="B142" t="s">
        <v>121</v>
      </c>
      <c r="C142">
        <v>1</v>
      </c>
      <c r="D142">
        <f t="array" ref="D142">IF(AND(INDEX('Thang 05-2026'!$A$3:$Q$102,MATCH(1,($A142='Thang 05-2026'!$A$3:$A$102)*($G142='Thang 05-2026'!$C$3:$C$102),0),11)=1,$B142="Triều Xuống"),1,IF(AND(INDEX('Thang 05-2026'!$A$3:$Q$102,MATCH(1,($A142='Thang 05-2026'!$A$3:$A$102)*($G142='Thang 05-2026'!$C$3:$C$102),0),10)=1,$B142="Triều Lên",INDEX('Thang 05-2026'!$A$3:$Q$102,MATCH(1,($A142='Thang 05-2026'!$A$3:$A$102)*($G142='Thang 05-2026'!$C$3:$C$102),0),11)=0),1,0))</f>
        <v>0</v>
      </c>
      <c r="E142">
        <f t="array" ref="E142">IF(AND(INDEX('Thang 05-2026'!$A$3:$Q$102,MATCH(1,($A142='Thang 05-2026'!$A$3:$A$102)*($G142='Thang 05-2026'!$C$3:$C$102),0),15)=1,$B142="Triều Xuống"),1,IF(AND(INDEX('Thang 05-2026'!$A$3:$Q$102,MATCH(1,($A142='Thang 05-2026'!$A$3:$A$102)*($G142='Thang 05-2026'!$C$3:$C$102),0),14)=1,$B142="Triều Lên",INDEX('Thang 05-2026'!$A$3:$Q$102,MATCH(1,($A142='Thang 05-2026'!$A$3:$A$102)*($G142='Thang 05-2026'!$C$3:$C$102),0),15)=0),1,0))</f>
        <v>1</v>
      </c>
      <c r="F142">
        <f t="shared" si="2"/>
        <v>1</v>
      </c>
      <c r="G142">
        <f>INDEX('Thang 05-2026'!$A$3:$C$102,MATCH(A142,'Thang 05-2026'!$A$3:$A$102,0),3)</f>
        <v>21</v>
      </c>
    </row>
    <row r="143" spans="1:7" x14ac:dyDescent="0.2">
      <c r="A143" t="s">
        <v>84</v>
      </c>
      <c r="B143" t="s">
        <v>121</v>
      </c>
      <c r="C143">
        <v>1</v>
      </c>
      <c r="D143">
        <f t="array" ref="D143">IF(AND(INDEX('Thang 05-2026'!$A$3:$Q$102,MATCH(1,($A143='Thang 05-2026'!$A$3:$A$102)*($G143='Thang 05-2026'!$C$3:$C$102),0),11)=1,$B143="Triều Xuống"),1,IF(AND(INDEX('Thang 05-2026'!$A$3:$Q$102,MATCH(1,($A143='Thang 05-2026'!$A$3:$A$102)*($G143='Thang 05-2026'!$C$3:$C$102),0),10)=1,$B143="Triều Lên",INDEX('Thang 05-2026'!$A$3:$Q$102,MATCH(1,($A143='Thang 05-2026'!$A$3:$A$102)*($G143='Thang 05-2026'!$C$3:$C$102),0),11)=0),1,0))</f>
        <v>0</v>
      </c>
      <c r="E143">
        <f t="array" ref="E143">IF(AND(INDEX('Thang 05-2026'!$A$3:$Q$102,MATCH(1,($A143='Thang 05-2026'!$A$3:$A$102)*($G143='Thang 05-2026'!$C$3:$C$102),0),15)=1,$B143="Triều Xuống"),1,IF(AND(INDEX('Thang 05-2026'!$A$3:$Q$102,MATCH(1,($A143='Thang 05-2026'!$A$3:$A$102)*($G143='Thang 05-2026'!$C$3:$C$102),0),14)=1,$B143="Triều Lên",INDEX('Thang 05-2026'!$A$3:$Q$102,MATCH(1,($A143='Thang 05-2026'!$A$3:$A$102)*($G143='Thang 05-2026'!$C$3:$C$102),0),15)=0),1,0))</f>
        <v>0</v>
      </c>
      <c r="F143">
        <f t="shared" si="2"/>
        <v>0</v>
      </c>
      <c r="G143">
        <f>INDEX('Thang 05-2026'!$A$3:$C$102,MATCH(A143,'Thang 05-2026'!$A$3:$A$102,0),3)</f>
        <v>21</v>
      </c>
    </row>
    <row r="144" spans="1:7" x14ac:dyDescent="0.2">
      <c r="A144" t="s">
        <v>85</v>
      </c>
      <c r="B144" t="s">
        <v>121</v>
      </c>
      <c r="C144">
        <v>1</v>
      </c>
      <c r="D144">
        <f t="array" ref="D144">IF(AND(INDEX('Thang 05-2026'!$A$3:$Q$102,MATCH(1,($A144='Thang 05-2026'!$A$3:$A$102)*($G144='Thang 05-2026'!$C$3:$C$102),0),11)=1,$B144="Triều Xuống"),1,IF(AND(INDEX('Thang 05-2026'!$A$3:$Q$102,MATCH(1,($A144='Thang 05-2026'!$A$3:$A$102)*($G144='Thang 05-2026'!$C$3:$C$102),0),10)=1,$B144="Triều Lên",INDEX('Thang 05-2026'!$A$3:$Q$102,MATCH(1,($A144='Thang 05-2026'!$A$3:$A$102)*($G144='Thang 05-2026'!$C$3:$C$102),0),11)=0),1,0))</f>
        <v>0</v>
      </c>
      <c r="E144">
        <f t="array" ref="E144">IF(AND(INDEX('Thang 05-2026'!$A$3:$Q$102,MATCH(1,($A144='Thang 05-2026'!$A$3:$A$102)*($G144='Thang 05-2026'!$C$3:$C$102),0),15)=1,$B144="Triều Xuống"),1,IF(AND(INDEX('Thang 05-2026'!$A$3:$Q$102,MATCH(1,($A144='Thang 05-2026'!$A$3:$A$102)*($G144='Thang 05-2026'!$C$3:$C$102),0),14)=1,$B144="Triều Lên",INDEX('Thang 05-2026'!$A$3:$Q$102,MATCH(1,($A144='Thang 05-2026'!$A$3:$A$102)*($G144='Thang 05-2026'!$C$3:$C$102),0),15)=0),1,0))</f>
        <v>0</v>
      </c>
      <c r="F144">
        <f t="shared" si="2"/>
        <v>0</v>
      </c>
      <c r="G144">
        <f>INDEX('Thang 05-2026'!$A$3:$C$102,MATCH(A144,'Thang 05-2026'!$A$3:$A$102,0),3)</f>
        <v>21</v>
      </c>
    </row>
    <row r="145" spans="1:7" x14ac:dyDescent="0.2">
      <c r="A145" t="s">
        <v>86</v>
      </c>
      <c r="B145" t="s">
        <v>121</v>
      </c>
      <c r="C145">
        <v>1</v>
      </c>
      <c r="D145">
        <f t="array" ref="D145">IF(AND(INDEX('Thang 05-2026'!$A$3:$Q$102,MATCH(1,($A145='Thang 05-2026'!$A$3:$A$102)*($G145='Thang 05-2026'!$C$3:$C$102),0),11)=1,$B145="Triều Xuống"),1,IF(AND(INDEX('Thang 05-2026'!$A$3:$Q$102,MATCH(1,($A145='Thang 05-2026'!$A$3:$A$102)*($G145='Thang 05-2026'!$C$3:$C$102),0),10)=1,$B145="Triều Lên",INDEX('Thang 05-2026'!$A$3:$Q$102,MATCH(1,($A145='Thang 05-2026'!$A$3:$A$102)*($G145='Thang 05-2026'!$C$3:$C$102),0),11)=0),1,0))</f>
        <v>0</v>
      </c>
      <c r="E145">
        <f t="array" ref="E145">IF(AND(INDEX('Thang 05-2026'!$A$3:$Q$102,MATCH(1,($A145='Thang 05-2026'!$A$3:$A$102)*($G145='Thang 05-2026'!$C$3:$C$102),0),15)=1,$B145="Triều Xuống"),1,IF(AND(INDEX('Thang 05-2026'!$A$3:$Q$102,MATCH(1,($A145='Thang 05-2026'!$A$3:$A$102)*($G145='Thang 05-2026'!$C$3:$C$102),0),14)=1,$B145="Triều Lên",INDEX('Thang 05-2026'!$A$3:$Q$102,MATCH(1,($A145='Thang 05-2026'!$A$3:$A$102)*($G145='Thang 05-2026'!$C$3:$C$102),0),15)=0),1,0))</f>
        <v>0</v>
      </c>
      <c r="F145">
        <f t="shared" si="2"/>
        <v>0</v>
      </c>
      <c r="G145">
        <f>INDEX('Thang 05-2026'!$A$3:$C$102,MATCH(A145,'Thang 05-2026'!$A$3:$A$102,0),3)</f>
        <v>21</v>
      </c>
    </row>
    <row r="146" spans="1:7" x14ac:dyDescent="0.2">
      <c r="A146" t="s">
        <v>125</v>
      </c>
      <c r="B146" t="s">
        <v>118</v>
      </c>
      <c r="C146">
        <v>1</v>
      </c>
      <c r="D146">
        <f t="array" ref="D146">IF(AND(INDEX('Thang 05-2026'!$A$3:$Q$102,MATCH(1,($A146='Thang 05-2026'!$A$3:$A$102)*($G146='Thang 05-2026'!$C$3:$C$102),0),11)=1,$B146="Triều Xuống"),1,IF(AND(INDEX('Thang 05-2026'!$A$3:$Q$102,MATCH(1,($A146='Thang 05-2026'!$A$3:$A$102)*($G146='Thang 05-2026'!$C$3:$C$102),0),10)=1,$B146="Triều Lên",INDEX('Thang 05-2026'!$A$3:$Q$102,MATCH(1,($A146='Thang 05-2026'!$A$3:$A$102)*($G146='Thang 05-2026'!$C$3:$C$102),0),11)=0),1,0))</f>
        <v>0</v>
      </c>
      <c r="E146">
        <f t="array" ref="E146">IF(AND(INDEX('Thang 05-2026'!$A$3:$Q$102,MATCH(1,($A146='Thang 05-2026'!$A$3:$A$102)*($G146='Thang 05-2026'!$C$3:$C$102),0),15)=1,$B146="Triều Xuống"),1,IF(AND(INDEX('Thang 05-2026'!$A$3:$Q$102,MATCH(1,($A146='Thang 05-2026'!$A$3:$A$102)*($G146='Thang 05-2026'!$C$3:$C$102),0),14)=1,$B146="Triều Lên",INDEX('Thang 05-2026'!$A$3:$Q$102,MATCH(1,($A146='Thang 05-2026'!$A$3:$A$102)*($G146='Thang 05-2026'!$C$3:$C$102),0),15)=0),1,0))</f>
        <v>0</v>
      </c>
      <c r="F146">
        <f t="shared" si="2"/>
        <v>0</v>
      </c>
      <c r="G146">
        <v>22</v>
      </c>
    </row>
    <row r="147" spans="1:7" x14ac:dyDescent="0.2">
      <c r="A147" t="s">
        <v>126</v>
      </c>
      <c r="B147" t="s">
        <v>118</v>
      </c>
      <c r="C147">
        <v>1</v>
      </c>
      <c r="D147">
        <f t="array" ref="D147">IF(AND(INDEX('Thang 05-2026'!$A$3:$Q$102,MATCH(1,($A147='Thang 05-2026'!$A$3:$A$102)*($G147='Thang 05-2026'!$C$3:$C$102),0),11)=1,$B147="Triều Xuống"),1,IF(AND(INDEX('Thang 05-2026'!$A$3:$Q$102,MATCH(1,($A147='Thang 05-2026'!$A$3:$A$102)*($G147='Thang 05-2026'!$C$3:$C$102),0),10)=1,$B147="Triều Lên",INDEX('Thang 05-2026'!$A$3:$Q$102,MATCH(1,($A147='Thang 05-2026'!$A$3:$A$102)*($G147='Thang 05-2026'!$C$3:$C$102),0),11)=0),1,0))</f>
        <v>0</v>
      </c>
      <c r="E147">
        <f t="array" ref="E147">IF(AND(INDEX('Thang 05-2026'!$A$3:$Q$102,MATCH(1,($A147='Thang 05-2026'!$A$3:$A$102)*($G147='Thang 05-2026'!$C$3:$C$102),0),15)=1,$B147="Triều Xuống"),1,IF(AND(INDEX('Thang 05-2026'!$A$3:$Q$102,MATCH(1,($A147='Thang 05-2026'!$A$3:$A$102)*($G147='Thang 05-2026'!$C$3:$C$102),0),14)=1,$B147="Triều Lên",INDEX('Thang 05-2026'!$A$3:$Q$102,MATCH(1,($A147='Thang 05-2026'!$A$3:$A$102)*($G147='Thang 05-2026'!$C$3:$C$102),0),15)=0),1,0))</f>
        <v>0</v>
      </c>
      <c r="F147">
        <f t="shared" si="2"/>
        <v>0</v>
      </c>
      <c r="G147">
        <v>22</v>
      </c>
    </row>
    <row r="148" spans="1:7" x14ac:dyDescent="0.2">
      <c r="A148" t="s">
        <v>127</v>
      </c>
      <c r="B148" t="s">
        <v>118</v>
      </c>
      <c r="C148">
        <v>1</v>
      </c>
      <c r="D148">
        <f t="array" ref="D148">IF(AND(INDEX('Thang 05-2026'!$A$3:$Q$102,MATCH(1,($A148='Thang 05-2026'!$A$3:$A$102)*($G148='Thang 05-2026'!$C$3:$C$102),0),11)=1,$B148="Triều Xuống"),1,IF(AND(INDEX('Thang 05-2026'!$A$3:$Q$102,MATCH(1,($A148='Thang 05-2026'!$A$3:$A$102)*($G148='Thang 05-2026'!$C$3:$C$102),0),10)=1,$B148="Triều Lên",INDEX('Thang 05-2026'!$A$3:$Q$102,MATCH(1,($A148='Thang 05-2026'!$A$3:$A$102)*($G148='Thang 05-2026'!$C$3:$C$102),0),11)=0),1,0))</f>
        <v>0</v>
      </c>
      <c r="E148">
        <f t="array" ref="E148">IF(AND(INDEX('Thang 05-2026'!$A$3:$Q$102,MATCH(1,($A148='Thang 05-2026'!$A$3:$A$102)*($G148='Thang 05-2026'!$C$3:$C$102),0),15)=1,$B148="Triều Xuống"),1,IF(AND(INDEX('Thang 05-2026'!$A$3:$Q$102,MATCH(1,($A148='Thang 05-2026'!$A$3:$A$102)*($G148='Thang 05-2026'!$C$3:$C$102),0),14)=1,$B148="Triều Lên",INDEX('Thang 05-2026'!$A$3:$Q$102,MATCH(1,($A148='Thang 05-2026'!$A$3:$A$102)*($G148='Thang 05-2026'!$C$3:$C$102),0),15)=0),1,0))</f>
        <v>0</v>
      </c>
      <c r="F148">
        <f t="shared" si="2"/>
        <v>0</v>
      </c>
      <c r="G148">
        <v>22</v>
      </c>
    </row>
    <row r="149" spans="1:7" x14ac:dyDescent="0.2">
      <c r="A149" t="s">
        <v>128</v>
      </c>
      <c r="B149" t="s">
        <v>118</v>
      </c>
      <c r="C149">
        <v>1</v>
      </c>
      <c r="D149">
        <f t="array" ref="D149">IF(AND(INDEX('Thang 05-2026'!$A$3:$Q$102,MATCH(1,($A149='Thang 05-2026'!$A$3:$A$102)*($G149='Thang 05-2026'!$C$3:$C$102),0),11)=1,$B149="Triều Xuống"),1,IF(AND(INDEX('Thang 05-2026'!$A$3:$Q$102,MATCH(1,($A149='Thang 05-2026'!$A$3:$A$102)*($G149='Thang 05-2026'!$C$3:$C$102),0),10)=1,$B149="Triều Lên",INDEX('Thang 05-2026'!$A$3:$Q$102,MATCH(1,($A149='Thang 05-2026'!$A$3:$A$102)*($G149='Thang 05-2026'!$C$3:$C$102),0),11)=0),1,0))</f>
        <v>0</v>
      </c>
      <c r="E149">
        <f t="array" ref="E149">IF(AND(INDEX('Thang 05-2026'!$A$3:$Q$102,MATCH(1,($A149='Thang 05-2026'!$A$3:$A$102)*($G149='Thang 05-2026'!$C$3:$C$102),0),15)=1,$B149="Triều Xuống"),1,IF(AND(INDEX('Thang 05-2026'!$A$3:$Q$102,MATCH(1,($A149='Thang 05-2026'!$A$3:$A$102)*($G149='Thang 05-2026'!$C$3:$C$102),0),14)=1,$B149="Triều Lên",INDEX('Thang 05-2026'!$A$3:$Q$102,MATCH(1,($A149='Thang 05-2026'!$A$3:$A$102)*($G149='Thang 05-2026'!$C$3:$C$102),0),15)=0),1,0))</f>
        <v>0</v>
      </c>
      <c r="F149">
        <f t="shared" si="2"/>
        <v>0</v>
      </c>
      <c r="G149">
        <v>22</v>
      </c>
    </row>
    <row r="150" spans="1:7" x14ac:dyDescent="0.2">
      <c r="A150" t="s">
        <v>125</v>
      </c>
      <c r="B150" t="s">
        <v>121</v>
      </c>
      <c r="C150">
        <v>1</v>
      </c>
      <c r="D150">
        <f t="array" ref="D150">IF(AND(INDEX('Thang 05-2026'!$A$3:$Q$102,MATCH(1,($A150='Thang 05-2026'!$A$3:$A$102)*($G150='Thang 05-2026'!$C$3:$C$102),0),11)=1,$B150="Triều Xuống"),1,IF(AND(INDEX('Thang 05-2026'!$A$3:$Q$102,MATCH(1,($A150='Thang 05-2026'!$A$3:$A$102)*($G150='Thang 05-2026'!$C$3:$C$102),0),10)=1,$B150="Triều Lên",INDEX('Thang 05-2026'!$A$3:$Q$102,MATCH(1,($A150='Thang 05-2026'!$A$3:$A$102)*($G150='Thang 05-2026'!$C$3:$C$102),0),11)=0),1,0))</f>
        <v>0</v>
      </c>
      <c r="E150">
        <f t="array" ref="E150">IF(AND(INDEX('Thang 05-2026'!$A$3:$Q$102,MATCH(1,($A150='Thang 05-2026'!$A$3:$A$102)*($G150='Thang 05-2026'!$C$3:$C$102),0),15)=1,$B150="Triều Xuống"),1,IF(AND(INDEX('Thang 05-2026'!$A$3:$Q$102,MATCH(1,($A150='Thang 05-2026'!$A$3:$A$102)*($G150='Thang 05-2026'!$C$3:$C$102),0),14)=1,$B150="Triều Lên",INDEX('Thang 05-2026'!$A$3:$Q$102,MATCH(1,($A150='Thang 05-2026'!$A$3:$A$102)*($G150='Thang 05-2026'!$C$3:$C$102),0),15)=0),1,0))</f>
        <v>0</v>
      </c>
      <c r="F150">
        <f t="shared" si="2"/>
        <v>0</v>
      </c>
      <c r="G150">
        <v>22</v>
      </c>
    </row>
    <row r="151" spans="1:7" x14ac:dyDescent="0.2">
      <c r="A151" t="s">
        <v>126</v>
      </c>
      <c r="B151" t="s">
        <v>121</v>
      </c>
      <c r="C151">
        <v>1</v>
      </c>
      <c r="D151">
        <f t="array" ref="D151">IF(AND(INDEX('Thang 05-2026'!$A$3:$Q$102,MATCH(1,($A151='Thang 05-2026'!$A$3:$A$102)*($G151='Thang 05-2026'!$C$3:$C$102),0),11)=1,$B151="Triều Xuống"),1,IF(AND(INDEX('Thang 05-2026'!$A$3:$Q$102,MATCH(1,($A151='Thang 05-2026'!$A$3:$A$102)*($G151='Thang 05-2026'!$C$3:$C$102),0),10)=1,$B151="Triều Lên",INDEX('Thang 05-2026'!$A$3:$Q$102,MATCH(1,($A151='Thang 05-2026'!$A$3:$A$102)*($G151='Thang 05-2026'!$C$3:$C$102),0),11)=0),1,0))</f>
        <v>0</v>
      </c>
      <c r="E151">
        <f t="array" ref="E151">IF(AND(INDEX('Thang 05-2026'!$A$3:$Q$102,MATCH(1,($A151='Thang 05-2026'!$A$3:$A$102)*($G151='Thang 05-2026'!$C$3:$C$102),0),15)=1,$B151="Triều Xuống"),1,IF(AND(INDEX('Thang 05-2026'!$A$3:$Q$102,MATCH(1,($A151='Thang 05-2026'!$A$3:$A$102)*($G151='Thang 05-2026'!$C$3:$C$102),0),14)=1,$B151="Triều Lên",INDEX('Thang 05-2026'!$A$3:$Q$102,MATCH(1,($A151='Thang 05-2026'!$A$3:$A$102)*($G151='Thang 05-2026'!$C$3:$C$102),0),15)=0),1,0))</f>
        <v>0</v>
      </c>
      <c r="F151">
        <f t="shared" si="2"/>
        <v>0</v>
      </c>
      <c r="G151">
        <v>22</v>
      </c>
    </row>
    <row r="152" spans="1:7" x14ac:dyDescent="0.2">
      <c r="A152" t="s">
        <v>127</v>
      </c>
      <c r="B152" t="s">
        <v>121</v>
      </c>
      <c r="C152">
        <v>1</v>
      </c>
      <c r="D152">
        <f t="array" ref="D152">IF(AND(INDEX('Thang 05-2026'!$A$3:$Q$102,MATCH(1,($A152='Thang 05-2026'!$A$3:$A$102)*($G152='Thang 05-2026'!$C$3:$C$102),0),11)=1,$B152="Triều Xuống"),1,IF(AND(INDEX('Thang 05-2026'!$A$3:$Q$102,MATCH(1,($A152='Thang 05-2026'!$A$3:$A$102)*($G152='Thang 05-2026'!$C$3:$C$102),0),10)=1,$B152="Triều Lên",INDEX('Thang 05-2026'!$A$3:$Q$102,MATCH(1,($A152='Thang 05-2026'!$A$3:$A$102)*($G152='Thang 05-2026'!$C$3:$C$102),0),11)=0),1,0))</f>
        <v>0</v>
      </c>
      <c r="E152">
        <f t="array" ref="E152">IF(AND(INDEX('Thang 05-2026'!$A$3:$Q$102,MATCH(1,($A152='Thang 05-2026'!$A$3:$A$102)*($G152='Thang 05-2026'!$C$3:$C$102),0),15)=1,$B152="Triều Xuống"),1,IF(AND(INDEX('Thang 05-2026'!$A$3:$Q$102,MATCH(1,($A152='Thang 05-2026'!$A$3:$A$102)*($G152='Thang 05-2026'!$C$3:$C$102),0),14)=1,$B152="Triều Lên",INDEX('Thang 05-2026'!$A$3:$Q$102,MATCH(1,($A152='Thang 05-2026'!$A$3:$A$102)*($G152='Thang 05-2026'!$C$3:$C$102),0),15)=0),1,0))</f>
        <v>0</v>
      </c>
      <c r="F152">
        <f t="shared" si="2"/>
        <v>0</v>
      </c>
      <c r="G152">
        <v>22</v>
      </c>
    </row>
    <row r="153" spans="1:7" x14ac:dyDescent="0.2">
      <c r="A153" t="s">
        <v>128</v>
      </c>
      <c r="B153" t="s">
        <v>121</v>
      </c>
      <c r="C153">
        <v>1</v>
      </c>
      <c r="D153">
        <f t="array" ref="D153">IF(AND(INDEX('Thang 05-2026'!$A$3:$Q$102,MATCH(1,($A153='Thang 05-2026'!$A$3:$A$102)*($G153='Thang 05-2026'!$C$3:$C$102),0),11)=1,$B153="Triều Xuống"),1,IF(AND(INDEX('Thang 05-2026'!$A$3:$Q$102,MATCH(1,($A153='Thang 05-2026'!$A$3:$A$102)*($G153='Thang 05-2026'!$C$3:$C$102),0),10)=1,$B153="Triều Lên",INDEX('Thang 05-2026'!$A$3:$Q$102,MATCH(1,($A153='Thang 05-2026'!$A$3:$A$102)*($G153='Thang 05-2026'!$C$3:$C$102),0),11)=0),1,0))</f>
        <v>0</v>
      </c>
      <c r="E153">
        <f t="array" ref="E153">IF(AND(INDEX('Thang 05-2026'!$A$3:$Q$102,MATCH(1,($A153='Thang 05-2026'!$A$3:$A$102)*($G153='Thang 05-2026'!$C$3:$C$102),0),15)=1,$B153="Triều Xuống"),1,IF(AND(INDEX('Thang 05-2026'!$A$3:$Q$102,MATCH(1,($A153='Thang 05-2026'!$A$3:$A$102)*($G153='Thang 05-2026'!$C$3:$C$102),0),14)=1,$B153="Triều Lên",INDEX('Thang 05-2026'!$A$3:$Q$102,MATCH(1,($A153='Thang 05-2026'!$A$3:$A$102)*($G153='Thang 05-2026'!$C$3:$C$102),0),15)=0),1,0))</f>
        <v>0</v>
      </c>
      <c r="F153">
        <f t="shared" si="2"/>
        <v>0</v>
      </c>
      <c r="G153">
        <v>22</v>
      </c>
    </row>
    <row r="154" spans="1:7" x14ac:dyDescent="0.2">
      <c r="A154" t="s">
        <v>102</v>
      </c>
      <c r="B154" t="s">
        <v>118</v>
      </c>
      <c r="C154">
        <v>1</v>
      </c>
      <c r="D154">
        <f t="array" ref="D154">IF(AND(INDEX('Thang 05-2026'!$A$3:$Q$102,MATCH(1,($A154='Thang 05-2026'!$A$3:$A$102)*($G154='Thang 05-2026'!$C$3:$C$102),0),11)=1,$B154="Triều Xuống"),1,IF(AND(INDEX('Thang 05-2026'!$A$3:$Q$102,MATCH(1,($A154='Thang 05-2026'!$A$3:$A$102)*($G154='Thang 05-2026'!$C$3:$C$102),0),10)=1,$B154="Triều Lên",INDEX('Thang 05-2026'!$A$3:$Q$102,MATCH(1,($A154='Thang 05-2026'!$A$3:$A$102)*($G154='Thang 05-2026'!$C$3:$C$102),0),11)=0),1,0))</f>
        <v>0</v>
      </c>
      <c r="E154">
        <f t="array" ref="E154">IF(AND(INDEX('Thang 05-2026'!$A$3:$Q$102,MATCH(1,($A154='Thang 05-2026'!$A$3:$A$102)*($G154='Thang 05-2026'!$C$3:$C$102),0),15)=1,$B154="Triều Xuống"),1,IF(AND(INDEX('Thang 05-2026'!$A$3:$Q$102,MATCH(1,($A154='Thang 05-2026'!$A$3:$A$102)*($G154='Thang 05-2026'!$C$3:$C$102),0),14)=1,$B154="Triều Lên",INDEX('Thang 05-2026'!$A$3:$Q$102,MATCH(1,($A154='Thang 05-2026'!$A$3:$A$102)*($G154='Thang 05-2026'!$C$3:$C$102),0),15)=0),1,0))</f>
        <v>0</v>
      </c>
      <c r="F154">
        <f t="shared" si="2"/>
        <v>0</v>
      </c>
      <c r="G154">
        <f>INDEX('Thang 05-2026'!$A$3:$C$102,MATCH(A154,'Thang 05-2026'!$A$3:$A$102,0),3)</f>
        <v>26</v>
      </c>
    </row>
    <row r="155" spans="1:7" x14ac:dyDescent="0.2">
      <c r="A155" t="s">
        <v>102</v>
      </c>
      <c r="B155" t="s">
        <v>121</v>
      </c>
      <c r="C155">
        <v>1</v>
      </c>
      <c r="D155">
        <f t="array" ref="D155">IF(AND(INDEX('Thang 05-2026'!$A$3:$Q$102,MATCH(1,($A155='Thang 05-2026'!$A$3:$A$102)*($G155='Thang 05-2026'!$C$3:$C$102),0),11)=1,$B155="Triều Xuống"),1,IF(AND(INDEX('Thang 05-2026'!$A$3:$Q$102,MATCH(1,($A155='Thang 05-2026'!$A$3:$A$102)*($G155='Thang 05-2026'!$C$3:$C$102),0),10)=1,$B155="Triều Lên",INDEX('Thang 05-2026'!$A$3:$Q$102,MATCH(1,($A155='Thang 05-2026'!$A$3:$A$102)*($G155='Thang 05-2026'!$C$3:$C$102),0),11)=0),1,0))</f>
        <v>0</v>
      </c>
      <c r="E155">
        <f t="array" ref="E155">IF(AND(INDEX('Thang 05-2026'!$A$3:$Q$102,MATCH(1,($A155='Thang 05-2026'!$A$3:$A$102)*($G155='Thang 05-2026'!$C$3:$C$102),0),15)=1,$B155="Triều Xuống"),1,IF(AND(INDEX('Thang 05-2026'!$A$3:$Q$102,MATCH(1,($A155='Thang 05-2026'!$A$3:$A$102)*($G155='Thang 05-2026'!$C$3:$C$102),0),14)=1,$B155="Triều Lên",INDEX('Thang 05-2026'!$A$3:$Q$102,MATCH(1,($A155='Thang 05-2026'!$A$3:$A$102)*($G155='Thang 05-2026'!$C$3:$C$102),0),15)=0),1,0))</f>
        <v>0</v>
      </c>
      <c r="F155">
        <f t="shared" si="2"/>
        <v>0</v>
      </c>
      <c r="G155">
        <f>INDEX('Thang 05-2026'!$A$3:$C$102,MATCH(A155,'Thang 05-2026'!$A$3:$A$102,0),3)</f>
        <v>26</v>
      </c>
    </row>
    <row r="156" spans="1:7" x14ac:dyDescent="0.2">
      <c r="A156" t="s">
        <v>103</v>
      </c>
      <c r="B156" t="s">
        <v>118</v>
      </c>
      <c r="C156">
        <v>1</v>
      </c>
      <c r="D156">
        <f t="array" ref="D156">IF(AND(INDEX('Thang 05-2026'!$A$3:$Q$102,MATCH(1,($A156='Thang 05-2026'!$A$3:$A$102)*($G156='Thang 05-2026'!$C$3:$C$102),0),11)=1,$B156="Triều Xuống"),1,IF(AND(INDEX('Thang 05-2026'!$A$3:$Q$102,MATCH(1,($A156='Thang 05-2026'!$A$3:$A$102)*($G156='Thang 05-2026'!$C$3:$C$102),0),10)=1,$B156="Triều Lên",INDEX('Thang 05-2026'!$A$3:$Q$102,MATCH(1,($A156='Thang 05-2026'!$A$3:$A$102)*($G156='Thang 05-2026'!$C$3:$C$102),0),11)=0),1,0))</f>
        <v>0</v>
      </c>
      <c r="E156">
        <f t="array" ref="E156">IF(AND(INDEX('Thang 05-2026'!$A$3:$Q$102,MATCH(1,($A156='Thang 05-2026'!$A$3:$A$102)*($G156='Thang 05-2026'!$C$3:$C$102),0),15)=1,$B156="Triều Xuống"),1,IF(AND(INDEX('Thang 05-2026'!$A$3:$Q$102,MATCH(1,($A156='Thang 05-2026'!$A$3:$A$102)*($G156='Thang 05-2026'!$C$3:$C$102),0),14)=1,$B156="Triều Lên",INDEX('Thang 05-2026'!$A$3:$Q$102,MATCH(1,($A156='Thang 05-2026'!$A$3:$A$102)*($G156='Thang 05-2026'!$C$3:$C$102),0),15)=0),1,0))</f>
        <v>0</v>
      </c>
      <c r="F156">
        <f t="shared" si="2"/>
        <v>0</v>
      </c>
      <c r="G156">
        <f>INDEX('Thang 05-2026'!$A$3:$C$102,MATCH(A156,'Thang 05-2026'!$A$3:$A$102,0),3)</f>
        <v>27</v>
      </c>
    </row>
    <row r="157" spans="1:7" x14ac:dyDescent="0.2">
      <c r="A157" t="s">
        <v>105</v>
      </c>
      <c r="B157" t="s">
        <v>118</v>
      </c>
      <c r="C157">
        <v>1</v>
      </c>
      <c r="D157">
        <f t="array" ref="D157">IF(AND(INDEX('Thang 05-2026'!$A$3:$Q$102,MATCH(1,($A157='Thang 05-2026'!$A$3:$A$102)*($G157='Thang 05-2026'!$C$3:$C$102),0),11)=1,$B157="Triều Xuống"),1,IF(AND(INDEX('Thang 05-2026'!$A$3:$Q$102,MATCH(1,($A157='Thang 05-2026'!$A$3:$A$102)*($G157='Thang 05-2026'!$C$3:$C$102),0),10)=1,$B157="Triều Lên",INDEX('Thang 05-2026'!$A$3:$Q$102,MATCH(1,($A157='Thang 05-2026'!$A$3:$A$102)*($G157='Thang 05-2026'!$C$3:$C$102),0),11)=0),1,0))</f>
        <v>0</v>
      </c>
      <c r="E157">
        <f t="array" ref="E157">IF(AND(INDEX('Thang 05-2026'!$A$3:$Q$102,MATCH(1,($A157='Thang 05-2026'!$A$3:$A$102)*($G157='Thang 05-2026'!$C$3:$C$102),0),15)=1,$B157="Triều Xuống"),1,IF(AND(INDEX('Thang 05-2026'!$A$3:$Q$102,MATCH(1,($A157='Thang 05-2026'!$A$3:$A$102)*($G157='Thang 05-2026'!$C$3:$C$102),0),14)=1,$B157="Triều Lên",INDEX('Thang 05-2026'!$A$3:$Q$102,MATCH(1,($A157='Thang 05-2026'!$A$3:$A$102)*($G157='Thang 05-2026'!$C$3:$C$102),0),15)=0),1,0))</f>
        <v>0</v>
      </c>
      <c r="F157">
        <f t="shared" si="2"/>
        <v>0</v>
      </c>
      <c r="G157">
        <f>INDEX('Thang 05-2026'!$A$3:$C$102,MATCH(A157,'Thang 05-2026'!$A$3:$A$102,0),3)</f>
        <v>27</v>
      </c>
    </row>
    <row r="158" spans="1:7" x14ac:dyDescent="0.2">
      <c r="A158" t="s">
        <v>106</v>
      </c>
      <c r="B158" t="s">
        <v>118</v>
      </c>
      <c r="C158">
        <v>1</v>
      </c>
      <c r="D158">
        <f t="array" ref="D158">IF(AND(INDEX('Thang 05-2026'!$A$3:$Q$102,MATCH(1,($A158='Thang 05-2026'!$A$3:$A$102)*($G158='Thang 05-2026'!$C$3:$C$102),0),11)=1,$B158="Triều Xuống"),1,IF(AND(INDEX('Thang 05-2026'!$A$3:$Q$102,MATCH(1,($A158='Thang 05-2026'!$A$3:$A$102)*($G158='Thang 05-2026'!$C$3:$C$102),0),10)=1,$B158="Triều Lên",INDEX('Thang 05-2026'!$A$3:$Q$102,MATCH(1,($A158='Thang 05-2026'!$A$3:$A$102)*($G158='Thang 05-2026'!$C$3:$C$102),0),11)=0),1,0))</f>
        <v>0</v>
      </c>
      <c r="E158">
        <f t="array" ref="E158">IF(AND(INDEX('Thang 05-2026'!$A$3:$Q$102,MATCH(1,($A158='Thang 05-2026'!$A$3:$A$102)*($G158='Thang 05-2026'!$C$3:$C$102),0),15)=1,$B158="Triều Xuống"),1,IF(AND(INDEX('Thang 05-2026'!$A$3:$Q$102,MATCH(1,($A158='Thang 05-2026'!$A$3:$A$102)*($G158='Thang 05-2026'!$C$3:$C$102),0),14)=1,$B158="Triều Lên",INDEX('Thang 05-2026'!$A$3:$Q$102,MATCH(1,($A158='Thang 05-2026'!$A$3:$A$102)*($G158='Thang 05-2026'!$C$3:$C$102),0),15)=0),1,0))</f>
        <v>0</v>
      </c>
      <c r="F158">
        <f t="shared" si="2"/>
        <v>0</v>
      </c>
      <c r="G158">
        <f>INDEX('Thang 05-2026'!$A$3:$C$102,MATCH(A158,'Thang 05-2026'!$A$3:$A$102,0),3)</f>
        <v>27</v>
      </c>
    </row>
    <row r="159" spans="1:7" x14ac:dyDescent="0.2">
      <c r="A159" t="s">
        <v>103</v>
      </c>
      <c r="B159" t="s">
        <v>121</v>
      </c>
      <c r="C159">
        <v>1</v>
      </c>
      <c r="D159">
        <f t="array" ref="D159">IF(AND(INDEX('Thang 05-2026'!$A$3:$Q$102,MATCH(1,($A159='Thang 05-2026'!$A$3:$A$102)*($G159='Thang 05-2026'!$C$3:$C$102),0),11)=1,$B159="Triều Xuống"),1,IF(AND(INDEX('Thang 05-2026'!$A$3:$Q$102,MATCH(1,($A159='Thang 05-2026'!$A$3:$A$102)*($G159='Thang 05-2026'!$C$3:$C$102),0),10)=1,$B159="Triều Lên",INDEX('Thang 05-2026'!$A$3:$Q$102,MATCH(1,($A159='Thang 05-2026'!$A$3:$A$102)*($G159='Thang 05-2026'!$C$3:$C$102),0),11)=0),1,0))</f>
        <v>0</v>
      </c>
      <c r="E159">
        <f t="array" ref="E159">IF(AND(INDEX('Thang 05-2026'!$A$3:$Q$102,MATCH(1,($A159='Thang 05-2026'!$A$3:$A$102)*($G159='Thang 05-2026'!$C$3:$C$102),0),15)=1,$B159="Triều Xuống"),1,IF(AND(INDEX('Thang 05-2026'!$A$3:$Q$102,MATCH(1,($A159='Thang 05-2026'!$A$3:$A$102)*($G159='Thang 05-2026'!$C$3:$C$102),0),14)=1,$B159="Triều Lên",INDEX('Thang 05-2026'!$A$3:$Q$102,MATCH(1,($A159='Thang 05-2026'!$A$3:$A$102)*($G159='Thang 05-2026'!$C$3:$C$102),0),15)=0),1,0))</f>
        <v>0</v>
      </c>
      <c r="F159">
        <f t="shared" si="2"/>
        <v>0</v>
      </c>
      <c r="G159">
        <f>INDEX('Thang 05-2026'!$A$3:$C$102,MATCH(A159,'Thang 05-2026'!$A$3:$A$102,0),3)</f>
        <v>27</v>
      </c>
    </row>
    <row r="160" spans="1:7" x14ac:dyDescent="0.2">
      <c r="A160" t="s">
        <v>105</v>
      </c>
      <c r="B160" t="s">
        <v>121</v>
      </c>
      <c r="C160">
        <v>1</v>
      </c>
      <c r="D160">
        <f t="array" ref="D160">IF(AND(INDEX('Thang 05-2026'!$A$3:$Q$102,MATCH(1,($A160='Thang 05-2026'!$A$3:$A$102)*($G160='Thang 05-2026'!$C$3:$C$102),0),11)=1,$B160="Triều Xuống"),1,IF(AND(INDEX('Thang 05-2026'!$A$3:$Q$102,MATCH(1,($A160='Thang 05-2026'!$A$3:$A$102)*($G160='Thang 05-2026'!$C$3:$C$102),0),10)=1,$B160="Triều Lên",INDEX('Thang 05-2026'!$A$3:$Q$102,MATCH(1,($A160='Thang 05-2026'!$A$3:$A$102)*($G160='Thang 05-2026'!$C$3:$C$102),0),11)=0),1,0))</f>
        <v>0</v>
      </c>
      <c r="E160">
        <f t="array" ref="E160">IF(AND(INDEX('Thang 05-2026'!$A$3:$Q$102,MATCH(1,($A160='Thang 05-2026'!$A$3:$A$102)*($G160='Thang 05-2026'!$C$3:$C$102),0),15)=1,$B160="Triều Xuống"),1,IF(AND(INDEX('Thang 05-2026'!$A$3:$Q$102,MATCH(1,($A160='Thang 05-2026'!$A$3:$A$102)*($G160='Thang 05-2026'!$C$3:$C$102),0),14)=1,$B160="Triều Lên",INDEX('Thang 05-2026'!$A$3:$Q$102,MATCH(1,($A160='Thang 05-2026'!$A$3:$A$102)*($G160='Thang 05-2026'!$C$3:$C$102),0),15)=0),1,0))</f>
        <v>0</v>
      </c>
      <c r="F160">
        <f t="shared" si="2"/>
        <v>0</v>
      </c>
      <c r="G160">
        <f>INDEX('Thang 05-2026'!$A$3:$C$102,MATCH(A160,'Thang 05-2026'!$A$3:$A$102,0),3)</f>
        <v>27</v>
      </c>
    </row>
    <row r="161" spans="1:7" x14ac:dyDescent="0.2">
      <c r="A161" t="s">
        <v>106</v>
      </c>
      <c r="B161" t="s">
        <v>121</v>
      </c>
      <c r="C161">
        <v>1</v>
      </c>
      <c r="D161">
        <f t="array" ref="D161">IF(AND(INDEX('Thang 05-2026'!$A$3:$Q$102,MATCH(1,($A161='Thang 05-2026'!$A$3:$A$102)*($G161='Thang 05-2026'!$C$3:$C$102),0),11)=1,$B161="Triều Xuống"),1,IF(AND(INDEX('Thang 05-2026'!$A$3:$Q$102,MATCH(1,($A161='Thang 05-2026'!$A$3:$A$102)*($G161='Thang 05-2026'!$C$3:$C$102),0),10)=1,$B161="Triều Lên",INDEX('Thang 05-2026'!$A$3:$Q$102,MATCH(1,($A161='Thang 05-2026'!$A$3:$A$102)*($G161='Thang 05-2026'!$C$3:$C$102),0),11)=0),1,0))</f>
        <v>0</v>
      </c>
      <c r="E161">
        <f t="array" ref="E161">IF(AND(INDEX('Thang 05-2026'!$A$3:$Q$102,MATCH(1,($A161='Thang 05-2026'!$A$3:$A$102)*($G161='Thang 05-2026'!$C$3:$C$102),0),15)=1,$B161="Triều Xuống"),1,IF(AND(INDEX('Thang 05-2026'!$A$3:$Q$102,MATCH(1,($A161='Thang 05-2026'!$A$3:$A$102)*($G161='Thang 05-2026'!$C$3:$C$102),0),14)=1,$B161="Triều Lên",INDEX('Thang 05-2026'!$A$3:$Q$102,MATCH(1,($A161='Thang 05-2026'!$A$3:$A$102)*($G161='Thang 05-2026'!$C$3:$C$102),0),15)=0),1,0))</f>
        <v>0</v>
      </c>
      <c r="F161">
        <f t="shared" si="2"/>
        <v>0</v>
      </c>
      <c r="G161">
        <f>INDEX('Thang 05-2026'!$A$3:$C$102,MATCH(A161,'Thang 05-2026'!$A$3:$A$102,0),3)</f>
        <v>27</v>
      </c>
    </row>
    <row r="162" spans="1:7" x14ac:dyDescent="0.2">
      <c r="A162" t="s">
        <v>117</v>
      </c>
      <c r="B162" t="s">
        <v>118</v>
      </c>
      <c r="C162">
        <v>1</v>
      </c>
      <c r="D162">
        <f t="array" ref="D162">IF(AND(INDEX('Thang 05-2026'!$A$3:$Q$102,MATCH(1,($A162='Thang 05-2026'!$A$3:$A$102)*($G162='Thang 05-2026'!$C$3:$C$102),0),11)=1,$B162="Triều Xuống"),1,IF(AND(INDEX('Thang 05-2026'!$A$3:$Q$102,MATCH(1,($A162='Thang 05-2026'!$A$3:$A$102)*($G162='Thang 05-2026'!$C$3:$C$102),0),10)=1,$B162="Triều Lên",INDEX('Thang 05-2026'!$A$3:$Q$102,MATCH(1,($A162='Thang 05-2026'!$A$3:$A$102)*($G162='Thang 05-2026'!$C$3:$C$102),0),11)=0),1,0))</f>
        <v>0</v>
      </c>
      <c r="E162">
        <f t="array" ref="E162">IF(AND(INDEX('Thang 05-2026'!$A$3:$Q$102,MATCH(1,($A162='Thang 05-2026'!$A$3:$A$102)*($G162='Thang 05-2026'!$C$3:$C$102),0),15)=1,$B162="Triều Xuống"),1,IF(AND(INDEX('Thang 05-2026'!$A$3:$Q$102,MATCH(1,($A162='Thang 05-2026'!$A$3:$A$102)*($G162='Thang 05-2026'!$C$3:$C$102),0),14)=1,$B162="Triều Lên",INDEX('Thang 05-2026'!$A$3:$Q$102,MATCH(1,($A162='Thang 05-2026'!$A$3:$A$102)*($G162='Thang 05-2026'!$C$3:$C$102),0),15)=0),1,0))</f>
        <v>0</v>
      </c>
      <c r="F162">
        <f t="shared" si="2"/>
        <v>0</v>
      </c>
      <c r="G162">
        <v>28</v>
      </c>
    </row>
    <row r="163" spans="1:7" x14ac:dyDescent="0.2">
      <c r="A163" t="s">
        <v>119</v>
      </c>
      <c r="B163" t="s">
        <v>118</v>
      </c>
      <c r="C163">
        <v>1</v>
      </c>
      <c r="D163">
        <f t="array" ref="D163">IF(AND(INDEX('Thang 05-2026'!$A$3:$Q$102,MATCH(1,($A163='Thang 05-2026'!$A$3:$A$102)*($G163='Thang 05-2026'!$C$3:$C$102),0),11)=1,$B163="Triều Xuống"),1,IF(AND(INDEX('Thang 05-2026'!$A$3:$Q$102,MATCH(1,($A163='Thang 05-2026'!$A$3:$A$102)*($G163='Thang 05-2026'!$C$3:$C$102),0),10)=1,$B163="Triều Lên",INDEX('Thang 05-2026'!$A$3:$Q$102,MATCH(1,($A163='Thang 05-2026'!$A$3:$A$102)*($G163='Thang 05-2026'!$C$3:$C$102),0),11)=0),1,0))</f>
        <v>0</v>
      </c>
      <c r="E163">
        <f t="array" ref="E163">IF(AND(INDEX('Thang 05-2026'!$A$3:$Q$102,MATCH(1,($A163='Thang 05-2026'!$A$3:$A$102)*($G163='Thang 05-2026'!$C$3:$C$102),0),15)=1,$B163="Triều Xuống"),1,IF(AND(INDEX('Thang 05-2026'!$A$3:$Q$102,MATCH(1,($A163='Thang 05-2026'!$A$3:$A$102)*($G163='Thang 05-2026'!$C$3:$C$102),0),14)=1,$B163="Triều Lên",INDEX('Thang 05-2026'!$A$3:$Q$102,MATCH(1,($A163='Thang 05-2026'!$A$3:$A$102)*($G163='Thang 05-2026'!$C$3:$C$102),0),15)=0),1,0))</f>
        <v>0</v>
      </c>
      <c r="F163">
        <f t="shared" si="2"/>
        <v>0</v>
      </c>
      <c r="G163">
        <v>28</v>
      </c>
    </row>
    <row r="164" spans="1:7" x14ac:dyDescent="0.2">
      <c r="A164" t="s">
        <v>120</v>
      </c>
      <c r="B164" t="s">
        <v>118</v>
      </c>
      <c r="C164">
        <v>1</v>
      </c>
      <c r="D164">
        <f t="array" ref="D164">IF(AND(INDEX('Thang 05-2026'!$A$3:$Q$102,MATCH(1,($A164='Thang 05-2026'!$A$3:$A$102)*($G164='Thang 05-2026'!$C$3:$C$102),0),11)=1,$B164="Triều Xuống"),1,IF(AND(INDEX('Thang 05-2026'!$A$3:$Q$102,MATCH(1,($A164='Thang 05-2026'!$A$3:$A$102)*($G164='Thang 05-2026'!$C$3:$C$102),0),10)=1,$B164="Triều Lên",INDEX('Thang 05-2026'!$A$3:$Q$102,MATCH(1,($A164='Thang 05-2026'!$A$3:$A$102)*($G164='Thang 05-2026'!$C$3:$C$102),0),11)=0),1,0))</f>
        <v>0</v>
      </c>
      <c r="E164">
        <f t="array" ref="E164">IF(AND(INDEX('Thang 05-2026'!$A$3:$Q$102,MATCH(1,($A164='Thang 05-2026'!$A$3:$A$102)*($G164='Thang 05-2026'!$C$3:$C$102),0),15)=1,$B164="Triều Xuống"),1,IF(AND(INDEX('Thang 05-2026'!$A$3:$Q$102,MATCH(1,($A164='Thang 05-2026'!$A$3:$A$102)*($G164='Thang 05-2026'!$C$3:$C$102),0),14)=1,$B164="Triều Lên",INDEX('Thang 05-2026'!$A$3:$Q$102,MATCH(1,($A164='Thang 05-2026'!$A$3:$A$102)*($G164='Thang 05-2026'!$C$3:$C$102),0),15)=0),1,0))</f>
        <v>0</v>
      </c>
      <c r="F164">
        <f t="shared" si="2"/>
        <v>0</v>
      </c>
      <c r="G164">
        <v>28</v>
      </c>
    </row>
    <row r="165" spans="1:7" x14ac:dyDescent="0.2">
      <c r="A165" t="s">
        <v>122</v>
      </c>
      <c r="B165" t="s">
        <v>118</v>
      </c>
      <c r="C165">
        <v>1</v>
      </c>
      <c r="D165">
        <f t="array" ref="D165">IF(AND(INDEX('Thang 05-2026'!$A$3:$Q$102,MATCH(1,($A165='Thang 05-2026'!$A$3:$A$102)*($G165='Thang 05-2026'!$C$3:$C$102),0),11)=1,$B165="Triều Xuống"),1,IF(AND(INDEX('Thang 05-2026'!$A$3:$Q$102,MATCH(1,($A165='Thang 05-2026'!$A$3:$A$102)*($G165='Thang 05-2026'!$C$3:$C$102),0),10)=1,$B165="Triều Lên",INDEX('Thang 05-2026'!$A$3:$Q$102,MATCH(1,($A165='Thang 05-2026'!$A$3:$A$102)*($G165='Thang 05-2026'!$C$3:$C$102),0),11)=0),1,0))</f>
        <v>1</v>
      </c>
      <c r="E165">
        <f t="array" ref="E165">IF(AND(INDEX('Thang 05-2026'!$A$3:$Q$102,MATCH(1,($A165='Thang 05-2026'!$A$3:$A$102)*($G165='Thang 05-2026'!$C$3:$C$102),0),15)=1,$B165="Triều Xuống"),1,IF(AND(INDEX('Thang 05-2026'!$A$3:$Q$102,MATCH(1,($A165='Thang 05-2026'!$A$3:$A$102)*($G165='Thang 05-2026'!$C$3:$C$102),0),14)=1,$B165="Triều Lên",INDEX('Thang 05-2026'!$A$3:$Q$102,MATCH(1,($A165='Thang 05-2026'!$A$3:$A$102)*($G165='Thang 05-2026'!$C$3:$C$102),0),15)=0),1,0))</f>
        <v>0</v>
      </c>
      <c r="F165">
        <f t="shared" si="2"/>
        <v>1</v>
      </c>
      <c r="G165">
        <v>28</v>
      </c>
    </row>
    <row r="166" spans="1:7" x14ac:dyDescent="0.2">
      <c r="A166" t="s">
        <v>123</v>
      </c>
      <c r="B166" t="s">
        <v>118</v>
      </c>
      <c r="C166">
        <v>1</v>
      </c>
      <c r="D166">
        <f t="array" ref="D166">IF(AND(INDEX('Thang 05-2026'!$A$3:$Q$102,MATCH(1,($A166='Thang 05-2026'!$A$3:$A$102)*($G166='Thang 05-2026'!$C$3:$C$102),0),11)=1,$B166="Triều Xuống"),1,IF(AND(INDEX('Thang 05-2026'!$A$3:$Q$102,MATCH(1,($A166='Thang 05-2026'!$A$3:$A$102)*($G166='Thang 05-2026'!$C$3:$C$102),0),10)=1,$B166="Triều Lên",INDEX('Thang 05-2026'!$A$3:$Q$102,MATCH(1,($A166='Thang 05-2026'!$A$3:$A$102)*($G166='Thang 05-2026'!$C$3:$C$102),0),11)=0),1,0))</f>
        <v>0</v>
      </c>
      <c r="E166">
        <f t="array" ref="E166">IF(AND(INDEX('Thang 05-2026'!$A$3:$Q$102,MATCH(1,($A166='Thang 05-2026'!$A$3:$A$102)*($G166='Thang 05-2026'!$C$3:$C$102),0),15)=1,$B166="Triều Xuống"),1,IF(AND(INDEX('Thang 05-2026'!$A$3:$Q$102,MATCH(1,($A166='Thang 05-2026'!$A$3:$A$102)*($G166='Thang 05-2026'!$C$3:$C$102),0),14)=1,$B166="Triều Lên",INDEX('Thang 05-2026'!$A$3:$Q$102,MATCH(1,($A166='Thang 05-2026'!$A$3:$A$102)*($G166='Thang 05-2026'!$C$3:$C$102),0),15)=0),1,0))</f>
        <v>0</v>
      </c>
      <c r="F166">
        <f t="shared" si="2"/>
        <v>0</v>
      </c>
      <c r="G166">
        <v>28</v>
      </c>
    </row>
    <row r="167" spans="1:7" x14ac:dyDescent="0.2">
      <c r="A167" t="s">
        <v>124</v>
      </c>
      <c r="B167" t="s">
        <v>118</v>
      </c>
      <c r="C167">
        <v>1</v>
      </c>
      <c r="D167">
        <f t="array" ref="D167">IF(AND(INDEX('Thang 05-2026'!$A$3:$Q$102,MATCH(1,($A167='Thang 05-2026'!$A$3:$A$102)*($G167='Thang 05-2026'!$C$3:$C$102),0),11)=1,$B167="Triều Xuống"),1,IF(AND(INDEX('Thang 05-2026'!$A$3:$Q$102,MATCH(1,($A167='Thang 05-2026'!$A$3:$A$102)*($G167='Thang 05-2026'!$C$3:$C$102),0),10)=1,$B167="Triều Lên",INDEX('Thang 05-2026'!$A$3:$Q$102,MATCH(1,($A167='Thang 05-2026'!$A$3:$A$102)*($G167='Thang 05-2026'!$C$3:$C$102),0),11)=0),1,0))</f>
        <v>0</v>
      </c>
      <c r="E167">
        <f t="array" ref="E167">IF(AND(INDEX('Thang 05-2026'!$A$3:$Q$102,MATCH(1,($A167='Thang 05-2026'!$A$3:$A$102)*($G167='Thang 05-2026'!$C$3:$C$102),0),15)=1,$B167="Triều Xuống"),1,IF(AND(INDEX('Thang 05-2026'!$A$3:$Q$102,MATCH(1,($A167='Thang 05-2026'!$A$3:$A$102)*($G167='Thang 05-2026'!$C$3:$C$102),0),14)=1,$B167="Triều Lên",INDEX('Thang 05-2026'!$A$3:$Q$102,MATCH(1,($A167='Thang 05-2026'!$A$3:$A$102)*($G167='Thang 05-2026'!$C$3:$C$102),0),15)=0),1,0))</f>
        <v>0</v>
      </c>
      <c r="F167">
        <f t="shared" si="2"/>
        <v>0</v>
      </c>
      <c r="G167">
        <v>28</v>
      </c>
    </row>
    <row r="168" spans="1:7" x14ac:dyDescent="0.2">
      <c r="A168" t="s">
        <v>117</v>
      </c>
      <c r="B168" t="s">
        <v>121</v>
      </c>
      <c r="C168">
        <v>1</v>
      </c>
      <c r="D168">
        <f t="array" ref="D168">IF(AND(INDEX('Thang 05-2026'!$A$3:$Q$102,MATCH(1,($A168='Thang 05-2026'!$A$3:$A$102)*($G168='Thang 05-2026'!$C$3:$C$102),0),11)=1,$B168="Triều Xuống"),1,IF(AND(INDEX('Thang 05-2026'!$A$3:$Q$102,MATCH(1,($A168='Thang 05-2026'!$A$3:$A$102)*($G168='Thang 05-2026'!$C$3:$C$102),0),10)=1,$B168="Triều Lên",INDEX('Thang 05-2026'!$A$3:$Q$102,MATCH(1,($A168='Thang 05-2026'!$A$3:$A$102)*($G168='Thang 05-2026'!$C$3:$C$102),0),11)=0),1,0))</f>
        <v>0</v>
      </c>
      <c r="E168">
        <f t="array" ref="E168">IF(AND(INDEX('Thang 05-2026'!$A$3:$Q$102,MATCH(1,($A168='Thang 05-2026'!$A$3:$A$102)*($G168='Thang 05-2026'!$C$3:$C$102),0),15)=1,$B168="Triều Xuống"),1,IF(AND(INDEX('Thang 05-2026'!$A$3:$Q$102,MATCH(1,($A168='Thang 05-2026'!$A$3:$A$102)*($G168='Thang 05-2026'!$C$3:$C$102),0),14)=1,$B168="Triều Lên",INDEX('Thang 05-2026'!$A$3:$Q$102,MATCH(1,($A168='Thang 05-2026'!$A$3:$A$102)*($G168='Thang 05-2026'!$C$3:$C$102),0),15)=0),1,0))</f>
        <v>1</v>
      </c>
      <c r="F168">
        <f t="shared" si="2"/>
        <v>1</v>
      </c>
      <c r="G168">
        <v>28</v>
      </c>
    </row>
    <row r="169" spans="1:7" x14ac:dyDescent="0.2">
      <c r="A169" t="s">
        <v>119</v>
      </c>
      <c r="B169" t="s">
        <v>121</v>
      </c>
      <c r="C169">
        <v>1</v>
      </c>
      <c r="D169">
        <f t="array" ref="D169">IF(AND(INDEX('Thang 05-2026'!$A$3:$Q$102,MATCH(1,($A169='Thang 05-2026'!$A$3:$A$102)*($G169='Thang 05-2026'!$C$3:$C$102),0),11)=1,$B169="Triều Xuống"),1,IF(AND(INDEX('Thang 05-2026'!$A$3:$Q$102,MATCH(1,($A169='Thang 05-2026'!$A$3:$A$102)*($G169='Thang 05-2026'!$C$3:$C$102),0),10)=1,$B169="Triều Lên",INDEX('Thang 05-2026'!$A$3:$Q$102,MATCH(1,($A169='Thang 05-2026'!$A$3:$A$102)*($G169='Thang 05-2026'!$C$3:$C$102),0),11)=0),1,0))</f>
        <v>0</v>
      </c>
      <c r="E169">
        <f t="array" ref="E169">IF(AND(INDEX('Thang 05-2026'!$A$3:$Q$102,MATCH(1,($A169='Thang 05-2026'!$A$3:$A$102)*($G169='Thang 05-2026'!$C$3:$C$102),0),15)=1,$B169="Triều Xuống"),1,IF(AND(INDEX('Thang 05-2026'!$A$3:$Q$102,MATCH(1,($A169='Thang 05-2026'!$A$3:$A$102)*($G169='Thang 05-2026'!$C$3:$C$102),0),14)=1,$B169="Triều Lên",INDEX('Thang 05-2026'!$A$3:$Q$102,MATCH(1,($A169='Thang 05-2026'!$A$3:$A$102)*($G169='Thang 05-2026'!$C$3:$C$102),0),15)=0),1,0))</f>
        <v>0</v>
      </c>
      <c r="F169">
        <f t="shared" si="2"/>
        <v>0</v>
      </c>
      <c r="G169">
        <v>28</v>
      </c>
    </row>
    <row r="170" spans="1:7" x14ac:dyDescent="0.2">
      <c r="A170" t="s">
        <v>120</v>
      </c>
      <c r="B170" t="s">
        <v>121</v>
      </c>
      <c r="C170">
        <v>1</v>
      </c>
      <c r="D170">
        <f t="array" ref="D170">IF(AND(INDEX('Thang 05-2026'!$A$3:$Q$102,MATCH(1,($A170='Thang 05-2026'!$A$3:$A$102)*($G170='Thang 05-2026'!$C$3:$C$102),0),11)=1,$B170="Triều Xuống"),1,IF(AND(INDEX('Thang 05-2026'!$A$3:$Q$102,MATCH(1,($A170='Thang 05-2026'!$A$3:$A$102)*($G170='Thang 05-2026'!$C$3:$C$102),0),10)=1,$B170="Triều Lên",INDEX('Thang 05-2026'!$A$3:$Q$102,MATCH(1,($A170='Thang 05-2026'!$A$3:$A$102)*($G170='Thang 05-2026'!$C$3:$C$102),0),11)=0),1,0))</f>
        <v>0</v>
      </c>
      <c r="E170">
        <f t="array" ref="E170">IF(AND(INDEX('Thang 05-2026'!$A$3:$Q$102,MATCH(1,($A170='Thang 05-2026'!$A$3:$A$102)*($G170='Thang 05-2026'!$C$3:$C$102),0),15)=1,$B170="Triều Xuống"),1,IF(AND(INDEX('Thang 05-2026'!$A$3:$Q$102,MATCH(1,($A170='Thang 05-2026'!$A$3:$A$102)*($G170='Thang 05-2026'!$C$3:$C$102),0),14)=1,$B170="Triều Lên",INDEX('Thang 05-2026'!$A$3:$Q$102,MATCH(1,($A170='Thang 05-2026'!$A$3:$A$102)*($G170='Thang 05-2026'!$C$3:$C$102),0),15)=0),1,0))</f>
        <v>0</v>
      </c>
      <c r="F170">
        <f t="shared" si="2"/>
        <v>0</v>
      </c>
      <c r="G170">
        <v>28</v>
      </c>
    </row>
    <row r="171" spans="1:7" x14ac:dyDescent="0.2">
      <c r="A171" t="s">
        <v>122</v>
      </c>
      <c r="B171" t="s">
        <v>121</v>
      </c>
      <c r="C171">
        <v>1</v>
      </c>
      <c r="D171">
        <f t="array" ref="D171">IF(AND(INDEX('Thang 05-2026'!$A$3:$Q$102,MATCH(1,($A171='Thang 05-2026'!$A$3:$A$102)*($G171='Thang 05-2026'!$C$3:$C$102),0),11)=1,$B171="Triều Xuống"),1,IF(AND(INDEX('Thang 05-2026'!$A$3:$Q$102,MATCH(1,($A171='Thang 05-2026'!$A$3:$A$102)*($G171='Thang 05-2026'!$C$3:$C$102),0),10)=1,$B171="Triều Lên",INDEX('Thang 05-2026'!$A$3:$Q$102,MATCH(1,($A171='Thang 05-2026'!$A$3:$A$102)*($G171='Thang 05-2026'!$C$3:$C$102),0),11)=0),1,0))</f>
        <v>0</v>
      </c>
      <c r="E171">
        <f t="array" ref="E171">IF(AND(INDEX('Thang 05-2026'!$A$3:$Q$102,MATCH(1,($A171='Thang 05-2026'!$A$3:$A$102)*($G171='Thang 05-2026'!$C$3:$C$102),0),15)=1,$B171="Triều Xuống"),1,IF(AND(INDEX('Thang 05-2026'!$A$3:$Q$102,MATCH(1,($A171='Thang 05-2026'!$A$3:$A$102)*($G171='Thang 05-2026'!$C$3:$C$102),0),14)=1,$B171="Triều Lên",INDEX('Thang 05-2026'!$A$3:$Q$102,MATCH(1,($A171='Thang 05-2026'!$A$3:$A$102)*($G171='Thang 05-2026'!$C$3:$C$102),0),15)=0),1,0))</f>
        <v>0</v>
      </c>
      <c r="F171">
        <f t="shared" si="2"/>
        <v>0</v>
      </c>
      <c r="G171">
        <v>28</v>
      </c>
    </row>
    <row r="172" spans="1:7" x14ac:dyDescent="0.2">
      <c r="A172" t="s">
        <v>123</v>
      </c>
      <c r="B172" t="s">
        <v>121</v>
      </c>
      <c r="C172">
        <v>1</v>
      </c>
      <c r="D172">
        <f t="array" ref="D172">IF(AND(INDEX('Thang 05-2026'!$A$3:$Q$102,MATCH(1,($A172='Thang 05-2026'!$A$3:$A$102)*($G172='Thang 05-2026'!$C$3:$C$102),0),11)=1,$B172="Triều Xuống"),1,IF(AND(INDEX('Thang 05-2026'!$A$3:$Q$102,MATCH(1,($A172='Thang 05-2026'!$A$3:$A$102)*($G172='Thang 05-2026'!$C$3:$C$102),0),10)=1,$B172="Triều Lên",INDEX('Thang 05-2026'!$A$3:$Q$102,MATCH(1,($A172='Thang 05-2026'!$A$3:$A$102)*($G172='Thang 05-2026'!$C$3:$C$102),0),11)=0),1,0))</f>
        <v>0</v>
      </c>
      <c r="E172">
        <f t="array" ref="E172">IF(AND(INDEX('Thang 05-2026'!$A$3:$Q$102,MATCH(1,($A172='Thang 05-2026'!$A$3:$A$102)*($G172='Thang 05-2026'!$C$3:$C$102),0),15)=1,$B172="Triều Xuống"),1,IF(AND(INDEX('Thang 05-2026'!$A$3:$Q$102,MATCH(1,($A172='Thang 05-2026'!$A$3:$A$102)*($G172='Thang 05-2026'!$C$3:$C$102),0),14)=1,$B172="Triều Lên",INDEX('Thang 05-2026'!$A$3:$Q$102,MATCH(1,($A172='Thang 05-2026'!$A$3:$A$102)*($G172='Thang 05-2026'!$C$3:$C$102),0),15)=0),1,0))</f>
        <v>0</v>
      </c>
      <c r="F172">
        <f t="shared" si="2"/>
        <v>0</v>
      </c>
      <c r="G172">
        <v>28</v>
      </c>
    </row>
    <row r="173" spans="1:7" x14ac:dyDescent="0.2">
      <c r="A173" t="s">
        <v>124</v>
      </c>
      <c r="B173" t="s">
        <v>121</v>
      </c>
      <c r="C173">
        <v>1</v>
      </c>
      <c r="D173">
        <f t="array" ref="D173">IF(AND(INDEX('Thang 05-2026'!$A$3:$Q$102,MATCH(1,($A173='Thang 05-2026'!$A$3:$A$102)*($G173='Thang 05-2026'!$C$3:$C$102),0),11)=1,$B173="Triều Xuống"),1,IF(AND(INDEX('Thang 05-2026'!$A$3:$Q$102,MATCH(1,($A173='Thang 05-2026'!$A$3:$A$102)*($G173='Thang 05-2026'!$C$3:$C$102),0),10)=1,$B173="Triều Lên",INDEX('Thang 05-2026'!$A$3:$Q$102,MATCH(1,($A173='Thang 05-2026'!$A$3:$A$102)*($G173='Thang 05-2026'!$C$3:$C$102),0),11)=0),1,0))</f>
        <v>0</v>
      </c>
      <c r="E173">
        <f t="array" ref="E173">IF(AND(INDEX('Thang 05-2026'!$A$3:$Q$102,MATCH(1,($A173='Thang 05-2026'!$A$3:$A$102)*($G173='Thang 05-2026'!$C$3:$C$102),0),15)=1,$B173="Triều Xuống"),1,IF(AND(INDEX('Thang 05-2026'!$A$3:$Q$102,MATCH(1,($A173='Thang 05-2026'!$A$3:$A$102)*($G173='Thang 05-2026'!$C$3:$C$102),0),14)=1,$B173="Triều Lên",INDEX('Thang 05-2026'!$A$3:$Q$102,MATCH(1,($A173='Thang 05-2026'!$A$3:$A$102)*($G173='Thang 05-2026'!$C$3:$C$102),0),15)=0),1,0))</f>
        <v>0</v>
      </c>
      <c r="F173">
        <f t="shared" si="2"/>
        <v>0</v>
      </c>
      <c r="G173">
        <v>28</v>
      </c>
    </row>
  </sheetData>
  <autoFilter ref="A1:G1" xr:uid="{9150B87F-781C-4E45-B9D8-6C0362F7D8BF}">
    <sortState xmlns:xlrd2="http://schemas.microsoft.com/office/spreadsheetml/2017/richdata2" ref="A2:G173">
      <sortCondition ref="G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3CD1-6B66-488C-B2E6-0B1BF6DB2AA2}">
  <dimension ref="A1:G29"/>
  <sheetViews>
    <sheetView workbookViewId="0">
      <selection activeCell="E15" sqref="E15"/>
    </sheetView>
  </sheetViews>
  <sheetFormatPr defaultRowHeight="14.25" x14ac:dyDescent="0.2"/>
  <cols>
    <col min="1" max="1" width="13.875" bestFit="1" customWidth="1"/>
    <col min="2" max="2" width="14.5" bestFit="1" customWidth="1"/>
    <col min="3" max="3" width="14.625" bestFit="1" customWidth="1"/>
    <col min="4" max="4" width="21.125" bestFit="1" customWidth="1"/>
    <col min="5" max="5" width="22.875" bestFit="1" customWidth="1"/>
    <col min="6" max="6" width="18.125" bestFit="1" customWidth="1"/>
    <col min="7" max="7" width="7" bestFit="1" customWidth="1"/>
  </cols>
  <sheetData>
    <row r="1" spans="1:7" x14ac:dyDescent="0.2">
      <c r="A1" t="s">
        <v>112</v>
      </c>
      <c r="B1" t="s">
        <v>113</v>
      </c>
      <c r="C1" t="s">
        <v>114</v>
      </c>
      <c r="D1" t="s">
        <v>131</v>
      </c>
      <c r="E1" t="s">
        <v>132</v>
      </c>
      <c r="F1" t="s">
        <v>115</v>
      </c>
      <c r="G1" t="s">
        <v>116</v>
      </c>
    </row>
    <row r="2" spans="1:7" x14ac:dyDescent="0.2">
      <c r="A2" t="s">
        <v>88</v>
      </c>
      <c r="B2" t="s">
        <v>118</v>
      </c>
      <c r="C2">
        <v>1</v>
      </c>
      <c r="D2">
        <f t="array" ref="D2">IF(AND(INDEX('Thang 05-2026'!$A$3:$Q$102,MATCH(1,($A2='Thang 05-2026'!$A$3:$A$102)*($G2='Thang 05-2026'!$C$3:$C$102),0),11)=1,$B2="Triều Xuống"),1,IF(AND(INDEX('Thang 05-2026'!$A$3:$Q$102,MATCH(1,($A2='Thang 05-2026'!$A$3:$A$102)*($G2='Thang 05-2026'!$C$3:$C$102),0),10)=1,$B2="Triều Lên",INDEX('Thang 05-2026'!$A$3:$Q$102,MATCH(1,($A2='Thang 05-2026'!$A$3:$A$102)*($G2='Thang 05-2026'!$C$3:$C$102),0),11)=0),1,0))</f>
        <v>0</v>
      </c>
      <c r="E2">
        <f t="array" ref="E2">IF(AND(INDEX('Thang 05-2026'!$A$3:$Q$102,MATCH(1,($A2='Thang 05-2026'!$A$3:$A$102)*($G2='Thang 05-2026'!$C$3:$C$102),0),15)=1,$B2="Triều Xuống"),1,IF(AND(INDEX('Thang 05-2026'!$A$3:$Q$102,MATCH(1,($A2='Thang 05-2026'!$A$3:$A$102)*($G2='Thang 05-2026'!$C$3:$C$102),0),14)=1,$B2="Triều Lên",INDEX('Thang 05-2026'!$A$3:$Q$102,MATCH(1,($A2='Thang 05-2026'!$A$3:$A$102)*($G2='Thang 05-2026'!$C$3:$C$102),0),15)=0),1,0))</f>
        <v>0</v>
      </c>
      <c r="F2">
        <f t="shared" ref="F2:F29" si="0">D2+E2</f>
        <v>0</v>
      </c>
      <c r="G2">
        <f>INDEX('Thang 05-2026'!$A$3:$C$102,MATCH(A2,'Thang 05-2026'!$A$3:$A$102,0),3)</f>
        <v>25</v>
      </c>
    </row>
    <row r="3" spans="1:7" x14ac:dyDescent="0.2">
      <c r="A3" t="s">
        <v>91</v>
      </c>
      <c r="B3" t="s">
        <v>118</v>
      </c>
      <c r="C3">
        <v>1</v>
      </c>
      <c r="D3">
        <f t="array" ref="D3">IF(AND(INDEX('Thang 05-2026'!$A$3:$Q$102,MATCH(1,($A3='Thang 05-2026'!$A$3:$A$102)*($G3='Thang 05-2026'!$C$3:$C$102),0),11)=1,$B3="Triều Xuống"),1,IF(AND(INDEX('Thang 05-2026'!$A$3:$Q$102,MATCH(1,($A3='Thang 05-2026'!$A$3:$A$102)*($G3='Thang 05-2026'!$C$3:$C$102),0),10)=1,$B3="Triều Lên",INDEX('Thang 05-2026'!$A$3:$Q$102,MATCH(1,($A3='Thang 05-2026'!$A$3:$A$102)*($G3='Thang 05-2026'!$C$3:$C$102),0),11)=0),1,0))</f>
        <v>0</v>
      </c>
      <c r="E3">
        <f t="array" ref="E3">IF(AND(INDEX('Thang 05-2026'!$A$3:$Q$102,MATCH(1,($A3='Thang 05-2026'!$A$3:$A$102)*($G3='Thang 05-2026'!$C$3:$C$102),0),15)=1,$B3="Triều Xuống"),1,IF(AND(INDEX('Thang 05-2026'!$A$3:$Q$102,MATCH(1,($A3='Thang 05-2026'!$A$3:$A$102)*($G3='Thang 05-2026'!$C$3:$C$102),0),14)=1,$B3="Triều Lên",INDEX('Thang 05-2026'!$A$3:$Q$102,MATCH(1,($A3='Thang 05-2026'!$A$3:$A$102)*($G3='Thang 05-2026'!$C$3:$C$102),0),15)=0),1,0))</f>
        <v>0</v>
      </c>
      <c r="F3">
        <f t="shared" si="0"/>
        <v>0</v>
      </c>
      <c r="G3">
        <f>INDEX('Thang 05-2026'!$A$3:$C$102,MATCH(A3,'Thang 05-2026'!$A$3:$A$102,0),3)</f>
        <v>25</v>
      </c>
    </row>
    <row r="4" spans="1:7" x14ac:dyDescent="0.2">
      <c r="A4" t="s">
        <v>92</v>
      </c>
      <c r="B4" t="s">
        <v>118</v>
      </c>
      <c r="C4">
        <v>1</v>
      </c>
      <c r="D4">
        <f t="array" ref="D4">IF(AND(INDEX('Thang 05-2026'!$A$3:$Q$102,MATCH(1,($A4='Thang 05-2026'!$A$3:$A$102)*($G4='Thang 05-2026'!$C$3:$C$102),0),11)=1,$B4="Triều Xuống"),1,IF(AND(INDEX('Thang 05-2026'!$A$3:$Q$102,MATCH(1,($A4='Thang 05-2026'!$A$3:$A$102)*($G4='Thang 05-2026'!$C$3:$C$102),0),10)=1,$B4="Triều Lên",INDEX('Thang 05-2026'!$A$3:$Q$102,MATCH(1,($A4='Thang 05-2026'!$A$3:$A$102)*($G4='Thang 05-2026'!$C$3:$C$102),0),11)=0),1,0))</f>
        <v>0</v>
      </c>
      <c r="E4">
        <f t="array" ref="E4">IF(AND(INDEX('Thang 05-2026'!$A$3:$Q$102,MATCH(1,($A4='Thang 05-2026'!$A$3:$A$102)*($G4='Thang 05-2026'!$C$3:$C$102),0),15)=1,$B4="Triều Xuống"),1,IF(AND(INDEX('Thang 05-2026'!$A$3:$Q$102,MATCH(1,($A4='Thang 05-2026'!$A$3:$A$102)*($G4='Thang 05-2026'!$C$3:$C$102),0),14)=1,$B4="Triều Lên",INDEX('Thang 05-2026'!$A$3:$Q$102,MATCH(1,($A4='Thang 05-2026'!$A$3:$A$102)*($G4='Thang 05-2026'!$C$3:$C$102),0),15)=0),1,0))</f>
        <v>0</v>
      </c>
      <c r="F4">
        <f t="shared" si="0"/>
        <v>0</v>
      </c>
      <c r="G4">
        <f>INDEX('Thang 05-2026'!$A$3:$C$102,MATCH(A4,'Thang 05-2026'!$A$3:$A$102,0),3)</f>
        <v>25</v>
      </c>
    </row>
    <row r="5" spans="1:7" x14ac:dyDescent="0.2">
      <c r="A5" t="s">
        <v>93</v>
      </c>
      <c r="B5" t="s">
        <v>118</v>
      </c>
      <c r="C5">
        <v>1</v>
      </c>
      <c r="D5">
        <f t="array" ref="D5">IF(AND(INDEX('Thang 05-2026'!$A$3:$Q$102,MATCH(1,($A5='Thang 05-2026'!$A$3:$A$102)*($G5='Thang 05-2026'!$C$3:$C$102),0),11)=1,$B5="Triều Xuống"),1,IF(AND(INDEX('Thang 05-2026'!$A$3:$Q$102,MATCH(1,($A5='Thang 05-2026'!$A$3:$A$102)*($G5='Thang 05-2026'!$C$3:$C$102),0),10)=1,$B5="Triều Lên",INDEX('Thang 05-2026'!$A$3:$Q$102,MATCH(1,($A5='Thang 05-2026'!$A$3:$A$102)*($G5='Thang 05-2026'!$C$3:$C$102),0),11)=0),1,0))</f>
        <v>0</v>
      </c>
      <c r="E5">
        <f t="array" ref="E5">IF(AND(INDEX('Thang 05-2026'!$A$3:$Q$102,MATCH(1,($A5='Thang 05-2026'!$A$3:$A$102)*($G5='Thang 05-2026'!$C$3:$C$102),0),15)=1,$B5="Triều Xuống"),1,IF(AND(INDEX('Thang 05-2026'!$A$3:$Q$102,MATCH(1,($A5='Thang 05-2026'!$A$3:$A$102)*($G5='Thang 05-2026'!$C$3:$C$102),0),14)=1,$B5="Triều Lên",INDEX('Thang 05-2026'!$A$3:$Q$102,MATCH(1,($A5='Thang 05-2026'!$A$3:$A$102)*($G5='Thang 05-2026'!$C$3:$C$102),0),15)=0),1,0))</f>
        <v>0</v>
      </c>
      <c r="F5">
        <f t="shared" si="0"/>
        <v>0</v>
      </c>
      <c r="G5">
        <f>INDEX('Thang 05-2026'!$A$3:$C$102,MATCH(A5,'Thang 05-2026'!$A$3:$A$102,0),3)</f>
        <v>25</v>
      </c>
    </row>
    <row r="6" spans="1:7" x14ac:dyDescent="0.2">
      <c r="A6" t="s">
        <v>88</v>
      </c>
      <c r="B6" t="s">
        <v>121</v>
      </c>
      <c r="C6">
        <v>1</v>
      </c>
      <c r="D6">
        <f t="array" ref="D6">IF(AND(INDEX('Thang 05-2026'!$A$3:$Q$102,MATCH(1,($A6='Thang 05-2026'!$A$3:$A$102)*($G6='Thang 05-2026'!$C$3:$C$102),0),11)=1,$B6="Triều Xuống"),1,IF(AND(INDEX('Thang 05-2026'!$A$3:$Q$102,MATCH(1,($A6='Thang 05-2026'!$A$3:$A$102)*($G6='Thang 05-2026'!$C$3:$C$102),0),10)=1,$B6="Triều Lên",INDEX('Thang 05-2026'!$A$3:$Q$102,MATCH(1,($A6='Thang 05-2026'!$A$3:$A$102)*($G6='Thang 05-2026'!$C$3:$C$102),0),11)=0),1,0))</f>
        <v>0</v>
      </c>
      <c r="E6">
        <f t="array" ref="E6">IF(AND(INDEX('Thang 05-2026'!$A$3:$Q$102,MATCH(1,($A6='Thang 05-2026'!$A$3:$A$102)*($G6='Thang 05-2026'!$C$3:$C$102),0),15)=1,$B6="Triều Xuống"),1,IF(AND(INDEX('Thang 05-2026'!$A$3:$Q$102,MATCH(1,($A6='Thang 05-2026'!$A$3:$A$102)*($G6='Thang 05-2026'!$C$3:$C$102),0),14)=1,$B6="Triều Lên",INDEX('Thang 05-2026'!$A$3:$Q$102,MATCH(1,($A6='Thang 05-2026'!$A$3:$A$102)*($G6='Thang 05-2026'!$C$3:$C$102),0),15)=0),1,0))</f>
        <v>0</v>
      </c>
      <c r="F6">
        <f t="shared" si="0"/>
        <v>0</v>
      </c>
      <c r="G6">
        <f>INDEX('Thang 05-2026'!$A$3:$C$102,MATCH(A6,'Thang 05-2026'!$A$3:$A$102,0),3)</f>
        <v>25</v>
      </c>
    </row>
    <row r="7" spans="1:7" x14ac:dyDescent="0.2">
      <c r="A7" t="s">
        <v>91</v>
      </c>
      <c r="B7" t="s">
        <v>121</v>
      </c>
      <c r="C7">
        <v>1</v>
      </c>
      <c r="D7">
        <f t="array" ref="D7">IF(AND(INDEX('Thang 05-2026'!$A$3:$Q$102,MATCH(1,($A7='Thang 05-2026'!$A$3:$A$102)*($G7='Thang 05-2026'!$C$3:$C$102),0),11)=1,$B7="Triều Xuống"),1,IF(AND(INDEX('Thang 05-2026'!$A$3:$Q$102,MATCH(1,($A7='Thang 05-2026'!$A$3:$A$102)*($G7='Thang 05-2026'!$C$3:$C$102),0),10)=1,$B7="Triều Lên",INDEX('Thang 05-2026'!$A$3:$Q$102,MATCH(1,($A7='Thang 05-2026'!$A$3:$A$102)*($G7='Thang 05-2026'!$C$3:$C$102),0),11)=0),1,0))</f>
        <v>0</v>
      </c>
      <c r="E7">
        <f t="array" ref="E7">IF(AND(INDEX('Thang 05-2026'!$A$3:$Q$102,MATCH(1,($A7='Thang 05-2026'!$A$3:$A$102)*($G7='Thang 05-2026'!$C$3:$C$102),0),15)=1,$B7="Triều Xuống"),1,IF(AND(INDEX('Thang 05-2026'!$A$3:$Q$102,MATCH(1,($A7='Thang 05-2026'!$A$3:$A$102)*($G7='Thang 05-2026'!$C$3:$C$102),0),14)=1,$B7="Triều Lên",INDEX('Thang 05-2026'!$A$3:$Q$102,MATCH(1,($A7='Thang 05-2026'!$A$3:$A$102)*($G7='Thang 05-2026'!$C$3:$C$102),0),15)=0),1,0))</f>
        <v>0</v>
      </c>
      <c r="F7">
        <f t="shared" si="0"/>
        <v>0</v>
      </c>
      <c r="G7">
        <f>INDEX('Thang 05-2026'!$A$3:$C$102,MATCH(A7,'Thang 05-2026'!$A$3:$A$102,0),3)</f>
        <v>25</v>
      </c>
    </row>
    <row r="8" spans="1:7" x14ac:dyDescent="0.2">
      <c r="A8" t="s">
        <v>92</v>
      </c>
      <c r="B8" t="s">
        <v>121</v>
      </c>
      <c r="C8">
        <v>1</v>
      </c>
      <c r="D8">
        <f t="array" ref="D8">IF(AND(INDEX('Thang 05-2026'!$A$3:$Q$102,MATCH(1,($A8='Thang 05-2026'!$A$3:$A$102)*($G8='Thang 05-2026'!$C$3:$C$102),0),11)=1,$B8="Triều Xuống"),1,IF(AND(INDEX('Thang 05-2026'!$A$3:$Q$102,MATCH(1,($A8='Thang 05-2026'!$A$3:$A$102)*($G8='Thang 05-2026'!$C$3:$C$102),0),10)=1,$B8="Triều Lên",INDEX('Thang 05-2026'!$A$3:$Q$102,MATCH(1,($A8='Thang 05-2026'!$A$3:$A$102)*($G8='Thang 05-2026'!$C$3:$C$102),0),11)=0),1,0))</f>
        <v>0</v>
      </c>
      <c r="E8">
        <f t="array" ref="E8">IF(AND(INDEX('Thang 05-2026'!$A$3:$Q$102,MATCH(1,($A8='Thang 05-2026'!$A$3:$A$102)*($G8='Thang 05-2026'!$C$3:$C$102),0),15)=1,$B8="Triều Xuống"),1,IF(AND(INDEX('Thang 05-2026'!$A$3:$Q$102,MATCH(1,($A8='Thang 05-2026'!$A$3:$A$102)*($G8='Thang 05-2026'!$C$3:$C$102),0),14)=1,$B8="Triều Lên",INDEX('Thang 05-2026'!$A$3:$Q$102,MATCH(1,($A8='Thang 05-2026'!$A$3:$A$102)*($G8='Thang 05-2026'!$C$3:$C$102),0),15)=0),1,0))</f>
        <v>0</v>
      </c>
      <c r="F8">
        <f t="shared" si="0"/>
        <v>0</v>
      </c>
      <c r="G8">
        <f>INDEX('Thang 05-2026'!$A$3:$C$102,MATCH(A8,'Thang 05-2026'!$A$3:$A$102,0),3)</f>
        <v>25</v>
      </c>
    </row>
    <row r="9" spans="1:7" x14ac:dyDescent="0.2">
      <c r="A9" t="s">
        <v>93</v>
      </c>
      <c r="B9" t="s">
        <v>121</v>
      </c>
      <c r="C9">
        <v>1</v>
      </c>
      <c r="D9">
        <f t="array" ref="D9">IF(AND(INDEX('Thang 05-2026'!$A$3:$Q$102,MATCH(1,($A9='Thang 05-2026'!$A$3:$A$102)*($G9='Thang 05-2026'!$C$3:$C$102),0),11)=1,$B9="Triều Xuống"),1,IF(AND(INDEX('Thang 05-2026'!$A$3:$Q$102,MATCH(1,($A9='Thang 05-2026'!$A$3:$A$102)*($G9='Thang 05-2026'!$C$3:$C$102),0),10)=1,$B9="Triều Lên",INDEX('Thang 05-2026'!$A$3:$Q$102,MATCH(1,($A9='Thang 05-2026'!$A$3:$A$102)*($G9='Thang 05-2026'!$C$3:$C$102),0),11)=0),1,0))</f>
        <v>0</v>
      </c>
      <c r="E9">
        <f t="array" ref="E9">IF(AND(INDEX('Thang 05-2026'!$A$3:$Q$102,MATCH(1,($A9='Thang 05-2026'!$A$3:$A$102)*($G9='Thang 05-2026'!$C$3:$C$102),0),15)=1,$B9="Triều Xuống"),1,IF(AND(INDEX('Thang 05-2026'!$A$3:$Q$102,MATCH(1,($A9='Thang 05-2026'!$A$3:$A$102)*($G9='Thang 05-2026'!$C$3:$C$102),0),14)=1,$B9="Triều Lên",INDEX('Thang 05-2026'!$A$3:$Q$102,MATCH(1,($A9='Thang 05-2026'!$A$3:$A$102)*($G9='Thang 05-2026'!$C$3:$C$102),0),15)=0),1,0))</f>
        <v>0</v>
      </c>
      <c r="F9">
        <f t="shared" si="0"/>
        <v>0</v>
      </c>
      <c r="G9">
        <f>INDEX('Thang 05-2026'!$A$3:$C$102,MATCH(A9,'Thang 05-2026'!$A$3:$A$102,0),3)</f>
        <v>25</v>
      </c>
    </row>
    <row r="10" spans="1:7" x14ac:dyDescent="0.2">
      <c r="A10" t="s">
        <v>94</v>
      </c>
      <c r="B10" t="s">
        <v>118</v>
      </c>
      <c r="C10">
        <v>1</v>
      </c>
      <c r="D10">
        <f t="array" ref="D10">IF(AND(INDEX('Thang 05-2026'!$A$3:$Q$102,MATCH(1,($A10='Thang 05-2026'!$A$3:$A$102)*($G10='Thang 05-2026'!$C$3:$C$102),0),11)=1,$B10="Triều Xuống"),1,IF(AND(INDEX('Thang 05-2026'!$A$3:$Q$102,MATCH(1,($A10='Thang 05-2026'!$A$3:$A$102)*($G10='Thang 05-2026'!$C$3:$C$102),0),10)=1,$B10="Triều Lên",INDEX('Thang 05-2026'!$A$3:$Q$102,MATCH(1,($A10='Thang 05-2026'!$A$3:$A$102)*($G10='Thang 05-2026'!$C$3:$C$102),0),11)=0),1,0))</f>
        <v>0</v>
      </c>
      <c r="E10">
        <f t="array" ref="E10">IF(AND(INDEX('Thang 05-2026'!$A$3:$Q$102,MATCH(1,($A10='Thang 05-2026'!$A$3:$A$102)*($G10='Thang 05-2026'!$C$3:$C$102),0),15)=1,$B10="Triều Xuống"),1,IF(AND(INDEX('Thang 05-2026'!$A$3:$Q$102,MATCH(1,($A10='Thang 05-2026'!$A$3:$A$102)*($G10='Thang 05-2026'!$C$3:$C$102),0),14)=1,$B10="Triều Lên",INDEX('Thang 05-2026'!$A$3:$Q$102,MATCH(1,($A10='Thang 05-2026'!$A$3:$A$102)*($G10='Thang 05-2026'!$C$3:$C$102),0),15)=0),1,0))</f>
        <v>0</v>
      </c>
      <c r="F10">
        <f t="shared" si="0"/>
        <v>0</v>
      </c>
      <c r="G10">
        <f>INDEX('Thang 05-2026'!$A$3:$C$102,MATCH(A10,'Thang 05-2026'!$A$3:$A$102,0),3)</f>
        <v>25</v>
      </c>
    </row>
    <row r="11" spans="1:7" x14ac:dyDescent="0.2">
      <c r="A11" t="s">
        <v>95</v>
      </c>
      <c r="B11" t="s">
        <v>118</v>
      </c>
      <c r="C11">
        <v>1</v>
      </c>
      <c r="D11">
        <f t="array" ref="D11">IF(AND(INDEX('Thang 05-2026'!$A$3:$Q$102,MATCH(1,($A11='Thang 05-2026'!$A$3:$A$102)*($G11='Thang 05-2026'!$C$3:$C$102),0),11)=1,$B11="Triều Xuống"),1,IF(AND(INDEX('Thang 05-2026'!$A$3:$Q$102,MATCH(1,($A11='Thang 05-2026'!$A$3:$A$102)*($G11='Thang 05-2026'!$C$3:$C$102),0),10)=1,$B11="Triều Lên",INDEX('Thang 05-2026'!$A$3:$Q$102,MATCH(1,($A11='Thang 05-2026'!$A$3:$A$102)*($G11='Thang 05-2026'!$C$3:$C$102),0),11)=0),1,0))</f>
        <v>0</v>
      </c>
      <c r="E11">
        <f t="array" ref="E11">IF(AND(INDEX('Thang 05-2026'!$A$3:$Q$102,MATCH(1,($A11='Thang 05-2026'!$A$3:$A$102)*($G11='Thang 05-2026'!$C$3:$C$102),0),15)=1,$B11="Triều Xuống"),1,IF(AND(INDEX('Thang 05-2026'!$A$3:$Q$102,MATCH(1,($A11='Thang 05-2026'!$A$3:$A$102)*($G11='Thang 05-2026'!$C$3:$C$102),0),14)=1,$B11="Triều Lên",INDEX('Thang 05-2026'!$A$3:$Q$102,MATCH(1,($A11='Thang 05-2026'!$A$3:$A$102)*($G11='Thang 05-2026'!$C$3:$C$102),0),15)=0),1,0))</f>
        <v>0</v>
      </c>
      <c r="F11">
        <f t="shared" si="0"/>
        <v>0</v>
      </c>
      <c r="G11">
        <f>INDEX('Thang 05-2026'!$A$3:$C$102,MATCH(A11,'Thang 05-2026'!$A$3:$A$102,0),3)</f>
        <v>25</v>
      </c>
    </row>
    <row r="12" spans="1:7" x14ac:dyDescent="0.2">
      <c r="A12" t="s">
        <v>94</v>
      </c>
      <c r="B12" t="s">
        <v>121</v>
      </c>
      <c r="C12">
        <v>1</v>
      </c>
      <c r="D12">
        <f t="array" ref="D12">IF(AND(INDEX('Thang 05-2026'!$A$3:$Q$102,MATCH(1,($A12='Thang 05-2026'!$A$3:$A$102)*($G12='Thang 05-2026'!$C$3:$C$102),0),11)=1,$B12="Triều Xuống"),1,IF(AND(INDEX('Thang 05-2026'!$A$3:$Q$102,MATCH(1,($A12='Thang 05-2026'!$A$3:$A$102)*($G12='Thang 05-2026'!$C$3:$C$102),0),10)=1,$B12="Triều Lên",INDEX('Thang 05-2026'!$A$3:$Q$102,MATCH(1,($A12='Thang 05-2026'!$A$3:$A$102)*($G12='Thang 05-2026'!$C$3:$C$102),0),11)=0),1,0))</f>
        <v>0</v>
      </c>
      <c r="E12">
        <f t="array" ref="E12">IF(AND(INDEX('Thang 05-2026'!$A$3:$Q$102,MATCH(1,($A12='Thang 05-2026'!$A$3:$A$102)*($G12='Thang 05-2026'!$C$3:$C$102),0),15)=1,$B12="Triều Xuống"),1,IF(AND(INDEX('Thang 05-2026'!$A$3:$Q$102,MATCH(1,($A12='Thang 05-2026'!$A$3:$A$102)*($G12='Thang 05-2026'!$C$3:$C$102),0),14)=1,$B12="Triều Lên",INDEX('Thang 05-2026'!$A$3:$Q$102,MATCH(1,($A12='Thang 05-2026'!$A$3:$A$102)*($G12='Thang 05-2026'!$C$3:$C$102),0),15)=0),1,0))</f>
        <v>0</v>
      </c>
      <c r="F12">
        <f t="shared" si="0"/>
        <v>0</v>
      </c>
      <c r="G12">
        <f>INDEX('Thang 05-2026'!$A$3:$C$102,MATCH(A12,'Thang 05-2026'!$A$3:$A$102,0),3)</f>
        <v>25</v>
      </c>
    </row>
    <row r="13" spans="1:7" x14ac:dyDescent="0.2">
      <c r="A13" t="s">
        <v>95</v>
      </c>
      <c r="B13" t="s">
        <v>121</v>
      </c>
      <c r="C13">
        <v>1</v>
      </c>
      <c r="D13">
        <f t="array" ref="D13">IF(AND(INDEX('Thang 05-2026'!$A$3:$Q$102,MATCH(1,($A13='Thang 05-2026'!$A$3:$A$102)*($G13='Thang 05-2026'!$C$3:$C$102),0),11)=1,$B13="Triều Xuống"),1,IF(AND(INDEX('Thang 05-2026'!$A$3:$Q$102,MATCH(1,($A13='Thang 05-2026'!$A$3:$A$102)*($G13='Thang 05-2026'!$C$3:$C$102),0),10)=1,$B13="Triều Lên",INDEX('Thang 05-2026'!$A$3:$Q$102,MATCH(1,($A13='Thang 05-2026'!$A$3:$A$102)*($G13='Thang 05-2026'!$C$3:$C$102),0),11)=0),1,0))</f>
        <v>0</v>
      </c>
      <c r="E13">
        <f t="array" ref="E13">IF(AND(INDEX('Thang 05-2026'!$A$3:$Q$102,MATCH(1,($A13='Thang 05-2026'!$A$3:$A$102)*($G13='Thang 05-2026'!$C$3:$C$102),0),15)=1,$B13="Triều Xuống"),1,IF(AND(INDEX('Thang 05-2026'!$A$3:$Q$102,MATCH(1,($A13='Thang 05-2026'!$A$3:$A$102)*($G13='Thang 05-2026'!$C$3:$C$102),0),14)=1,$B13="Triều Lên",INDEX('Thang 05-2026'!$A$3:$Q$102,MATCH(1,($A13='Thang 05-2026'!$A$3:$A$102)*($G13='Thang 05-2026'!$C$3:$C$102),0),15)=0),1,0))</f>
        <v>1</v>
      </c>
      <c r="F13">
        <f t="shared" si="0"/>
        <v>1</v>
      </c>
      <c r="G13">
        <f>INDEX('Thang 05-2026'!$A$3:$C$102,MATCH(A13,'Thang 05-2026'!$A$3:$A$102,0),3)</f>
        <v>25</v>
      </c>
    </row>
    <row r="14" spans="1:7" x14ac:dyDescent="0.2">
      <c r="A14" t="s">
        <v>96</v>
      </c>
      <c r="B14" t="s">
        <v>118</v>
      </c>
      <c r="C14">
        <v>1</v>
      </c>
      <c r="D14">
        <f t="array" ref="D14">IF(AND(INDEX('Thang 05-2026'!$A$3:$Q$102,MATCH(1,($A14='Thang 05-2026'!$A$3:$A$102)*($G14='Thang 05-2026'!$C$3:$C$102),0),11)=1,$B14="Triều Xuống"),1,IF(AND(INDEX('Thang 05-2026'!$A$3:$Q$102,MATCH(1,($A14='Thang 05-2026'!$A$3:$A$102)*($G14='Thang 05-2026'!$C$3:$C$102),0),10)=1,$B14="Triều Lên",INDEX('Thang 05-2026'!$A$3:$Q$102,MATCH(1,($A14='Thang 05-2026'!$A$3:$A$102)*($G14='Thang 05-2026'!$C$3:$C$102),0),11)=0),1,0))</f>
        <v>0</v>
      </c>
      <c r="E14">
        <f t="array" ref="E14">IF(AND(INDEX('Thang 05-2026'!$A$3:$Q$102,MATCH(1,($A14='Thang 05-2026'!$A$3:$A$102)*($G14='Thang 05-2026'!$C$3:$C$102),0),15)=1,$B14="Triều Xuống"),1,IF(AND(INDEX('Thang 05-2026'!$A$3:$Q$102,MATCH(1,($A14='Thang 05-2026'!$A$3:$A$102)*($G14='Thang 05-2026'!$C$3:$C$102),0),14)=1,$B14="Triều Lên",INDEX('Thang 05-2026'!$A$3:$Q$102,MATCH(1,($A14='Thang 05-2026'!$A$3:$A$102)*($G14='Thang 05-2026'!$C$3:$C$102),0),15)=0),1,0))</f>
        <v>0</v>
      </c>
      <c r="F14">
        <f t="shared" si="0"/>
        <v>0</v>
      </c>
      <c r="G14">
        <f>INDEX('Thang 05-2026'!$A$3:$C$102,MATCH(A14,'Thang 05-2026'!$A$3:$A$102,0),3)</f>
        <v>26</v>
      </c>
    </row>
    <row r="15" spans="1:7" x14ac:dyDescent="0.2">
      <c r="A15" t="s">
        <v>98</v>
      </c>
      <c r="B15" t="s">
        <v>118</v>
      </c>
      <c r="C15">
        <v>1</v>
      </c>
      <c r="D15">
        <f t="array" ref="D15">IF(AND(INDEX('Thang 05-2026'!$A$3:$Q$102,MATCH(1,($A15='Thang 05-2026'!$A$3:$A$102)*($G15='Thang 05-2026'!$C$3:$C$102),0),11)=1,$B15="Triều Xuống"),1,IF(AND(INDEX('Thang 05-2026'!$A$3:$Q$102,MATCH(1,($A15='Thang 05-2026'!$A$3:$A$102)*($G15='Thang 05-2026'!$C$3:$C$102),0),10)=1,$B15="Triều Lên",INDEX('Thang 05-2026'!$A$3:$Q$102,MATCH(1,($A15='Thang 05-2026'!$A$3:$A$102)*($G15='Thang 05-2026'!$C$3:$C$102),0),11)=0),1,0))</f>
        <v>0</v>
      </c>
      <c r="E15">
        <f t="array" ref="E15">IF(AND(INDEX('Thang 05-2026'!$A$3:$Q$102,MATCH(1,($A15='Thang 05-2026'!$A$3:$A$102)*($G15='Thang 05-2026'!$C$3:$C$102),0),15)=1,$B15="Triều Xuống"),1,IF(AND(INDEX('Thang 05-2026'!$A$3:$Q$102,MATCH(1,($A15='Thang 05-2026'!$A$3:$A$102)*($G15='Thang 05-2026'!$C$3:$C$102),0),14)=1,$B15="Triều Lên",INDEX('Thang 05-2026'!$A$3:$Q$102,MATCH(1,($A15='Thang 05-2026'!$A$3:$A$102)*($G15='Thang 05-2026'!$C$3:$C$102),0),15)=0),1,0))</f>
        <v>0</v>
      </c>
      <c r="F15">
        <f t="shared" si="0"/>
        <v>0</v>
      </c>
      <c r="G15">
        <f>INDEX('Thang 05-2026'!$A$3:$C$102,MATCH(A15,'Thang 05-2026'!$A$3:$A$102,0),3)</f>
        <v>26</v>
      </c>
    </row>
    <row r="16" spans="1:7" x14ac:dyDescent="0.2">
      <c r="A16" t="s">
        <v>99</v>
      </c>
      <c r="B16" t="s">
        <v>118</v>
      </c>
      <c r="C16">
        <v>1</v>
      </c>
      <c r="D16">
        <f t="array" ref="D16">IF(AND(INDEX('Thang 05-2026'!$A$3:$Q$102,MATCH(1,($A16='Thang 05-2026'!$A$3:$A$102)*($G16='Thang 05-2026'!$C$3:$C$102),0),11)=1,$B16="Triều Xuống"),1,IF(AND(INDEX('Thang 05-2026'!$A$3:$Q$102,MATCH(1,($A16='Thang 05-2026'!$A$3:$A$102)*($G16='Thang 05-2026'!$C$3:$C$102),0),10)=1,$B16="Triều Lên",INDEX('Thang 05-2026'!$A$3:$Q$102,MATCH(1,($A16='Thang 05-2026'!$A$3:$A$102)*($G16='Thang 05-2026'!$C$3:$C$102),0),11)=0),1,0))</f>
        <v>0</v>
      </c>
      <c r="E16">
        <f t="array" ref="E16">IF(AND(INDEX('Thang 05-2026'!$A$3:$Q$102,MATCH(1,($A16='Thang 05-2026'!$A$3:$A$102)*($G16='Thang 05-2026'!$C$3:$C$102),0),15)=1,$B16="Triều Xuống"),1,IF(AND(INDEX('Thang 05-2026'!$A$3:$Q$102,MATCH(1,($A16='Thang 05-2026'!$A$3:$A$102)*($G16='Thang 05-2026'!$C$3:$C$102),0),14)=1,$B16="Triều Lên",INDEX('Thang 05-2026'!$A$3:$Q$102,MATCH(1,($A16='Thang 05-2026'!$A$3:$A$102)*($G16='Thang 05-2026'!$C$3:$C$102),0),15)=0),1,0))</f>
        <v>0</v>
      </c>
      <c r="F16">
        <f t="shared" si="0"/>
        <v>0</v>
      </c>
      <c r="G16">
        <f>INDEX('Thang 05-2026'!$A$3:$C$102,MATCH(A16,'Thang 05-2026'!$A$3:$A$102,0),3)</f>
        <v>26</v>
      </c>
    </row>
    <row r="17" spans="1:7" x14ac:dyDescent="0.2">
      <c r="A17" t="s">
        <v>96</v>
      </c>
      <c r="B17" t="s">
        <v>121</v>
      </c>
      <c r="C17">
        <v>1</v>
      </c>
      <c r="D17">
        <f t="array" ref="D17">IF(AND(INDEX('Thang 05-2026'!$A$3:$Q$102,MATCH(1,($A17='Thang 05-2026'!$A$3:$A$102)*($G17='Thang 05-2026'!$C$3:$C$102),0),11)=1,$B17="Triều Xuống"),1,IF(AND(INDEX('Thang 05-2026'!$A$3:$Q$102,MATCH(1,($A17='Thang 05-2026'!$A$3:$A$102)*($G17='Thang 05-2026'!$C$3:$C$102),0),10)=1,$B17="Triều Lên",INDEX('Thang 05-2026'!$A$3:$Q$102,MATCH(1,($A17='Thang 05-2026'!$A$3:$A$102)*($G17='Thang 05-2026'!$C$3:$C$102),0),11)=0),1,0))</f>
        <v>0</v>
      </c>
      <c r="E17">
        <f t="array" ref="E17">IF(AND(INDEX('Thang 05-2026'!$A$3:$Q$102,MATCH(1,($A17='Thang 05-2026'!$A$3:$A$102)*($G17='Thang 05-2026'!$C$3:$C$102),0),15)=1,$B17="Triều Xuống"),1,IF(AND(INDEX('Thang 05-2026'!$A$3:$Q$102,MATCH(1,($A17='Thang 05-2026'!$A$3:$A$102)*($G17='Thang 05-2026'!$C$3:$C$102),0),14)=1,$B17="Triều Lên",INDEX('Thang 05-2026'!$A$3:$Q$102,MATCH(1,($A17='Thang 05-2026'!$A$3:$A$102)*($G17='Thang 05-2026'!$C$3:$C$102),0),15)=0),1,0))</f>
        <v>0</v>
      </c>
      <c r="F17">
        <f t="shared" si="0"/>
        <v>0</v>
      </c>
      <c r="G17">
        <f>INDEX('Thang 05-2026'!$A$3:$C$102,MATCH(A17,'Thang 05-2026'!$A$3:$A$102,0),3)</f>
        <v>26</v>
      </c>
    </row>
    <row r="18" spans="1:7" x14ac:dyDescent="0.2">
      <c r="A18" t="s">
        <v>98</v>
      </c>
      <c r="B18" t="s">
        <v>121</v>
      </c>
      <c r="C18">
        <v>1</v>
      </c>
      <c r="D18">
        <f t="array" ref="D18">IF(AND(INDEX('Thang 05-2026'!$A$3:$Q$102,MATCH(1,($A18='Thang 05-2026'!$A$3:$A$102)*($G18='Thang 05-2026'!$C$3:$C$102),0),11)=1,$B18="Triều Xuống"),1,IF(AND(INDEX('Thang 05-2026'!$A$3:$Q$102,MATCH(1,($A18='Thang 05-2026'!$A$3:$A$102)*($G18='Thang 05-2026'!$C$3:$C$102),0),10)=1,$B18="Triều Lên",INDEX('Thang 05-2026'!$A$3:$Q$102,MATCH(1,($A18='Thang 05-2026'!$A$3:$A$102)*($G18='Thang 05-2026'!$C$3:$C$102),0),11)=0),1,0))</f>
        <v>0</v>
      </c>
      <c r="E18">
        <f t="array" ref="E18">IF(AND(INDEX('Thang 05-2026'!$A$3:$Q$102,MATCH(1,($A18='Thang 05-2026'!$A$3:$A$102)*($G18='Thang 05-2026'!$C$3:$C$102),0),15)=1,$B18="Triều Xuống"),1,IF(AND(INDEX('Thang 05-2026'!$A$3:$Q$102,MATCH(1,($A18='Thang 05-2026'!$A$3:$A$102)*($G18='Thang 05-2026'!$C$3:$C$102),0),14)=1,$B18="Triều Lên",INDEX('Thang 05-2026'!$A$3:$Q$102,MATCH(1,($A18='Thang 05-2026'!$A$3:$A$102)*($G18='Thang 05-2026'!$C$3:$C$102),0),15)=0),1,0))</f>
        <v>0</v>
      </c>
      <c r="F18">
        <f t="shared" si="0"/>
        <v>0</v>
      </c>
      <c r="G18">
        <f>INDEX('Thang 05-2026'!$A$3:$C$102,MATCH(A18,'Thang 05-2026'!$A$3:$A$102,0),3)</f>
        <v>26</v>
      </c>
    </row>
    <row r="19" spans="1:7" x14ac:dyDescent="0.2">
      <c r="A19" t="s">
        <v>99</v>
      </c>
      <c r="B19" t="s">
        <v>121</v>
      </c>
      <c r="C19">
        <v>1</v>
      </c>
      <c r="D19">
        <f t="array" ref="D19">IF(AND(INDEX('Thang 05-2026'!$A$3:$Q$102,MATCH(1,($A19='Thang 05-2026'!$A$3:$A$102)*($G19='Thang 05-2026'!$C$3:$C$102),0),11)=1,$B19="Triều Xuống"),1,IF(AND(INDEX('Thang 05-2026'!$A$3:$Q$102,MATCH(1,($A19='Thang 05-2026'!$A$3:$A$102)*($G19='Thang 05-2026'!$C$3:$C$102),0),10)=1,$B19="Triều Lên",INDEX('Thang 05-2026'!$A$3:$Q$102,MATCH(1,($A19='Thang 05-2026'!$A$3:$A$102)*($G19='Thang 05-2026'!$C$3:$C$102),0),11)=0),1,0))</f>
        <v>0</v>
      </c>
      <c r="E19">
        <f t="array" ref="E19">IF(AND(INDEX('Thang 05-2026'!$A$3:$Q$102,MATCH(1,($A19='Thang 05-2026'!$A$3:$A$102)*($G19='Thang 05-2026'!$C$3:$C$102),0),15)=1,$B19="Triều Xuống"),1,IF(AND(INDEX('Thang 05-2026'!$A$3:$Q$102,MATCH(1,($A19='Thang 05-2026'!$A$3:$A$102)*($G19='Thang 05-2026'!$C$3:$C$102),0),14)=1,$B19="Triều Lên",INDEX('Thang 05-2026'!$A$3:$Q$102,MATCH(1,($A19='Thang 05-2026'!$A$3:$A$102)*($G19='Thang 05-2026'!$C$3:$C$102),0),15)=0),1,0))</f>
        <v>0</v>
      </c>
      <c r="F19">
        <f t="shared" si="0"/>
        <v>0</v>
      </c>
      <c r="G19">
        <f>INDEX('Thang 05-2026'!$A$3:$C$102,MATCH(A19,'Thang 05-2026'!$A$3:$A$102,0),3)</f>
        <v>26</v>
      </c>
    </row>
    <row r="20" spans="1:7" x14ac:dyDescent="0.2">
      <c r="A20" t="s">
        <v>100</v>
      </c>
      <c r="B20" t="s">
        <v>118</v>
      </c>
      <c r="C20">
        <v>1</v>
      </c>
      <c r="D20">
        <f t="array" ref="D20">IF(AND(INDEX('Thang 05-2026'!$A$3:$Q$102,MATCH(1,($A20='Thang 05-2026'!$A$3:$A$102)*($G20='Thang 05-2026'!$C$3:$C$102),0),11)=1,$B20="Triều Xuống"),1,IF(AND(INDEX('Thang 05-2026'!$A$3:$Q$102,MATCH(1,($A20='Thang 05-2026'!$A$3:$A$102)*($G20='Thang 05-2026'!$C$3:$C$102),0),10)=1,$B20="Triều Lên",INDEX('Thang 05-2026'!$A$3:$Q$102,MATCH(1,($A20='Thang 05-2026'!$A$3:$A$102)*($G20='Thang 05-2026'!$C$3:$C$102),0),11)=0),1,0))</f>
        <v>0</v>
      </c>
      <c r="E20">
        <f t="array" ref="E20">IF(AND(INDEX('Thang 05-2026'!$A$3:$Q$102,MATCH(1,($A20='Thang 05-2026'!$A$3:$A$102)*($G20='Thang 05-2026'!$C$3:$C$102),0),15)=1,$B20="Triều Xuống"),1,IF(AND(INDEX('Thang 05-2026'!$A$3:$Q$102,MATCH(1,($A20='Thang 05-2026'!$A$3:$A$102)*($G20='Thang 05-2026'!$C$3:$C$102),0),14)=1,$B20="Triều Lên",INDEX('Thang 05-2026'!$A$3:$Q$102,MATCH(1,($A20='Thang 05-2026'!$A$3:$A$102)*($G20='Thang 05-2026'!$C$3:$C$102),0),15)=0),1,0))</f>
        <v>0</v>
      </c>
      <c r="F20">
        <f t="shared" si="0"/>
        <v>0</v>
      </c>
      <c r="G20">
        <f>INDEX('Thang 05-2026'!$A$3:$C$102,MATCH(A20,'Thang 05-2026'!$A$3:$A$102,0),3)</f>
        <v>26</v>
      </c>
    </row>
    <row r="21" spans="1:7" x14ac:dyDescent="0.2">
      <c r="A21" t="s">
        <v>101</v>
      </c>
      <c r="B21" t="s">
        <v>118</v>
      </c>
      <c r="C21">
        <v>1</v>
      </c>
      <c r="D21">
        <f t="array" ref="D21">IF(AND(INDEX('Thang 05-2026'!$A$3:$Q$102,MATCH(1,($A21='Thang 05-2026'!$A$3:$A$102)*($G21='Thang 05-2026'!$C$3:$C$102),0),11)=1,$B21="Triều Xuống"),1,IF(AND(INDEX('Thang 05-2026'!$A$3:$Q$102,MATCH(1,($A21='Thang 05-2026'!$A$3:$A$102)*($G21='Thang 05-2026'!$C$3:$C$102),0),10)=1,$B21="Triều Lên",INDEX('Thang 05-2026'!$A$3:$Q$102,MATCH(1,($A21='Thang 05-2026'!$A$3:$A$102)*($G21='Thang 05-2026'!$C$3:$C$102),0),11)=0),1,0))</f>
        <v>0</v>
      </c>
      <c r="E21">
        <f t="array" ref="E21">IF(AND(INDEX('Thang 05-2026'!$A$3:$Q$102,MATCH(1,($A21='Thang 05-2026'!$A$3:$A$102)*($G21='Thang 05-2026'!$C$3:$C$102),0),15)=1,$B21="Triều Xuống"),1,IF(AND(INDEX('Thang 05-2026'!$A$3:$Q$102,MATCH(1,($A21='Thang 05-2026'!$A$3:$A$102)*($G21='Thang 05-2026'!$C$3:$C$102),0),14)=1,$B21="Triều Lên",INDEX('Thang 05-2026'!$A$3:$Q$102,MATCH(1,($A21='Thang 05-2026'!$A$3:$A$102)*($G21='Thang 05-2026'!$C$3:$C$102),0),15)=0),1,0))</f>
        <v>0</v>
      </c>
      <c r="F21">
        <f t="shared" si="0"/>
        <v>0</v>
      </c>
      <c r="G21">
        <f>INDEX('Thang 05-2026'!$A$3:$C$102,MATCH(A21,'Thang 05-2026'!$A$3:$A$102,0),3)</f>
        <v>26</v>
      </c>
    </row>
    <row r="22" spans="1:7" x14ac:dyDescent="0.2">
      <c r="A22" t="s">
        <v>100</v>
      </c>
      <c r="B22" t="s">
        <v>121</v>
      </c>
      <c r="C22">
        <v>1</v>
      </c>
      <c r="D22">
        <f t="array" ref="D22">IF(AND(INDEX('Thang 05-2026'!$A$3:$Q$102,MATCH(1,($A22='Thang 05-2026'!$A$3:$A$102)*($G22='Thang 05-2026'!$C$3:$C$102),0),11)=1,$B22="Triều Xuống"),1,IF(AND(INDEX('Thang 05-2026'!$A$3:$Q$102,MATCH(1,($A22='Thang 05-2026'!$A$3:$A$102)*($G22='Thang 05-2026'!$C$3:$C$102),0),10)=1,$B22="Triều Lên",INDEX('Thang 05-2026'!$A$3:$Q$102,MATCH(1,($A22='Thang 05-2026'!$A$3:$A$102)*($G22='Thang 05-2026'!$C$3:$C$102),0),11)=0),1,0))</f>
        <v>0</v>
      </c>
      <c r="E22">
        <f t="array" ref="E22">IF(AND(INDEX('Thang 05-2026'!$A$3:$Q$102,MATCH(1,($A22='Thang 05-2026'!$A$3:$A$102)*($G22='Thang 05-2026'!$C$3:$C$102),0),15)=1,$B22="Triều Xuống"),1,IF(AND(INDEX('Thang 05-2026'!$A$3:$Q$102,MATCH(1,($A22='Thang 05-2026'!$A$3:$A$102)*($G22='Thang 05-2026'!$C$3:$C$102),0),14)=1,$B22="Triều Lên",INDEX('Thang 05-2026'!$A$3:$Q$102,MATCH(1,($A22='Thang 05-2026'!$A$3:$A$102)*($G22='Thang 05-2026'!$C$3:$C$102),0),15)=0),1,0))</f>
        <v>0</v>
      </c>
      <c r="F22">
        <f t="shared" si="0"/>
        <v>0</v>
      </c>
      <c r="G22">
        <f>INDEX('Thang 05-2026'!$A$3:$C$102,MATCH(A22,'Thang 05-2026'!$A$3:$A$102,0),3)</f>
        <v>26</v>
      </c>
    </row>
    <row r="23" spans="1:7" x14ac:dyDescent="0.2">
      <c r="A23" t="s">
        <v>101</v>
      </c>
      <c r="B23" t="s">
        <v>121</v>
      </c>
      <c r="C23">
        <v>1</v>
      </c>
      <c r="D23">
        <f t="array" ref="D23">IF(AND(INDEX('Thang 05-2026'!$A$3:$Q$102,MATCH(1,($A23='Thang 05-2026'!$A$3:$A$102)*($G23='Thang 05-2026'!$C$3:$C$102),0),11)=1,$B23="Triều Xuống"),1,IF(AND(INDEX('Thang 05-2026'!$A$3:$Q$102,MATCH(1,($A23='Thang 05-2026'!$A$3:$A$102)*($G23='Thang 05-2026'!$C$3:$C$102),0),10)=1,$B23="Triều Lên",INDEX('Thang 05-2026'!$A$3:$Q$102,MATCH(1,($A23='Thang 05-2026'!$A$3:$A$102)*($G23='Thang 05-2026'!$C$3:$C$102),0),11)=0),1,0))</f>
        <v>0</v>
      </c>
      <c r="E23">
        <f t="array" ref="E23">IF(AND(INDEX('Thang 05-2026'!$A$3:$Q$102,MATCH(1,($A23='Thang 05-2026'!$A$3:$A$102)*($G23='Thang 05-2026'!$C$3:$C$102),0),15)=1,$B23="Triều Xuống"),1,IF(AND(INDEX('Thang 05-2026'!$A$3:$Q$102,MATCH(1,($A23='Thang 05-2026'!$A$3:$A$102)*($G23='Thang 05-2026'!$C$3:$C$102),0),14)=1,$B23="Triều Lên",INDEX('Thang 05-2026'!$A$3:$Q$102,MATCH(1,($A23='Thang 05-2026'!$A$3:$A$102)*($G23='Thang 05-2026'!$C$3:$C$102),0),15)=0),1,0))</f>
        <v>0</v>
      </c>
      <c r="F23">
        <f t="shared" si="0"/>
        <v>0</v>
      </c>
      <c r="G23">
        <f>INDEX('Thang 05-2026'!$A$3:$C$102,MATCH(A23,'Thang 05-2026'!$A$3:$A$102,0),3)</f>
        <v>26</v>
      </c>
    </row>
    <row r="24" spans="1:7" x14ac:dyDescent="0.2">
      <c r="A24" t="s">
        <v>107</v>
      </c>
      <c r="B24" t="s">
        <v>118</v>
      </c>
      <c r="C24">
        <v>1</v>
      </c>
      <c r="D24">
        <f t="array" ref="D24">IF(AND(INDEX('Thang 05-2026'!$A$3:$Q$102,MATCH(1,($A24='Thang 05-2026'!$A$3:$A$102)*($G24='Thang 05-2026'!$C$3:$C$102),0),11)=1,$B24="Triều Xuống"),1,IF(AND(INDEX('Thang 05-2026'!$A$3:$Q$102,MATCH(1,($A24='Thang 05-2026'!$A$3:$A$102)*($G24='Thang 05-2026'!$C$3:$C$102),0),10)=1,$B24="Triều Lên",INDEX('Thang 05-2026'!$A$3:$Q$102,MATCH(1,($A24='Thang 05-2026'!$A$3:$A$102)*($G24='Thang 05-2026'!$C$3:$C$102),0),11)=0),1,0))</f>
        <v>0</v>
      </c>
      <c r="E24">
        <f t="array" ref="E24">IF(AND(INDEX('Thang 05-2026'!$A$3:$Q$102,MATCH(1,($A24='Thang 05-2026'!$A$3:$A$102)*($G24='Thang 05-2026'!$C$3:$C$102),0),15)=1,$B24="Triều Xuống"),1,IF(AND(INDEX('Thang 05-2026'!$A$3:$Q$102,MATCH(1,($A24='Thang 05-2026'!$A$3:$A$102)*($G24='Thang 05-2026'!$C$3:$C$102),0),14)=1,$B24="Triều Lên",INDEX('Thang 05-2026'!$A$3:$Q$102,MATCH(1,($A24='Thang 05-2026'!$A$3:$A$102)*($G24='Thang 05-2026'!$C$3:$C$102),0),15)=0),1,0))</f>
        <v>0</v>
      </c>
      <c r="F24">
        <f t="shared" si="0"/>
        <v>0</v>
      </c>
      <c r="G24">
        <f>INDEX('Thang 05-2026'!$A$3:$C$102,MATCH(A24,'Thang 05-2026'!$A$3:$A$102,0),3)</f>
        <v>27</v>
      </c>
    </row>
    <row r="25" spans="1:7" x14ac:dyDescent="0.2">
      <c r="A25" t="s">
        <v>108</v>
      </c>
      <c r="B25" t="s">
        <v>118</v>
      </c>
      <c r="C25">
        <v>1</v>
      </c>
      <c r="D25">
        <f t="array" ref="D25">IF(AND(INDEX('Thang 05-2026'!$A$3:$Q$102,MATCH(1,($A25='Thang 05-2026'!$A$3:$A$102)*($G25='Thang 05-2026'!$C$3:$C$102),0),11)=1,$B25="Triều Xuống"),1,IF(AND(INDEX('Thang 05-2026'!$A$3:$Q$102,MATCH(1,($A25='Thang 05-2026'!$A$3:$A$102)*($G25='Thang 05-2026'!$C$3:$C$102),0),10)=1,$B25="Triều Lên",INDEX('Thang 05-2026'!$A$3:$Q$102,MATCH(1,($A25='Thang 05-2026'!$A$3:$A$102)*($G25='Thang 05-2026'!$C$3:$C$102),0),11)=0),1,0))</f>
        <v>0</v>
      </c>
      <c r="E25">
        <f t="array" ref="E25">IF(AND(INDEX('Thang 05-2026'!$A$3:$Q$102,MATCH(1,($A25='Thang 05-2026'!$A$3:$A$102)*($G25='Thang 05-2026'!$C$3:$C$102),0),15)=1,$B25="Triều Xuống"),1,IF(AND(INDEX('Thang 05-2026'!$A$3:$Q$102,MATCH(1,($A25='Thang 05-2026'!$A$3:$A$102)*($G25='Thang 05-2026'!$C$3:$C$102),0),14)=1,$B25="Triều Lên",INDEX('Thang 05-2026'!$A$3:$Q$102,MATCH(1,($A25='Thang 05-2026'!$A$3:$A$102)*($G25='Thang 05-2026'!$C$3:$C$102),0),15)=0),1,0))</f>
        <v>0</v>
      </c>
      <c r="F25">
        <f t="shared" si="0"/>
        <v>0</v>
      </c>
      <c r="G25">
        <f>INDEX('Thang 05-2026'!$A$3:$C$102,MATCH(A25,'Thang 05-2026'!$A$3:$A$102,0),3)</f>
        <v>27</v>
      </c>
    </row>
    <row r="26" spans="1:7" x14ac:dyDescent="0.2">
      <c r="A26" t="s">
        <v>109</v>
      </c>
      <c r="B26" t="s">
        <v>118</v>
      </c>
      <c r="C26">
        <v>1</v>
      </c>
      <c r="D26">
        <f t="array" ref="D26">IF(AND(INDEX('Thang 05-2026'!$A$3:$Q$102,MATCH(1,($A26='Thang 05-2026'!$A$3:$A$102)*($G26='Thang 05-2026'!$C$3:$C$102),0),11)=1,$B26="Triều Xuống"),1,IF(AND(INDEX('Thang 05-2026'!$A$3:$Q$102,MATCH(1,($A26='Thang 05-2026'!$A$3:$A$102)*($G26='Thang 05-2026'!$C$3:$C$102),0),10)=1,$B26="Triều Lên",INDEX('Thang 05-2026'!$A$3:$Q$102,MATCH(1,($A26='Thang 05-2026'!$A$3:$A$102)*($G26='Thang 05-2026'!$C$3:$C$102),0),11)=0),1,0))</f>
        <v>0</v>
      </c>
      <c r="E26">
        <f t="array" ref="E26">IF(AND(INDEX('Thang 05-2026'!$A$3:$Q$102,MATCH(1,($A26='Thang 05-2026'!$A$3:$A$102)*($G26='Thang 05-2026'!$C$3:$C$102),0),15)=1,$B26="Triều Xuống"),1,IF(AND(INDEX('Thang 05-2026'!$A$3:$Q$102,MATCH(1,($A26='Thang 05-2026'!$A$3:$A$102)*($G26='Thang 05-2026'!$C$3:$C$102),0),14)=1,$B26="Triều Lên",INDEX('Thang 05-2026'!$A$3:$Q$102,MATCH(1,($A26='Thang 05-2026'!$A$3:$A$102)*($G26='Thang 05-2026'!$C$3:$C$102),0),15)=0),1,0))</f>
        <v>0</v>
      </c>
      <c r="F26">
        <f t="shared" si="0"/>
        <v>0</v>
      </c>
      <c r="G26">
        <f>INDEX('Thang 05-2026'!$A$3:$C$102,MATCH(A26,'Thang 05-2026'!$A$3:$A$102,0),3)</f>
        <v>27</v>
      </c>
    </row>
    <row r="27" spans="1:7" x14ac:dyDescent="0.2">
      <c r="A27" t="s">
        <v>107</v>
      </c>
      <c r="B27" t="s">
        <v>121</v>
      </c>
      <c r="C27">
        <v>1</v>
      </c>
      <c r="D27">
        <f t="array" ref="D27">IF(AND(INDEX('Thang 05-2026'!$A$3:$Q$102,MATCH(1,($A27='Thang 05-2026'!$A$3:$A$102)*($G27='Thang 05-2026'!$C$3:$C$102),0),11)=1,$B27="Triều Xuống"),1,IF(AND(INDEX('Thang 05-2026'!$A$3:$Q$102,MATCH(1,($A27='Thang 05-2026'!$A$3:$A$102)*($G27='Thang 05-2026'!$C$3:$C$102),0),10)=1,$B27="Triều Lên",INDEX('Thang 05-2026'!$A$3:$Q$102,MATCH(1,($A27='Thang 05-2026'!$A$3:$A$102)*($G27='Thang 05-2026'!$C$3:$C$102),0),11)=0),1,0))</f>
        <v>0</v>
      </c>
      <c r="E27">
        <f t="array" ref="E27">IF(AND(INDEX('Thang 05-2026'!$A$3:$Q$102,MATCH(1,($A27='Thang 05-2026'!$A$3:$A$102)*($G27='Thang 05-2026'!$C$3:$C$102),0),15)=1,$B27="Triều Xuống"),1,IF(AND(INDEX('Thang 05-2026'!$A$3:$Q$102,MATCH(1,($A27='Thang 05-2026'!$A$3:$A$102)*($G27='Thang 05-2026'!$C$3:$C$102),0),14)=1,$B27="Triều Lên",INDEX('Thang 05-2026'!$A$3:$Q$102,MATCH(1,($A27='Thang 05-2026'!$A$3:$A$102)*($G27='Thang 05-2026'!$C$3:$C$102),0),15)=0),1,0))</f>
        <v>0</v>
      </c>
      <c r="F27">
        <f t="shared" si="0"/>
        <v>0</v>
      </c>
      <c r="G27">
        <f>INDEX('Thang 05-2026'!$A$3:$C$102,MATCH(A27,'Thang 05-2026'!$A$3:$A$102,0),3)</f>
        <v>27</v>
      </c>
    </row>
    <row r="28" spans="1:7" x14ac:dyDescent="0.2">
      <c r="A28" t="s">
        <v>108</v>
      </c>
      <c r="B28" t="s">
        <v>121</v>
      </c>
      <c r="C28">
        <v>1</v>
      </c>
      <c r="D28">
        <f t="array" ref="D28">IF(AND(INDEX('Thang 05-2026'!$A$3:$Q$102,MATCH(1,($A28='Thang 05-2026'!$A$3:$A$102)*($G28='Thang 05-2026'!$C$3:$C$102),0),11)=1,$B28="Triều Xuống"),1,IF(AND(INDEX('Thang 05-2026'!$A$3:$Q$102,MATCH(1,($A28='Thang 05-2026'!$A$3:$A$102)*($G28='Thang 05-2026'!$C$3:$C$102),0),10)=1,$B28="Triều Lên",INDEX('Thang 05-2026'!$A$3:$Q$102,MATCH(1,($A28='Thang 05-2026'!$A$3:$A$102)*($G28='Thang 05-2026'!$C$3:$C$102),0),11)=0),1,0))</f>
        <v>0</v>
      </c>
      <c r="E28">
        <f t="array" ref="E28">IF(AND(INDEX('Thang 05-2026'!$A$3:$Q$102,MATCH(1,($A28='Thang 05-2026'!$A$3:$A$102)*($G28='Thang 05-2026'!$C$3:$C$102),0),15)=1,$B28="Triều Xuống"),1,IF(AND(INDEX('Thang 05-2026'!$A$3:$Q$102,MATCH(1,($A28='Thang 05-2026'!$A$3:$A$102)*($G28='Thang 05-2026'!$C$3:$C$102),0),14)=1,$B28="Triều Lên",INDEX('Thang 05-2026'!$A$3:$Q$102,MATCH(1,($A28='Thang 05-2026'!$A$3:$A$102)*($G28='Thang 05-2026'!$C$3:$C$102),0),15)=0),1,0))</f>
        <v>0</v>
      </c>
      <c r="F28">
        <f t="shared" si="0"/>
        <v>0</v>
      </c>
      <c r="G28">
        <f>INDEX('Thang 05-2026'!$A$3:$C$102,MATCH(A28,'Thang 05-2026'!$A$3:$A$102,0),3)</f>
        <v>27</v>
      </c>
    </row>
    <row r="29" spans="1:7" x14ac:dyDescent="0.2">
      <c r="A29" t="s">
        <v>109</v>
      </c>
      <c r="B29" t="s">
        <v>121</v>
      </c>
      <c r="C29">
        <v>1</v>
      </c>
      <c r="D29">
        <f t="array" ref="D29">IF(AND(INDEX('Thang 05-2026'!$A$3:$Q$102,MATCH(1,($A29='Thang 05-2026'!$A$3:$A$102)*($G29='Thang 05-2026'!$C$3:$C$102),0),11)=1,$B29="Triều Xuống"),1,IF(AND(INDEX('Thang 05-2026'!$A$3:$Q$102,MATCH(1,($A29='Thang 05-2026'!$A$3:$A$102)*($G29='Thang 05-2026'!$C$3:$C$102),0),10)=1,$B29="Triều Lên",INDEX('Thang 05-2026'!$A$3:$Q$102,MATCH(1,($A29='Thang 05-2026'!$A$3:$A$102)*($G29='Thang 05-2026'!$C$3:$C$102),0),11)=0),1,0))</f>
        <v>0</v>
      </c>
      <c r="E29">
        <f t="array" ref="E29">IF(AND(INDEX('Thang 05-2026'!$A$3:$Q$102,MATCH(1,($A29='Thang 05-2026'!$A$3:$A$102)*($G29='Thang 05-2026'!$C$3:$C$102),0),15)=1,$B29="Triều Xuống"),1,IF(AND(INDEX('Thang 05-2026'!$A$3:$Q$102,MATCH(1,($A29='Thang 05-2026'!$A$3:$A$102)*($G29='Thang 05-2026'!$C$3:$C$102),0),14)=1,$B29="Triều Lên",INDEX('Thang 05-2026'!$A$3:$Q$102,MATCH(1,($A29='Thang 05-2026'!$A$3:$A$102)*($G29='Thang 05-2026'!$C$3:$C$102),0),15)=0),1,0))</f>
        <v>0</v>
      </c>
      <c r="F29">
        <f t="shared" si="0"/>
        <v>0</v>
      </c>
      <c r="G29">
        <f>INDEX('Thang 05-2026'!$A$3:$C$102,MATCH(A29,'Thang 05-2026'!$A$3:$A$102,0),3)</f>
        <v>27</v>
      </c>
    </row>
  </sheetData>
  <autoFilter ref="A1:G1" xr:uid="{1FF83CD1-6B66-488C-B2E6-0B1BF6DB2AA2}">
    <sortState xmlns:xlrd2="http://schemas.microsoft.com/office/spreadsheetml/2017/richdata2" ref="A2:G29">
      <sortCondition ref="G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EF59-BF09-43AA-9A4B-EAC46696709B}">
  <dimension ref="A1:K181"/>
  <sheetViews>
    <sheetView topLeftCell="G141" workbookViewId="0">
      <selection activeCell="H160" sqref="H160"/>
    </sheetView>
  </sheetViews>
  <sheetFormatPr defaultRowHeight="14.25" x14ac:dyDescent="0.2"/>
  <cols>
    <col min="1" max="1" width="16.375" bestFit="1" customWidth="1"/>
    <col min="2" max="2" width="10.625" bestFit="1" customWidth="1"/>
    <col min="3" max="3" width="16.625" bestFit="1" customWidth="1"/>
    <col min="4" max="4" width="19.75" bestFit="1" customWidth="1"/>
    <col min="5" max="5" width="93.75" bestFit="1" customWidth="1"/>
    <col min="6" max="6" width="43.25" bestFit="1" customWidth="1"/>
    <col min="7" max="7" width="27.875" bestFit="1" customWidth="1"/>
    <col min="8" max="8" width="51.125" bestFit="1" customWidth="1"/>
    <col min="9" max="9" width="52.875" bestFit="1" customWidth="1"/>
    <col min="10" max="10" width="52.625" bestFit="1" customWidth="1"/>
    <col min="11" max="11" width="48.5" bestFit="1" customWidth="1"/>
  </cols>
  <sheetData>
    <row r="1" spans="1:11" x14ac:dyDescent="0.2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</row>
    <row r="2" spans="1:11" x14ac:dyDescent="0.2">
      <c r="A2" t="s">
        <v>45</v>
      </c>
      <c r="B2" t="s">
        <v>118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</row>
    <row r="3" spans="1:11" x14ac:dyDescent="0.2">
      <c r="A3" t="s">
        <v>47</v>
      </c>
      <c r="B3" t="s">
        <v>118</v>
      </c>
      <c r="C3" t="s">
        <v>153</v>
      </c>
      <c r="D3" t="s">
        <v>154</v>
      </c>
      <c r="E3" t="s">
        <v>155</v>
      </c>
      <c r="F3" t="s">
        <v>156</v>
      </c>
      <c r="G3" t="s">
        <v>157</v>
      </c>
      <c r="H3" t="s">
        <v>158</v>
      </c>
      <c r="I3" t="s">
        <v>159</v>
      </c>
      <c r="J3" t="s">
        <v>160</v>
      </c>
      <c r="K3" t="s">
        <v>161</v>
      </c>
    </row>
    <row r="4" spans="1:11" x14ac:dyDescent="0.2">
      <c r="A4" t="s">
        <v>48</v>
      </c>
      <c r="B4" t="s">
        <v>118</v>
      </c>
      <c r="C4" t="s">
        <v>162</v>
      </c>
      <c r="D4" t="s">
        <v>163</v>
      </c>
      <c r="E4" t="s">
        <v>164</v>
      </c>
      <c r="F4" t="s">
        <v>165</v>
      </c>
      <c r="G4" t="s">
        <v>166</v>
      </c>
      <c r="H4" t="s">
        <v>167</v>
      </c>
      <c r="I4" t="s">
        <v>168</v>
      </c>
      <c r="J4" t="s">
        <v>169</v>
      </c>
      <c r="K4" t="s">
        <v>170</v>
      </c>
    </row>
    <row r="5" spans="1:11" x14ac:dyDescent="0.2">
      <c r="A5" t="s">
        <v>49</v>
      </c>
      <c r="B5" t="s">
        <v>118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176</v>
      </c>
      <c r="I5" t="s">
        <v>177</v>
      </c>
      <c r="J5" t="s">
        <v>178</v>
      </c>
      <c r="K5" t="s">
        <v>179</v>
      </c>
    </row>
    <row r="6" spans="1:11" x14ac:dyDescent="0.2">
      <c r="A6" t="s">
        <v>53</v>
      </c>
      <c r="B6" t="s">
        <v>118</v>
      </c>
      <c r="C6" t="s">
        <v>180</v>
      </c>
      <c r="D6" t="s">
        <v>181</v>
      </c>
      <c r="E6" t="s">
        <v>182</v>
      </c>
      <c r="F6" t="s">
        <v>183</v>
      </c>
      <c r="G6" t="s">
        <v>184</v>
      </c>
      <c r="H6" t="s">
        <v>185</v>
      </c>
      <c r="I6" t="s">
        <v>186</v>
      </c>
      <c r="J6" t="s">
        <v>187</v>
      </c>
      <c r="K6" t="s">
        <v>188</v>
      </c>
    </row>
    <row r="7" spans="1:11" x14ac:dyDescent="0.2">
      <c r="A7" t="s">
        <v>51</v>
      </c>
      <c r="B7" t="s">
        <v>118</v>
      </c>
      <c r="C7" t="s">
        <v>189</v>
      </c>
      <c r="D7" t="s">
        <v>190</v>
      </c>
      <c r="E7" t="s">
        <v>191</v>
      </c>
      <c r="F7" t="s">
        <v>192</v>
      </c>
      <c r="G7" t="s">
        <v>193</v>
      </c>
      <c r="H7" t="s">
        <v>194</v>
      </c>
      <c r="I7" t="s">
        <v>195</v>
      </c>
      <c r="J7" t="s">
        <v>196</v>
      </c>
      <c r="K7" t="s">
        <v>197</v>
      </c>
    </row>
    <row r="8" spans="1:11" x14ac:dyDescent="0.2">
      <c r="A8" t="s">
        <v>52</v>
      </c>
      <c r="B8" t="s">
        <v>118</v>
      </c>
      <c r="C8" t="s">
        <v>198</v>
      </c>
      <c r="D8" t="s">
        <v>199</v>
      </c>
      <c r="E8" t="s">
        <v>200</v>
      </c>
      <c r="F8" t="s">
        <v>201</v>
      </c>
      <c r="G8" t="s">
        <v>202</v>
      </c>
      <c r="H8" t="s">
        <v>203</v>
      </c>
      <c r="I8" t="s">
        <v>204</v>
      </c>
      <c r="J8" t="s">
        <v>205</v>
      </c>
      <c r="K8" t="s">
        <v>206</v>
      </c>
    </row>
    <row r="9" spans="1:11" x14ac:dyDescent="0.2">
      <c r="A9" t="s">
        <v>50</v>
      </c>
      <c r="B9" t="s">
        <v>118</v>
      </c>
      <c r="C9" t="s">
        <v>207</v>
      </c>
      <c r="D9" t="s">
        <v>208</v>
      </c>
      <c r="E9" t="s">
        <v>209</v>
      </c>
      <c r="F9" t="s">
        <v>210</v>
      </c>
      <c r="G9" t="s">
        <v>211</v>
      </c>
      <c r="H9" t="s">
        <v>212</v>
      </c>
      <c r="I9" t="s">
        <v>213</v>
      </c>
      <c r="J9" t="s">
        <v>214</v>
      </c>
      <c r="K9" t="s">
        <v>215</v>
      </c>
    </row>
    <row r="10" spans="1:11" x14ac:dyDescent="0.2">
      <c r="A10" t="s">
        <v>54</v>
      </c>
      <c r="B10" t="s">
        <v>118</v>
      </c>
      <c r="C10" t="s">
        <v>216</v>
      </c>
      <c r="D10" t="s">
        <v>217</v>
      </c>
      <c r="E10" t="s">
        <v>218</v>
      </c>
      <c r="F10" t="s">
        <v>219</v>
      </c>
      <c r="G10" t="s">
        <v>220</v>
      </c>
      <c r="H10" t="s">
        <v>221</v>
      </c>
      <c r="I10" t="s">
        <v>222</v>
      </c>
      <c r="J10" t="s">
        <v>223</v>
      </c>
      <c r="K10" t="s">
        <v>224</v>
      </c>
    </row>
    <row r="11" spans="1:11" x14ac:dyDescent="0.2">
      <c r="A11" t="s">
        <v>55</v>
      </c>
      <c r="B11" t="s">
        <v>118</v>
      </c>
      <c r="C11" t="s">
        <v>225</v>
      </c>
      <c r="D11" t="s">
        <v>226</v>
      </c>
      <c r="E11" t="s">
        <v>227</v>
      </c>
      <c r="F11" t="s">
        <v>228</v>
      </c>
      <c r="G11" t="s">
        <v>229</v>
      </c>
      <c r="H11" t="s">
        <v>230</v>
      </c>
      <c r="I11" t="s">
        <v>231</v>
      </c>
      <c r="J11" t="s">
        <v>232</v>
      </c>
      <c r="K11" t="s">
        <v>233</v>
      </c>
    </row>
    <row r="12" spans="1:11" x14ac:dyDescent="0.2">
      <c r="A12" t="s">
        <v>45</v>
      </c>
      <c r="B12" t="s">
        <v>121</v>
      </c>
      <c r="C12" t="s">
        <v>144</v>
      </c>
      <c r="D12" t="s">
        <v>234</v>
      </c>
      <c r="E12" t="s">
        <v>146</v>
      </c>
      <c r="F12" t="s">
        <v>235</v>
      </c>
      <c r="G12" t="s">
        <v>236</v>
      </c>
      <c r="H12" t="s">
        <v>237</v>
      </c>
      <c r="I12" t="s">
        <v>238</v>
      </c>
      <c r="J12" t="s">
        <v>239</v>
      </c>
      <c r="K12" t="s">
        <v>240</v>
      </c>
    </row>
    <row r="13" spans="1:11" x14ac:dyDescent="0.2">
      <c r="A13" t="s">
        <v>47</v>
      </c>
      <c r="B13" t="s">
        <v>121</v>
      </c>
      <c r="C13" t="s">
        <v>153</v>
      </c>
      <c r="D13" t="s">
        <v>241</v>
      </c>
      <c r="E13" t="s">
        <v>155</v>
      </c>
      <c r="F13" t="s">
        <v>242</v>
      </c>
      <c r="G13" t="s">
        <v>243</v>
      </c>
      <c r="H13" t="s">
        <v>244</v>
      </c>
      <c r="I13" t="s">
        <v>245</v>
      </c>
      <c r="J13" t="s">
        <v>246</v>
      </c>
      <c r="K13" t="s">
        <v>247</v>
      </c>
    </row>
    <row r="14" spans="1:11" x14ac:dyDescent="0.2">
      <c r="A14" t="s">
        <v>48</v>
      </c>
      <c r="B14" t="s">
        <v>121</v>
      </c>
      <c r="C14" t="s">
        <v>162</v>
      </c>
      <c r="D14" t="s">
        <v>248</v>
      </c>
      <c r="E14" t="s">
        <v>164</v>
      </c>
      <c r="F14" t="s">
        <v>249</v>
      </c>
      <c r="G14" t="s">
        <v>250</v>
      </c>
      <c r="H14" t="s">
        <v>251</v>
      </c>
      <c r="I14" t="s">
        <v>252</v>
      </c>
      <c r="J14" t="s">
        <v>253</v>
      </c>
      <c r="K14" t="s">
        <v>254</v>
      </c>
    </row>
    <row r="15" spans="1:11" x14ac:dyDescent="0.2">
      <c r="A15" t="s">
        <v>49</v>
      </c>
      <c r="B15" t="s">
        <v>121</v>
      </c>
      <c r="C15" t="s">
        <v>171</v>
      </c>
      <c r="D15" t="s">
        <v>255</v>
      </c>
      <c r="E15" t="s">
        <v>173</v>
      </c>
      <c r="F15" t="s">
        <v>256</v>
      </c>
      <c r="G15" t="s">
        <v>257</v>
      </c>
      <c r="H15" t="s">
        <v>258</v>
      </c>
      <c r="I15" t="s">
        <v>259</v>
      </c>
      <c r="J15" t="s">
        <v>260</v>
      </c>
      <c r="K15" t="s">
        <v>261</v>
      </c>
    </row>
    <row r="16" spans="1:11" x14ac:dyDescent="0.2">
      <c r="A16" t="s">
        <v>53</v>
      </c>
      <c r="B16" t="s">
        <v>121</v>
      </c>
      <c r="C16" t="s">
        <v>180</v>
      </c>
      <c r="D16" t="s">
        <v>262</v>
      </c>
      <c r="E16" t="s">
        <v>182</v>
      </c>
      <c r="F16" t="s">
        <v>263</v>
      </c>
      <c r="G16" t="s">
        <v>264</v>
      </c>
      <c r="H16" t="s">
        <v>265</v>
      </c>
      <c r="I16" t="s">
        <v>266</v>
      </c>
      <c r="J16" t="s">
        <v>267</v>
      </c>
      <c r="K16" t="s">
        <v>268</v>
      </c>
    </row>
    <row r="17" spans="1:11" x14ac:dyDescent="0.2">
      <c r="A17" t="s">
        <v>51</v>
      </c>
      <c r="B17" t="s">
        <v>121</v>
      </c>
      <c r="C17" t="s">
        <v>189</v>
      </c>
      <c r="D17" t="s">
        <v>269</v>
      </c>
      <c r="E17" t="s">
        <v>191</v>
      </c>
      <c r="F17" t="s">
        <v>270</v>
      </c>
      <c r="G17" t="s">
        <v>271</v>
      </c>
      <c r="H17" t="s">
        <v>272</v>
      </c>
      <c r="I17" t="s">
        <v>273</v>
      </c>
      <c r="J17" t="s">
        <v>274</v>
      </c>
      <c r="K17" t="s">
        <v>275</v>
      </c>
    </row>
    <row r="18" spans="1:11" x14ac:dyDescent="0.2">
      <c r="A18" t="s">
        <v>52</v>
      </c>
      <c r="B18" t="s">
        <v>121</v>
      </c>
      <c r="C18" t="s">
        <v>198</v>
      </c>
      <c r="D18" t="s">
        <v>276</v>
      </c>
      <c r="E18" t="s">
        <v>200</v>
      </c>
      <c r="F18" t="s">
        <v>277</v>
      </c>
      <c r="G18" t="s">
        <v>278</v>
      </c>
      <c r="H18" t="s">
        <v>279</v>
      </c>
      <c r="I18" t="s">
        <v>280</v>
      </c>
      <c r="J18" t="s">
        <v>281</v>
      </c>
      <c r="K18" t="s">
        <v>282</v>
      </c>
    </row>
    <row r="19" spans="1:11" x14ac:dyDescent="0.2">
      <c r="A19" t="s">
        <v>50</v>
      </c>
      <c r="B19" t="s">
        <v>121</v>
      </c>
      <c r="C19" t="s">
        <v>207</v>
      </c>
      <c r="D19" t="s">
        <v>283</v>
      </c>
      <c r="E19" t="s">
        <v>209</v>
      </c>
      <c r="F19" t="s">
        <v>284</v>
      </c>
      <c r="G19" t="s">
        <v>285</v>
      </c>
      <c r="H19" t="s">
        <v>286</v>
      </c>
      <c r="I19" t="s">
        <v>287</v>
      </c>
      <c r="J19" t="s">
        <v>288</v>
      </c>
      <c r="K19" t="s">
        <v>289</v>
      </c>
    </row>
    <row r="20" spans="1:11" x14ac:dyDescent="0.2">
      <c r="A20" t="s">
        <v>54</v>
      </c>
      <c r="B20" t="s">
        <v>121</v>
      </c>
      <c r="C20" t="s">
        <v>216</v>
      </c>
      <c r="D20" t="s">
        <v>290</v>
      </c>
      <c r="E20" t="s">
        <v>218</v>
      </c>
      <c r="F20" t="s">
        <v>291</v>
      </c>
      <c r="G20" t="s">
        <v>292</v>
      </c>
      <c r="H20" t="s">
        <v>293</v>
      </c>
      <c r="I20" t="s">
        <v>294</v>
      </c>
      <c r="J20" t="s">
        <v>295</v>
      </c>
      <c r="K20" t="s">
        <v>296</v>
      </c>
    </row>
    <row r="21" spans="1:11" x14ac:dyDescent="0.2">
      <c r="A21" t="s">
        <v>55</v>
      </c>
      <c r="B21" t="s">
        <v>121</v>
      </c>
      <c r="C21" t="s">
        <v>225</v>
      </c>
      <c r="D21" t="s">
        <v>297</v>
      </c>
      <c r="E21" t="s">
        <v>227</v>
      </c>
      <c r="F21" t="s">
        <v>298</v>
      </c>
      <c r="G21" t="s">
        <v>299</v>
      </c>
      <c r="H21" t="s">
        <v>300</v>
      </c>
      <c r="I21" t="s">
        <v>301</v>
      </c>
      <c r="J21" t="s">
        <v>302</v>
      </c>
      <c r="K21" t="s">
        <v>303</v>
      </c>
    </row>
    <row r="22" spans="1:11" x14ac:dyDescent="0.2">
      <c r="A22" t="s">
        <v>117</v>
      </c>
      <c r="B22" t="s">
        <v>304</v>
      </c>
      <c r="C22" t="s">
        <v>305</v>
      </c>
      <c r="D22" t="s">
        <v>306</v>
      </c>
      <c r="E22" t="s">
        <v>307</v>
      </c>
      <c r="F22" t="s">
        <v>308</v>
      </c>
      <c r="G22" t="s">
        <v>309</v>
      </c>
      <c r="H22" t="s">
        <v>310</v>
      </c>
      <c r="I22" t="s">
        <v>311</v>
      </c>
      <c r="J22" t="s">
        <v>312</v>
      </c>
      <c r="K22" t="s">
        <v>313</v>
      </c>
    </row>
    <row r="23" spans="1:11" x14ac:dyDescent="0.2">
      <c r="A23" t="s">
        <v>119</v>
      </c>
      <c r="B23" t="s">
        <v>304</v>
      </c>
      <c r="C23" t="s">
        <v>314</v>
      </c>
      <c r="D23" t="s">
        <v>315</v>
      </c>
      <c r="E23" t="s">
        <v>316</v>
      </c>
      <c r="F23" t="s">
        <v>317</v>
      </c>
      <c r="G23" t="s">
        <v>318</v>
      </c>
      <c r="H23" t="s">
        <v>319</v>
      </c>
      <c r="I23" t="s">
        <v>320</v>
      </c>
      <c r="J23" t="s">
        <v>321</v>
      </c>
      <c r="K23" t="s">
        <v>322</v>
      </c>
    </row>
    <row r="24" spans="1:11" x14ac:dyDescent="0.2">
      <c r="A24" t="s">
        <v>15</v>
      </c>
      <c r="B24" t="s">
        <v>118</v>
      </c>
      <c r="C24" t="s">
        <v>323</v>
      </c>
      <c r="D24" t="s">
        <v>324</v>
      </c>
      <c r="E24" t="s">
        <v>325</v>
      </c>
      <c r="F24" t="s">
        <v>326</v>
      </c>
      <c r="G24" t="s">
        <v>327</v>
      </c>
      <c r="H24" t="s">
        <v>328</v>
      </c>
      <c r="I24" t="s">
        <v>329</v>
      </c>
      <c r="J24" t="s">
        <v>330</v>
      </c>
      <c r="K24" t="s">
        <v>331</v>
      </c>
    </row>
    <row r="25" spans="1:11" x14ac:dyDescent="0.2">
      <c r="A25" t="s">
        <v>120</v>
      </c>
      <c r="B25" t="s">
        <v>304</v>
      </c>
      <c r="C25" t="s">
        <v>332</v>
      </c>
      <c r="D25" t="s">
        <v>333</v>
      </c>
      <c r="E25" t="s">
        <v>334</v>
      </c>
      <c r="F25" t="s">
        <v>335</v>
      </c>
      <c r="G25" t="s">
        <v>336</v>
      </c>
      <c r="H25" t="s">
        <v>337</v>
      </c>
      <c r="I25" t="s">
        <v>338</v>
      </c>
      <c r="J25" t="s">
        <v>339</v>
      </c>
      <c r="K25" t="s">
        <v>340</v>
      </c>
    </row>
    <row r="26" spans="1:11" x14ac:dyDescent="0.2">
      <c r="A26" t="s">
        <v>122</v>
      </c>
      <c r="B26" t="s">
        <v>304</v>
      </c>
      <c r="C26" t="s">
        <v>341</v>
      </c>
      <c r="D26" t="s">
        <v>342</v>
      </c>
      <c r="E26" t="s">
        <v>343</v>
      </c>
      <c r="F26" t="s">
        <v>344</v>
      </c>
      <c r="G26" t="s">
        <v>345</v>
      </c>
      <c r="H26" t="s">
        <v>346</v>
      </c>
      <c r="I26" t="s">
        <v>347</v>
      </c>
      <c r="J26" t="s">
        <v>348</v>
      </c>
      <c r="K26" t="s">
        <v>349</v>
      </c>
    </row>
    <row r="27" spans="1:11" x14ac:dyDescent="0.2">
      <c r="A27" t="s">
        <v>123</v>
      </c>
      <c r="B27" t="s">
        <v>304</v>
      </c>
      <c r="C27" t="s">
        <v>350</v>
      </c>
      <c r="D27" t="s">
        <v>351</v>
      </c>
      <c r="E27" t="s">
        <v>352</v>
      </c>
      <c r="F27" t="s">
        <v>353</v>
      </c>
      <c r="G27" t="s">
        <v>354</v>
      </c>
      <c r="H27" t="s">
        <v>355</v>
      </c>
      <c r="I27" t="s">
        <v>356</v>
      </c>
      <c r="J27" t="s">
        <v>357</v>
      </c>
      <c r="K27" t="s">
        <v>358</v>
      </c>
    </row>
    <row r="28" spans="1:11" x14ac:dyDescent="0.2">
      <c r="A28" t="s">
        <v>124</v>
      </c>
      <c r="B28" t="s">
        <v>304</v>
      </c>
      <c r="C28" t="s">
        <v>359</v>
      </c>
      <c r="D28" t="s">
        <v>360</v>
      </c>
      <c r="E28" t="s">
        <v>361</v>
      </c>
      <c r="F28" t="s">
        <v>362</v>
      </c>
      <c r="G28" t="s">
        <v>363</v>
      </c>
      <c r="H28" t="s">
        <v>364</v>
      </c>
      <c r="I28" t="s">
        <v>365</v>
      </c>
      <c r="J28" t="s">
        <v>366</v>
      </c>
      <c r="K28" t="s">
        <v>367</v>
      </c>
    </row>
    <row r="29" spans="1:11" x14ac:dyDescent="0.2">
      <c r="A29" t="s">
        <v>16</v>
      </c>
      <c r="B29" t="s">
        <v>118</v>
      </c>
      <c r="C29" t="s">
        <v>368</v>
      </c>
      <c r="D29" t="s">
        <v>369</v>
      </c>
      <c r="E29" t="s">
        <v>370</v>
      </c>
      <c r="F29" t="s">
        <v>371</v>
      </c>
      <c r="G29" t="s">
        <v>372</v>
      </c>
      <c r="H29" t="s">
        <v>373</v>
      </c>
      <c r="I29" t="s">
        <v>374</v>
      </c>
      <c r="J29" t="s">
        <v>375</v>
      </c>
      <c r="K29" t="s">
        <v>376</v>
      </c>
    </row>
    <row r="30" spans="1:11" x14ac:dyDescent="0.2">
      <c r="A30" t="s">
        <v>117</v>
      </c>
      <c r="B30" t="s">
        <v>377</v>
      </c>
      <c r="C30" t="s">
        <v>305</v>
      </c>
      <c r="D30" t="s">
        <v>378</v>
      </c>
      <c r="E30" t="s">
        <v>307</v>
      </c>
      <c r="F30" t="s">
        <v>379</v>
      </c>
      <c r="G30" t="s">
        <v>380</v>
      </c>
      <c r="H30" t="s">
        <v>381</v>
      </c>
      <c r="I30" t="s">
        <v>382</v>
      </c>
      <c r="J30" t="s">
        <v>383</v>
      </c>
      <c r="K30" t="s">
        <v>384</v>
      </c>
    </row>
    <row r="31" spans="1:11" x14ac:dyDescent="0.2">
      <c r="A31" t="s">
        <v>119</v>
      </c>
      <c r="B31" t="s">
        <v>377</v>
      </c>
      <c r="C31" t="s">
        <v>314</v>
      </c>
      <c r="D31" t="s">
        <v>385</v>
      </c>
      <c r="E31" t="s">
        <v>316</v>
      </c>
      <c r="F31" t="s">
        <v>386</v>
      </c>
      <c r="G31" t="s">
        <v>387</v>
      </c>
      <c r="H31" t="s">
        <v>388</v>
      </c>
      <c r="I31" t="s">
        <v>389</v>
      </c>
      <c r="J31" t="s">
        <v>390</v>
      </c>
      <c r="K31" t="s">
        <v>391</v>
      </c>
    </row>
    <row r="32" spans="1:11" x14ac:dyDescent="0.2">
      <c r="A32" t="s">
        <v>15</v>
      </c>
      <c r="B32" t="s">
        <v>121</v>
      </c>
      <c r="C32" t="s">
        <v>323</v>
      </c>
      <c r="D32" t="s">
        <v>392</v>
      </c>
      <c r="E32" t="s">
        <v>325</v>
      </c>
      <c r="F32" t="s">
        <v>393</v>
      </c>
      <c r="G32" t="s">
        <v>394</v>
      </c>
      <c r="H32" t="s">
        <v>395</v>
      </c>
      <c r="I32" t="s">
        <v>396</v>
      </c>
      <c r="J32" t="s">
        <v>397</v>
      </c>
      <c r="K32" t="s">
        <v>398</v>
      </c>
    </row>
    <row r="33" spans="1:11" x14ac:dyDescent="0.2">
      <c r="A33" t="s">
        <v>120</v>
      </c>
      <c r="B33" t="s">
        <v>377</v>
      </c>
      <c r="C33" t="s">
        <v>332</v>
      </c>
      <c r="D33" t="s">
        <v>399</v>
      </c>
      <c r="E33" t="s">
        <v>334</v>
      </c>
      <c r="F33" t="s">
        <v>400</v>
      </c>
      <c r="G33" t="s">
        <v>401</v>
      </c>
      <c r="H33" t="s">
        <v>402</v>
      </c>
      <c r="I33" t="s">
        <v>403</v>
      </c>
      <c r="J33" t="s">
        <v>404</v>
      </c>
      <c r="K33" t="s">
        <v>405</v>
      </c>
    </row>
    <row r="34" spans="1:11" x14ac:dyDescent="0.2">
      <c r="A34" t="s">
        <v>122</v>
      </c>
      <c r="B34" t="s">
        <v>377</v>
      </c>
      <c r="C34" t="s">
        <v>341</v>
      </c>
      <c r="D34" t="s">
        <v>406</v>
      </c>
      <c r="E34" t="s">
        <v>343</v>
      </c>
      <c r="F34" t="s">
        <v>407</v>
      </c>
      <c r="G34" t="s">
        <v>408</v>
      </c>
      <c r="H34" t="s">
        <v>409</v>
      </c>
      <c r="I34" t="s">
        <v>410</v>
      </c>
      <c r="J34" t="s">
        <v>411</v>
      </c>
      <c r="K34" t="s">
        <v>412</v>
      </c>
    </row>
    <row r="35" spans="1:11" x14ac:dyDescent="0.2">
      <c r="A35" t="s">
        <v>123</v>
      </c>
      <c r="B35" t="s">
        <v>377</v>
      </c>
      <c r="C35" t="s">
        <v>350</v>
      </c>
      <c r="D35" t="s">
        <v>413</v>
      </c>
      <c r="E35" t="s">
        <v>352</v>
      </c>
      <c r="F35" t="s">
        <v>414</v>
      </c>
      <c r="G35" t="s">
        <v>415</v>
      </c>
      <c r="H35" t="s">
        <v>416</v>
      </c>
      <c r="I35" t="s">
        <v>417</v>
      </c>
      <c r="J35" t="s">
        <v>418</v>
      </c>
      <c r="K35" t="s">
        <v>419</v>
      </c>
    </row>
    <row r="36" spans="1:11" x14ac:dyDescent="0.2">
      <c r="A36" t="s">
        <v>124</v>
      </c>
      <c r="B36" t="s">
        <v>377</v>
      </c>
      <c r="C36" t="s">
        <v>359</v>
      </c>
      <c r="D36" t="s">
        <v>420</v>
      </c>
      <c r="E36" t="s">
        <v>361</v>
      </c>
      <c r="F36" t="s">
        <v>421</v>
      </c>
      <c r="G36" t="s">
        <v>422</v>
      </c>
      <c r="H36" t="s">
        <v>423</v>
      </c>
      <c r="I36" t="s">
        <v>424</v>
      </c>
      <c r="J36" t="s">
        <v>425</v>
      </c>
      <c r="K36" t="s">
        <v>426</v>
      </c>
    </row>
    <row r="37" spans="1:11" x14ac:dyDescent="0.2">
      <c r="A37" t="s">
        <v>16</v>
      </c>
      <c r="B37" t="s">
        <v>121</v>
      </c>
      <c r="C37" t="s">
        <v>368</v>
      </c>
      <c r="D37" t="s">
        <v>427</v>
      </c>
      <c r="E37" t="s">
        <v>370</v>
      </c>
      <c r="F37" t="s">
        <v>428</v>
      </c>
      <c r="G37" t="s">
        <v>429</v>
      </c>
      <c r="H37" t="s">
        <v>430</v>
      </c>
      <c r="I37" t="s">
        <v>431</v>
      </c>
      <c r="J37" t="s">
        <v>432</v>
      </c>
      <c r="K37" t="s">
        <v>433</v>
      </c>
    </row>
    <row r="38" spans="1:11" x14ac:dyDescent="0.2">
      <c r="A38" t="s">
        <v>25</v>
      </c>
      <c r="B38" t="s">
        <v>118</v>
      </c>
      <c r="C38" t="s">
        <v>434</v>
      </c>
      <c r="D38" t="s">
        <v>435</v>
      </c>
      <c r="E38" t="s">
        <v>436</v>
      </c>
      <c r="F38" t="s">
        <v>437</v>
      </c>
      <c r="G38" t="s">
        <v>438</v>
      </c>
      <c r="H38" t="s">
        <v>439</v>
      </c>
      <c r="I38" t="s">
        <v>440</v>
      </c>
      <c r="J38" t="s">
        <v>441</v>
      </c>
      <c r="K38" t="s">
        <v>442</v>
      </c>
    </row>
    <row r="39" spans="1:11" x14ac:dyDescent="0.2">
      <c r="A39" t="s">
        <v>27</v>
      </c>
      <c r="B39" t="s">
        <v>118</v>
      </c>
      <c r="C39" t="s">
        <v>443</v>
      </c>
      <c r="D39" t="s">
        <v>444</v>
      </c>
      <c r="E39" t="s">
        <v>445</v>
      </c>
      <c r="F39" t="s">
        <v>446</v>
      </c>
      <c r="G39" t="s">
        <v>447</v>
      </c>
      <c r="H39" t="s">
        <v>448</v>
      </c>
      <c r="I39" t="s">
        <v>449</v>
      </c>
      <c r="J39" t="s">
        <v>450</v>
      </c>
      <c r="K39" t="s">
        <v>451</v>
      </c>
    </row>
    <row r="40" spans="1:11" x14ac:dyDescent="0.2">
      <c r="A40" t="s">
        <v>28</v>
      </c>
      <c r="B40" t="s">
        <v>118</v>
      </c>
      <c r="C40" t="s">
        <v>452</v>
      </c>
      <c r="D40" t="s">
        <v>453</v>
      </c>
      <c r="E40" t="s">
        <v>454</v>
      </c>
      <c r="F40" t="s">
        <v>455</v>
      </c>
      <c r="G40" t="s">
        <v>456</v>
      </c>
      <c r="H40" t="s">
        <v>457</v>
      </c>
      <c r="I40" t="s">
        <v>458</v>
      </c>
      <c r="J40" t="s">
        <v>459</v>
      </c>
      <c r="K40" t="s">
        <v>460</v>
      </c>
    </row>
    <row r="41" spans="1:11" x14ac:dyDescent="0.2">
      <c r="A41" t="s">
        <v>29</v>
      </c>
      <c r="B41" t="s">
        <v>118</v>
      </c>
      <c r="C41" t="s">
        <v>461</v>
      </c>
      <c r="D41" t="s">
        <v>462</v>
      </c>
      <c r="E41" t="s">
        <v>463</v>
      </c>
      <c r="F41" t="s">
        <v>464</v>
      </c>
      <c r="G41" t="s">
        <v>465</v>
      </c>
      <c r="H41" t="s">
        <v>466</v>
      </c>
      <c r="I41" t="s">
        <v>467</v>
      </c>
      <c r="J41" t="s">
        <v>468</v>
      </c>
      <c r="K41" t="s">
        <v>469</v>
      </c>
    </row>
    <row r="42" spans="1:11" x14ac:dyDescent="0.2">
      <c r="A42" t="s">
        <v>56</v>
      </c>
      <c r="B42" t="s">
        <v>118</v>
      </c>
      <c r="C42" t="s">
        <v>470</v>
      </c>
      <c r="D42" t="s">
        <v>471</v>
      </c>
      <c r="E42" t="s">
        <v>472</v>
      </c>
      <c r="F42" t="s">
        <v>473</v>
      </c>
      <c r="G42" t="s">
        <v>474</v>
      </c>
      <c r="H42" t="s">
        <v>475</v>
      </c>
      <c r="I42" t="s">
        <v>476</v>
      </c>
      <c r="J42" t="s">
        <v>477</v>
      </c>
      <c r="K42" t="s">
        <v>478</v>
      </c>
    </row>
    <row r="43" spans="1:11" x14ac:dyDescent="0.2">
      <c r="A43" t="s">
        <v>58</v>
      </c>
      <c r="B43" t="s">
        <v>118</v>
      </c>
      <c r="C43" t="s">
        <v>479</v>
      </c>
      <c r="D43" t="s">
        <v>480</v>
      </c>
      <c r="E43" t="s">
        <v>481</v>
      </c>
      <c r="F43" t="s">
        <v>482</v>
      </c>
      <c r="G43" t="s">
        <v>483</v>
      </c>
      <c r="H43" t="s">
        <v>484</v>
      </c>
      <c r="I43" t="s">
        <v>485</v>
      </c>
      <c r="J43" t="s">
        <v>486</v>
      </c>
      <c r="K43" t="s">
        <v>487</v>
      </c>
    </row>
    <row r="44" spans="1:11" x14ac:dyDescent="0.2">
      <c r="A44" t="s">
        <v>59</v>
      </c>
      <c r="B44" t="s">
        <v>118</v>
      </c>
      <c r="C44" t="s">
        <v>488</v>
      </c>
      <c r="D44" t="s">
        <v>489</v>
      </c>
      <c r="E44" t="s">
        <v>490</v>
      </c>
      <c r="F44" t="s">
        <v>491</v>
      </c>
      <c r="G44" t="s">
        <v>492</v>
      </c>
      <c r="H44" t="s">
        <v>493</v>
      </c>
      <c r="I44" t="s">
        <v>494</v>
      </c>
      <c r="J44" t="s">
        <v>495</v>
      </c>
      <c r="K44" t="s">
        <v>496</v>
      </c>
    </row>
    <row r="45" spans="1:11" x14ac:dyDescent="0.2">
      <c r="A45" t="s">
        <v>60</v>
      </c>
      <c r="B45" t="s">
        <v>118</v>
      </c>
      <c r="C45" t="s">
        <v>497</v>
      </c>
      <c r="D45" t="s">
        <v>498</v>
      </c>
      <c r="E45" t="s">
        <v>499</v>
      </c>
      <c r="F45" t="s">
        <v>500</v>
      </c>
      <c r="G45" t="s">
        <v>501</v>
      </c>
      <c r="H45" t="s">
        <v>502</v>
      </c>
      <c r="I45" t="s">
        <v>503</v>
      </c>
      <c r="J45" t="s">
        <v>504</v>
      </c>
      <c r="K45" t="s">
        <v>505</v>
      </c>
    </row>
    <row r="46" spans="1:11" x14ac:dyDescent="0.2">
      <c r="A46" t="s">
        <v>61</v>
      </c>
      <c r="B46" t="s">
        <v>118</v>
      </c>
      <c r="C46" t="s">
        <v>506</v>
      </c>
      <c r="D46" t="s">
        <v>507</v>
      </c>
      <c r="E46" t="s">
        <v>508</v>
      </c>
      <c r="F46" t="s">
        <v>509</v>
      </c>
      <c r="G46" t="s">
        <v>510</v>
      </c>
      <c r="H46" t="s">
        <v>511</v>
      </c>
      <c r="I46" t="s">
        <v>512</v>
      </c>
      <c r="J46" t="s">
        <v>513</v>
      </c>
      <c r="K46" t="s">
        <v>514</v>
      </c>
    </row>
    <row r="47" spans="1:11" x14ac:dyDescent="0.2">
      <c r="A47" t="s">
        <v>25</v>
      </c>
      <c r="B47" t="s">
        <v>121</v>
      </c>
      <c r="C47" t="s">
        <v>434</v>
      </c>
      <c r="D47" t="s">
        <v>515</v>
      </c>
      <c r="E47" t="s">
        <v>436</v>
      </c>
      <c r="F47" t="s">
        <v>516</v>
      </c>
      <c r="G47" t="s">
        <v>517</v>
      </c>
      <c r="H47" t="s">
        <v>518</v>
      </c>
      <c r="I47" t="s">
        <v>519</v>
      </c>
      <c r="J47" t="s">
        <v>520</v>
      </c>
      <c r="K47" t="s">
        <v>521</v>
      </c>
    </row>
    <row r="48" spans="1:11" x14ac:dyDescent="0.2">
      <c r="A48" t="s">
        <v>27</v>
      </c>
      <c r="B48" t="s">
        <v>121</v>
      </c>
      <c r="C48" t="s">
        <v>443</v>
      </c>
      <c r="D48" t="s">
        <v>522</v>
      </c>
      <c r="E48" t="s">
        <v>445</v>
      </c>
      <c r="F48" t="s">
        <v>523</v>
      </c>
      <c r="G48" t="s">
        <v>524</v>
      </c>
      <c r="H48" t="s">
        <v>525</v>
      </c>
      <c r="I48" t="s">
        <v>526</v>
      </c>
      <c r="J48" t="s">
        <v>527</v>
      </c>
      <c r="K48" t="s">
        <v>528</v>
      </c>
    </row>
    <row r="49" spans="1:11" x14ac:dyDescent="0.2">
      <c r="A49" t="s">
        <v>28</v>
      </c>
      <c r="B49" t="s">
        <v>121</v>
      </c>
      <c r="C49" t="s">
        <v>452</v>
      </c>
      <c r="D49" t="s">
        <v>529</v>
      </c>
      <c r="E49" t="s">
        <v>454</v>
      </c>
      <c r="F49" t="s">
        <v>530</v>
      </c>
      <c r="G49" t="s">
        <v>531</v>
      </c>
      <c r="H49" t="s">
        <v>532</v>
      </c>
      <c r="I49" t="s">
        <v>533</v>
      </c>
      <c r="J49" t="s">
        <v>534</v>
      </c>
      <c r="K49" t="s">
        <v>535</v>
      </c>
    </row>
    <row r="50" spans="1:11" x14ac:dyDescent="0.2">
      <c r="A50" t="s">
        <v>29</v>
      </c>
      <c r="B50" t="s">
        <v>121</v>
      </c>
      <c r="C50" t="s">
        <v>461</v>
      </c>
      <c r="D50" t="s">
        <v>536</v>
      </c>
      <c r="E50" t="s">
        <v>463</v>
      </c>
      <c r="F50" t="s">
        <v>537</v>
      </c>
      <c r="G50" t="s">
        <v>538</v>
      </c>
      <c r="H50" t="s">
        <v>539</v>
      </c>
      <c r="I50" t="s">
        <v>540</v>
      </c>
      <c r="J50" t="s">
        <v>541</v>
      </c>
      <c r="K50" t="s">
        <v>542</v>
      </c>
    </row>
    <row r="51" spans="1:11" x14ac:dyDescent="0.2">
      <c r="A51" t="s">
        <v>56</v>
      </c>
      <c r="B51" t="s">
        <v>121</v>
      </c>
      <c r="C51" t="s">
        <v>470</v>
      </c>
      <c r="D51" t="s">
        <v>543</v>
      </c>
      <c r="E51" t="s">
        <v>472</v>
      </c>
      <c r="F51" t="s">
        <v>544</v>
      </c>
      <c r="G51" t="s">
        <v>545</v>
      </c>
      <c r="H51" t="s">
        <v>546</v>
      </c>
      <c r="I51" t="s">
        <v>547</v>
      </c>
      <c r="J51" t="s">
        <v>548</v>
      </c>
      <c r="K51" t="s">
        <v>549</v>
      </c>
    </row>
    <row r="52" spans="1:11" x14ac:dyDescent="0.2">
      <c r="A52" t="s">
        <v>58</v>
      </c>
      <c r="B52" t="s">
        <v>121</v>
      </c>
      <c r="C52" t="s">
        <v>479</v>
      </c>
      <c r="D52" t="s">
        <v>550</v>
      </c>
      <c r="E52" t="s">
        <v>481</v>
      </c>
      <c r="F52" t="s">
        <v>551</v>
      </c>
      <c r="G52" t="s">
        <v>552</v>
      </c>
      <c r="H52" t="s">
        <v>553</v>
      </c>
      <c r="I52" t="s">
        <v>554</v>
      </c>
      <c r="J52" t="s">
        <v>555</v>
      </c>
      <c r="K52" t="s">
        <v>556</v>
      </c>
    </row>
    <row r="53" spans="1:11" x14ac:dyDescent="0.2">
      <c r="A53" t="s">
        <v>59</v>
      </c>
      <c r="B53" t="s">
        <v>121</v>
      </c>
      <c r="C53" t="s">
        <v>488</v>
      </c>
      <c r="D53" t="s">
        <v>557</v>
      </c>
      <c r="E53" t="s">
        <v>490</v>
      </c>
      <c r="F53" t="s">
        <v>558</v>
      </c>
      <c r="G53" t="s">
        <v>559</v>
      </c>
      <c r="H53" t="s">
        <v>560</v>
      </c>
      <c r="I53" t="s">
        <v>561</v>
      </c>
      <c r="J53" t="s">
        <v>562</v>
      </c>
      <c r="K53" t="s">
        <v>563</v>
      </c>
    </row>
    <row r="54" spans="1:11" x14ac:dyDescent="0.2">
      <c r="A54" t="s">
        <v>60</v>
      </c>
      <c r="B54" t="s">
        <v>121</v>
      </c>
      <c r="C54" t="s">
        <v>497</v>
      </c>
      <c r="D54" t="s">
        <v>564</v>
      </c>
      <c r="E54" t="s">
        <v>499</v>
      </c>
      <c r="F54" t="s">
        <v>565</v>
      </c>
      <c r="G54" t="s">
        <v>566</v>
      </c>
      <c r="H54" t="s">
        <v>567</v>
      </c>
      <c r="I54" t="s">
        <v>568</v>
      </c>
      <c r="J54" t="s">
        <v>569</v>
      </c>
      <c r="K54" t="s">
        <v>570</v>
      </c>
    </row>
    <row r="55" spans="1:11" x14ac:dyDescent="0.2">
      <c r="A55" t="s">
        <v>61</v>
      </c>
      <c r="B55" t="s">
        <v>121</v>
      </c>
      <c r="C55" t="s">
        <v>506</v>
      </c>
      <c r="D55" t="s">
        <v>571</v>
      </c>
      <c r="E55" t="s">
        <v>508</v>
      </c>
      <c r="F55" t="s">
        <v>572</v>
      </c>
      <c r="G55" t="s">
        <v>573</v>
      </c>
      <c r="H55" t="s">
        <v>574</v>
      </c>
      <c r="I55" t="s">
        <v>575</v>
      </c>
      <c r="J55" t="s">
        <v>576</v>
      </c>
      <c r="K55" t="s">
        <v>577</v>
      </c>
    </row>
    <row r="56" spans="1:11" x14ac:dyDescent="0.2">
      <c r="A56" t="s">
        <v>22</v>
      </c>
      <c r="B56" t="s">
        <v>118</v>
      </c>
      <c r="C56" t="s">
        <v>578</v>
      </c>
      <c r="D56" t="s">
        <v>579</v>
      </c>
      <c r="E56" t="s">
        <v>580</v>
      </c>
      <c r="F56" t="s">
        <v>581</v>
      </c>
      <c r="G56" t="s">
        <v>582</v>
      </c>
      <c r="H56" t="s">
        <v>583</v>
      </c>
      <c r="I56" t="s">
        <v>584</v>
      </c>
      <c r="J56" t="s">
        <v>585</v>
      </c>
      <c r="K56" t="s">
        <v>586</v>
      </c>
    </row>
    <row r="57" spans="1:11" x14ac:dyDescent="0.2">
      <c r="A57" t="s">
        <v>23</v>
      </c>
      <c r="B57" t="s">
        <v>118</v>
      </c>
      <c r="C57" t="s">
        <v>587</v>
      </c>
      <c r="D57" t="s">
        <v>588</v>
      </c>
      <c r="E57" t="s">
        <v>589</v>
      </c>
      <c r="F57" t="s">
        <v>590</v>
      </c>
      <c r="G57" t="s">
        <v>591</v>
      </c>
      <c r="H57" t="s">
        <v>592</v>
      </c>
      <c r="I57" t="s">
        <v>593</v>
      </c>
      <c r="J57" t="s">
        <v>594</v>
      </c>
      <c r="K57" t="s">
        <v>595</v>
      </c>
    </row>
    <row r="58" spans="1:11" x14ac:dyDescent="0.2">
      <c r="A58" t="s">
        <v>24</v>
      </c>
      <c r="B58" t="s">
        <v>118</v>
      </c>
      <c r="C58" t="s">
        <v>596</v>
      </c>
      <c r="D58" t="s">
        <v>597</v>
      </c>
      <c r="E58" t="s">
        <v>598</v>
      </c>
      <c r="F58" t="s">
        <v>599</v>
      </c>
      <c r="G58" t="s">
        <v>600</v>
      </c>
      <c r="H58" t="s">
        <v>601</v>
      </c>
      <c r="I58" t="s">
        <v>602</v>
      </c>
      <c r="J58" t="s">
        <v>603</v>
      </c>
      <c r="K58" t="s">
        <v>604</v>
      </c>
    </row>
    <row r="59" spans="1:11" x14ac:dyDescent="0.2">
      <c r="A59" t="s">
        <v>17</v>
      </c>
      <c r="B59" t="s">
        <v>118</v>
      </c>
      <c r="C59" t="s">
        <v>605</v>
      </c>
      <c r="D59" t="s">
        <v>606</v>
      </c>
      <c r="E59" t="s">
        <v>607</v>
      </c>
      <c r="F59" t="s">
        <v>608</v>
      </c>
      <c r="G59" t="s">
        <v>609</v>
      </c>
      <c r="H59" t="s">
        <v>610</v>
      </c>
      <c r="I59" t="s">
        <v>611</v>
      </c>
      <c r="J59" t="s">
        <v>612</v>
      </c>
      <c r="K59" t="s">
        <v>613</v>
      </c>
    </row>
    <row r="60" spans="1:11" x14ac:dyDescent="0.2">
      <c r="A60" t="s">
        <v>19</v>
      </c>
      <c r="B60" t="s">
        <v>118</v>
      </c>
      <c r="C60" t="s">
        <v>614</v>
      </c>
      <c r="D60" t="s">
        <v>615</v>
      </c>
      <c r="E60" t="s">
        <v>616</v>
      </c>
      <c r="F60" t="s">
        <v>617</v>
      </c>
      <c r="G60" t="s">
        <v>618</v>
      </c>
      <c r="H60" t="s">
        <v>619</v>
      </c>
      <c r="I60" t="s">
        <v>620</v>
      </c>
      <c r="J60" t="s">
        <v>621</v>
      </c>
      <c r="K60" t="s">
        <v>622</v>
      </c>
    </row>
    <row r="61" spans="1:11" x14ac:dyDescent="0.2">
      <c r="A61" t="s">
        <v>20</v>
      </c>
      <c r="B61" t="s">
        <v>118</v>
      </c>
      <c r="C61" t="s">
        <v>623</v>
      </c>
      <c r="D61" t="s">
        <v>624</v>
      </c>
      <c r="E61" t="s">
        <v>625</v>
      </c>
      <c r="F61" t="s">
        <v>626</v>
      </c>
      <c r="G61" t="s">
        <v>627</v>
      </c>
      <c r="H61" t="s">
        <v>628</v>
      </c>
      <c r="I61" t="s">
        <v>629</v>
      </c>
      <c r="J61" t="s">
        <v>630</v>
      </c>
      <c r="K61" t="s">
        <v>631</v>
      </c>
    </row>
    <row r="62" spans="1:11" x14ac:dyDescent="0.2">
      <c r="A62" t="s">
        <v>21</v>
      </c>
      <c r="B62" t="s">
        <v>118</v>
      </c>
      <c r="C62" t="s">
        <v>632</v>
      </c>
      <c r="D62" t="s">
        <v>633</v>
      </c>
      <c r="E62" t="s">
        <v>634</v>
      </c>
      <c r="F62" t="s">
        <v>635</v>
      </c>
      <c r="G62" t="s">
        <v>636</v>
      </c>
      <c r="H62" t="s">
        <v>637</v>
      </c>
      <c r="I62" t="s">
        <v>638</v>
      </c>
      <c r="J62" t="s">
        <v>639</v>
      </c>
      <c r="K62" t="s">
        <v>640</v>
      </c>
    </row>
    <row r="63" spans="1:11" x14ac:dyDescent="0.2">
      <c r="A63" t="s">
        <v>22</v>
      </c>
      <c r="B63" t="s">
        <v>121</v>
      </c>
      <c r="C63" t="s">
        <v>578</v>
      </c>
      <c r="D63" t="s">
        <v>641</v>
      </c>
      <c r="E63" t="s">
        <v>580</v>
      </c>
      <c r="F63" t="s">
        <v>642</v>
      </c>
      <c r="G63" t="s">
        <v>643</v>
      </c>
      <c r="H63" t="s">
        <v>644</v>
      </c>
      <c r="I63" t="s">
        <v>645</v>
      </c>
      <c r="J63" t="s">
        <v>646</v>
      </c>
      <c r="K63" t="s">
        <v>647</v>
      </c>
    </row>
    <row r="64" spans="1:11" x14ac:dyDescent="0.2">
      <c r="A64" t="s">
        <v>23</v>
      </c>
      <c r="B64" t="s">
        <v>121</v>
      </c>
      <c r="C64" t="s">
        <v>587</v>
      </c>
      <c r="D64" t="s">
        <v>648</v>
      </c>
      <c r="E64" t="s">
        <v>589</v>
      </c>
      <c r="F64" t="s">
        <v>649</v>
      </c>
      <c r="G64" t="s">
        <v>650</v>
      </c>
      <c r="H64" t="s">
        <v>651</v>
      </c>
      <c r="I64" t="s">
        <v>652</v>
      </c>
      <c r="J64" t="s">
        <v>653</v>
      </c>
      <c r="K64" t="s">
        <v>654</v>
      </c>
    </row>
    <row r="65" spans="1:11" x14ac:dyDescent="0.2">
      <c r="A65" t="s">
        <v>24</v>
      </c>
      <c r="B65" t="s">
        <v>121</v>
      </c>
      <c r="C65" t="s">
        <v>596</v>
      </c>
      <c r="D65" t="s">
        <v>655</v>
      </c>
      <c r="E65" t="s">
        <v>598</v>
      </c>
      <c r="F65" t="s">
        <v>656</v>
      </c>
      <c r="G65" t="s">
        <v>657</v>
      </c>
      <c r="H65" t="s">
        <v>658</v>
      </c>
      <c r="I65" t="s">
        <v>659</v>
      </c>
      <c r="J65" t="s">
        <v>660</v>
      </c>
      <c r="K65" t="s">
        <v>661</v>
      </c>
    </row>
    <row r="66" spans="1:11" x14ac:dyDescent="0.2">
      <c r="A66" t="s">
        <v>17</v>
      </c>
      <c r="B66" t="s">
        <v>121</v>
      </c>
      <c r="C66" t="s">
        <v>605</v>
      </c>
      <c r="D66" t="s">
        <v>662</v>
      </c>
      <c r="E66" t="s">
        <v>607</v>
      </c>
      <c r="F66" t="s">
        <v>663</v>
      </c>
      <c r="G66" t="s">
        <v>664</v>
      </c>
      <c r="H66" t="s">
        <v>665</v>
      </c>
      <c r="I66" t="s">
        <v>666</v>
      </c>
      <c r="J66" t="s">
        <v>667</v>
      </c>
      <c r="K66" t="s">
        <v>668</v>
      </c>
    </row>
    <row r="67" spans="1:11" x14ac:dyDescent="0.2">
      <c r="A67" t="s">
        <v>19</v>
      </c>
      <c r="B67" t="s">
        <v>121</v>
      </c>
      <c r="C67" t="s">
        <v>614</v>
      </c>
      <c r="D67" t="s">
        <v>669</v>
      </c>
      <c r="E67" t="s">
        <v>616</v>
      </c>
      <c r="F67" t="s">
        <v>670</v>
      </c>
      <c r="G67" t="s">
        <v>671</v>
      </c>
      <c r="H67" t="s">
        <v>672</v>
      </c>
      <c r="I67" t="s">
        <v>673</v>
      </c>
      <c r="J67" t="s">
        <v>674</v>
      </c>
      <c r="K67" t="s">
        <v>675</v>
      </c>
    </row>
    <row r="68" spans="1:11" x14ac:dyDescent="0.2">
      <c r="A68" t="s">
        <v>20</v>
      </c>
      <c r="B68" t="s">
        <v>121</v>
      </c>
      <c r="C68" t="s">
        <v>623</v>
      </c>
      <c r="D68" t="s">
        <v>676</v>
      </c>
      <c r="E68" t="s">
        <v>625</v>
      </c>
      <c r="F68" t="s">
        <v>677</v>
      </c>
      <c r="G68" t="s">
        <v>678</v>
      </c>
      <c r="H68" t="s">
        <v>679</v>
      </c>
      <c r="I68" t="s">
        <v>680</v>
      </c>
      <c r="J68" t="s">
        <v>681</v>
      </c>
      <c r="K68" t="s">
        <v>682</v>
      </c>
    </row>
    <row r="69" spans="1:11" x14ac:dyDescent="0.2">
      <c r="A69" t="s">
        <v>21</v>
      </c>
      <c r="B69" t="s">
        <v>121</v>
      </c>
      <c r="C69" t="s">
        <v>632</v>
      </c>
      <c r="D69" t="s">
        <v>683</v>
      </c>
      <c r="E69" t="s">
        <v>634</v>
      </c>
      <c r="F69" t="s">
        <v>684</v>
      </c>
      <c r="G69" t="s">
        <v>685</v>
      </c>
      <c r="H69" t="s">
        <v>686</v>
      </c>
      <c r="I69" t="s">
        <v>687</v>
      </c>
      <c r="J69" t="s">
        <v>688</v>
      </c>
      <c r="K69" t="s">
        <v>689</v>
      </c>
    </row>
    <row r="70" spans="1:11" x14ac:dyDescent="0.2">
      <c r="A70" t="s">
        <v>35</v>
      </c>
      <c r="B70" t="s">
        <v>118</v>
      </c>
      <c r="C70" t="s">
        <v>690</v>
      </c>
      <c r="D70" t="s">
        <v>691</v>
      </c>
      <c r="E70" t="s">
        <v>692</v>
      </c>
      <c r="F70" t="s">
        <v>693</v>
      </c>
      <c r="G70" t="s">
        <v>694</v>
      </c>
      <c r="H70" t="s">
        <v>695</v>
      </c>
      <c r="I70" t="s">
        <v>696</v>
      </c>
      <c r="J70" t="s">
        <v>697</v>
      </c>
      <c r="K70" t="s">
        <v>698</v>
      </c>
    </row>
    <row r="71" spans="1:11" x14ac:dyDescent="0.2">
      <c r="A71" t="s">
        <v>37</v>
      </c>
      <c r="B71" t="s">
        <v>118</v>
      </c>
      <c r="C71" t="s">
        <v>699</v>
      </c>
      <c r="D71" t="s">
        <v>700</v>
      </c>
      <c r="E71" t="s">
        <v>701</v>
      </c>
      <c r="F71" t="s">
        <v>702</v>
      </c>
      <c r="G71" t="s">
        <v>703</v>
      </c>
      <c r="H71" t="s">
        <v>704</v>
      </c>
      <c r="I71" t="s">
        <v>705</v>
      </c>
      <c r="J71" t="s">
        <v>706</v>
      </c>
      <c r="K71" t="s">
        <v>707</v>
      </c>
    </row>
    <row r="72" spans="1:11" x14ac:dyDescent="0.2">
      <c r="A72" t="s">
        <v>38</v>
      </c>
      <c r="B72" t="s">
        <v>118</v>
      </c>
      <c r="C72" t="s">
        <v>708</v>
      </c>
      <c r="D72" t="s">
        <v>709</v>
      </c>
      <c r="E72" t="s">
        <v>710</v>
      </c>
      <c r="F72" t="s">
        <v>711</v>
      </c>
      <c r="G72" t="s">
        <v>712</v>
      </c>
      <c r="H72" t="s">
        <v>713</v>
      </c>
      <c r="I72" t="s">
        <v>714</v>
      </c>
      <c r="J72" t="s">
        <v>715</v>
      </c>
      <c r="K72" t="s">
        <v>716</v>
      </c>
    </row>
    <row r="73" spans="1:11" x14ac:dyDescent="0.2">
      <c r="A73" t="s">
        <v>39</v>
      </c>
      <c r="B73" t="s">
        <v>118</v>
      </c>
      <c r="C73" t="s">
        <v>717</v>
      </c>
      <c r="D73" t="s">
        <v>718</v>
      </c>
      <c r="E73" t="s">
        <v>719</v>
      </c>
      <c r="F73" t="s">
        <v>720</v>
      </c>
      <c r="G73" t="s">
        <v>721</v>
      </c>
      <c r="H73" t="s">
        <v>722</v>
      </c>
      <c r="I73" t="s">
        <v>723</v>
      </c>
      <c r="J73" t="s">
        <v>724</v>
      </c>
      <c r="K73" t="s">
        <v>725</v>
      </c>
    </row>
    <row r="74" spans="1:11" x14ac:dyDescent="0.2">
      <c r="A74" t="s">
        <v>103</v>
      </c>
      <c r="B74" t="s">
        <v>118</v>
      </c>
      <c r="C74" t="s">
        <v>726</v>
      </c>
      <c r="D74" t="s">
        <v>727</v>
      </c>
      <c r="E74" t="s">
        <v>728</v>
      </c>
      <c r="F74" t="s">
        <v>729</v>
      </c>
      <c r="G74" t="s">
        <v>730</v>
      </c>
      <c r="H74" t="s">
        <v>731</v>
      </c>
      <c r="I74" t="s">
        <v>732</v>
      </c>
      <c r="J74" t="s">
        <v>733</v>
      </c>
      <c r="K74" t="s">
        <v>734</v>
      </c>
    </row>
    <row r="75" spans="1:11" x14ac:dyDescent="0.2">
      <c r="A75" t="s">
        <v>105</v>
      </c>
      <c r="B75" t="s">
        <v>118</v>
      </c>
      <c r="C75" t="s">
        <v>735</v>
      </c>
      <c r="D75" t="s">
        <v>736</v>
      </c>
      <c r="E75" t="s">
        <v>737</v>
      </c>
      <c r="F75" t="s">
        <v>738</v>
      </c>
      <c r="G75" t="s">
        <v>739</v>
      </c>
      <c r="H75" t="s">
        <v>740</v>
      </c>
      <c r="I75" t="s">
        <v>741</v>
      </c>
      <c r="J75" t="s">
        <v>742</v>
      </c>
      <c r="K75" t="s">
        <v>743</v>
      </c>
    </row>
    <row r="76" spans="1:11" x14ac:dyDescent="0.2">
      <c r="A76" t="s">
        <v>106</v>
      </c>
      <c r="B76" t="s">
        <v>118</v>
      </c>
      <c r="C76" t="s">
        <v>744</v>
      </c>
      <c r="D76" t="s">
        <v>745</v>
      </c>
      <c r="E76" t="s">
        <v>746</v>
      </c>
      <c r="F76" t="s">
        <v>747</v>
      </c>
      <c r="G76" t="s">
        <v>748</v>
      </c>
      <c r="H76" t="s">
        <v>749</v>
      </c>
      <c r="I76" t="s">
        <v>750</v>
      </c>
      <c r="J76" t="s">
        <v>751</v>
      </c>
      <c r="K76" t="s">
        <v>752</v>
      </c>
    </row>
    <row r="77" spans="1:11" x14ac:dyDescent="0.2">
      <c r="A77" t="s">
        <v>35</v>
      </c>
      <c r="B77" t="s">
        <v>121</v>
      </c>
      <c r="C77" t="s">
        <v>690</v>
      </c>
      <c r="D77" t="s">
        <v>753</v>
      </c>
      <c r="E77" t="s">
        <v>692</v>
      </c>
      <c r="F77" t="s">
        <v>754</v>
      </c>
      <c r="G77" t="s">
        <v>755</v>
      </c>
      <c r="H77" t="s">
        <v>756</v>
      </c>
      <c r="I77" t="s">
        <v>757</v>
      </c>
      <c r="J77" t="s">
        <v>758</v>
      </c>
      <c r="K77" t="s">
        <v>759</v>
      </c>
    </row>
    <row r="78" spans="1:11" x14ac:dyDescent="0.2">
      <c r="A78" t="s">
        <v>37</v>
      </c>
      <c r="B78" t="s">
        <v>121</v>
      </c>
      <c r="C78" t="s">
        <v>699</v>
      </c>
      <c r="D78" t="s">
        <v>760</v>
      </c>
      <c r="E78" t="s">
        <v>701</v>
      </c>
      <c r="F78" t="s">
        <v>761</v>
      </c>
      <c r="G78" t="s">
        <v>762</v>
      </c>
      <c r="H78" t="s">
        <v>763</v>
      </c>
      <c r="I78" t="s">
        <v>764</v>
      </c>
      <c r="J78" t="s">
        <v>765</v>
      </c>
      <c r="K78" t="s">
        <v>766</v>
      </c>
    </row>
    <row r="79" spans="1:11" x14ac:dyDescent="0.2">
      <c r="A79" t="s">
        <v>38</v>
      </c>
      <c r="B79" t="s">
        <v>121</v>
      </c>
      <c r="C79" t="s">
        <v>708</v>
      </c>
      <c r="D79" t="s">
        <v>767</v>
      </c>
      <c r="E79" t="s">
        <v>710</v>
      </c>
      <c r="F79" t="s">
        <v>768</v>
      </c>
      <c r="G79" t="s">
        <v>769</v>
      </c>
      <c r="H79" t="s">
        <v>770</v>
      </c>
      <c r="I79" t="s">
        <v>771</v>
      </c>
      <c r="J79" t="s">
        <v>772</v>
      </c>
      <c r="K79" t="s">
        <v>773</v>
      </c>
    </row>
    <row r="80" spans="1:11" x14ac:dyDescent="0.2">
      <c r="A80" t="s">
        <v>39</v>
      </c>
      <c r="B80" t="s">
        <v>121</v>
      </c>
      <c r="C80" t="s">
        <v>717</v>
      </c>
      <c r="D80" t="s">
        <v>774</v>
      </c>
      <c r="E80" t="s">
        <v>719</v>
      </c>
      <c r="F80" t="s">
        <v>775</v>
      </c>
      <c r="G80" t="s">
        <v>776</v>
      </c>
      <c r="H80" t="s">
        <v>777</v>
      </c>
      <c r="I80" t="s">
        <v>778</v>
      </c>
      <c r="J80" t="s">
        <v>779</v>
      </c>
      <c r="K80" t="s">
        <v>780</v>
      </c>
    </row>
    <row r="81" spans="1:11" x14ac:dyDescent="0.2">
      <c r="A81" t="s">
        <v>103</v>
      </c>
      <c r="B81" t="s">
        <v>121</v>
      </c>
      <c r="C81" t="s">
        <v>726</v>
      </c>
      <c r="D81" t="s">
        <v>781</v>
      </c>
      <c r="E81" t="s">
        <v>728</v>
      </c>
      <c r="F81" t="s">
        <v>782</v>
      </c>
      <c r="G81" t="s">
        <v>783</v>
      </c>
      <c r="H81" t="s">
        <v>784</v>
      </c>
      <c r="I81" t="s">
        <v>785</v>
      </c>
      <c r="J81" t="s">
        <v>786</v>
      </c>
      <c r="K81" t="s">
        <v>787</v>
      </c>
    </row>
    <row r="82" spans="1:11" x14ac:dyDescent="0.2">
      <c r="A82" t="s">
        <v>105</v>
      </c>
      <c r="B82" t="s">
        <v>121</v>
      </c>
      <c r="C82" t="s">
        <v>735</v>
      </c>
      <c r="D82" t="s">
        <v>788</v>
      </c>
      <c r="E82" t="s">
        <v>737</v>
      </c>
      <c r="F82" t="s">
        <v>789</v>
      </c>
      <c r="G82" t="s">
        <v>790</v>
      </c>
      <c r="H82" t="s">
        <v>791</v>
      </c>
      <c r="I82" t="s">
        <v>792</v>
      </c>
      <c r="J82" t="s">
        <v>793</v>
      </c>
      <c r="K82" t="s">
        <v>794</v>
      </c>
    </row>
    <row r="83" spans="1:11" x14ac:dyDescent="0.2">
      <c r="A83" t="s">
        <v>106</v>
      </c>
      <c r="B83" t="s">
        <v>121</v>
      </c>
      <c r="C83" t="s">
        <v>744</v>
      </c>
      <c r="D83" t="s">
        <v>795</v>
      </c>
      <c r="E83" t="s">
        <v>746</v>
      </c>
      <c r="F83" t="s">
        <v>796</v>
      </c>
      <c r="G83" t="s">
        <v>797</v>
      </c>
      <c r="H83" t="s">
        <v>798</v>
      </c>
      <c r="I83" t="s">
        <v>799</v>
      </c>
      <c r="J83" t="s">
        <v>800</v>
      </c>
      <c r="K83" t="s">
        <v>801</v>
      </c>
    </row>
    <row r="84" spans="1:11" x14ac:dyDescent="0.2">
      <c r="A84" t="s">
        <v>82</v>
      </c>
      <c r="B84" t="s">
        <v>118</v>
      </c>
      <c r="C84" t="s">
        <v>802</v>
      </c>
      <c r="D84" t="s">
        <v>803</v>
      </c>
      <c r="E84" t="s">
        <v>804</v>
      </c>
      <c r="F84" t="s">
        <v>805</v>
      </c>
      <c r="G84" t="s">
        <v>806</v>
      </c>
      <c r="H84" t="s">
        <v>807</v>
      </c>
      <c r="I84" t="s">
        <v>808</v>
      </c>
      <c r="J84" t="s">
        <v>809</v>
      </c>
      <c r="K84" t="s">
        <v>810</v>
      </c>
    </row>
    <row r="85" spans="1:11" x14ac:dyDescent="0.2">
      <c r="A85" t="s">
        <v>84</v>
      </c>
      <c r="B85" t="s">
        <v>118</v>
      </c>
      <c r="C85" t="s">
        <v>811</v>
      </c>
      <c r="D85" t="s">
        <v>812</v>
      </c>
      <c r="E85" t="s">
        <v>813</v>
      </c>
      <c r="F85" t="s">
        <v>814</v>
      </c>
      <c r="G85" t="s">
        <v>815</v>
      </c>
      <c r="H85" t="s">
        <v>816</v>
      </c>
      <c r="I85" t="s">
        <v>817</v>
      </c>
      <c r="J85" t="s">
        <v>818</v>
      </c>
      <c r="K85" t="s">
        <v>819</v>
      </c>
    </row>
    <row r="86" spans="1:11" x14ac:dyDescent="0.2">
      <c r="A86" t="s">
        <v>85</v>
      </c>
      <c r="B86" t="s">
        <v>118</v>
      </c>
      <c r="C86" t="s">
        <v>820</v>
      </c>
      <c r="D86" t="s">
        <v>821</v>
      </c>
      <c r="E86" t="s">
        <v>822</v>
      </c>
      <c r="F86" t="s">
        <v>823</v>
      </c>
      <c r="G86" t="s">
        <v>824</v>
      </c>
      <c r="H86" t="s">
        <v>825</v>
      </c>
      <c r="I86" t="s">
        <v>826</v>
      </c>
      <c r="J86" t="s">
        <v>827</v>
      </c>
      <c r="K86" t="s">
        <v>828</v>
      </c>
    </row>
    <row r="87" spans="1:11" x14ac:dyDescent="0.2">
      <c r="A87" t="s">
        <v>86</v>
      </c>
      <c r="B87" t="s">
        <v>118</v>
      </c>
      <c r="C87" t="s">
        <v>829</v>
      </c>
      <c r="D87" t="s">
        <v>830</v>
      </c>
      <c r="E87" t="s">
        <v>831</v>
      </c>
      <c r="F87" t="s">
        <v>832</v>
      </c>
      <c r="G87" t="s">
        <v>833</v>
      </c>
      <c r="H87" t="s">
        <v>834</v>
      </c>
      <c r="I87" t="s">
        <v>835</v>
      </c>
      <c r="J87" t="s">
        <v>836</v>
      </c>
      <c r="K87" t="s">
        <v>837</v>
      </c>
    </row>
    <row r="88" spans="1:11" x14ac:dyDescent="0.2">
      <c r="A88" t="s">
        <v>41</v>
      </c>
      <c r="B88" t="s">
        <v>118</v>
      </c>
      <c r="C88" t="s">
        <v>838</v>
      </c>
      <c r="D88" t="s">
        <v>839</v>
      </c>
      <c r="E88" t="s">
        <v>840</v>
      </c>
      <c r="F88" t="s">
        <v>841</v>
      </c>
      <c r="G88" t="s">
        <v>842</v>
      </c>
      <c r="H88" t="s">
        <v>843</v>
      </c>
      <c r="I88" t="s">
        <v>844</v>
      </c>
      <c r="J88" t="s">
        <v>845</v>
      </c>
      <c r="K88" t="s">
        <v>846</v>
      </c>
    </row>
    <row r="89" spans="1:11" x14ac:dyDescent="0.2">
      <c r="A89" t="s">
        <v>42</v>
      </c>
      <c r="B89" t="s">
        <v>118</v>
      </c>
      <c r="C89" t="s">
        <v>847</v>
      </c>
      <c r="D89" t="s">
        <v>848</v>
      </c>
      <c r="E89" t="s">
        <v>849</v>
      </c>
      <c r="F89" t="s">
        <v>850</v>
      </c>
      <c r="G89" t="s">
        <v>851</v>
      </c>
      <c r="H89" t="s">
        <v>852</v>
      </c>
      <c r="I89" t="s">
        <v>853</v>
      </c>
      <c r="J89" t="s">
        <v>854</v>
      </c>
      <c r="K89" t="s">
        <v>855</v>
      </c>
    </row>
    <row r="90" spans="1:11" x14ac:dyDescent="0.2">
      <c r="A90" t="s">
        <v>44</v>
      </c>
      <c r="B90" t="s">
        <v>118</v>
      </c>
      <c r="C90" t="s">
        <v>856</v>
      </c>
      <c r="D90" t="s">
        <v>857</v>
      </c>
      <c r="E90" t="s">
        <v>858</v>
      </c>
      <c r="F90" t="s">
        <v>859</v>
      </c>
      <c r="G90" t="s">
        <v>860</v>
      </c>
      <c r="H90" t="s">
        <v>861</v>
      </c>
      <c r="I90" t="s">
        <v>862</v>
      </c>
      <c r="J90" t="s">
        <v>863</v>
      </c>
      <c r="K90" t="s">
        <v>864</v>
      </c>
    </row>
    <row r="91" spans="1:11" x14ac:dyDescent="0.2">
      <c r="A91" t="s">
        <v>82</v>
      </c>
      <c r="B91" t="s">
        <v>121</v>
      </c>
      <c r="C91" t="s">
        <v>802</v>
      </c>
      <c r="D91" t="s">
        <v>865</v>
      </c>
      <c r="E91" t="s">
        <v>804</v>
      </c>
      <c r="F91" t="s">
        <v>866</v>
      </c>
      <c r="G91" t="s">
        <v>867</v>
      </c>
      <c r="H91" t="s">
        <v>868</v>
      </c>
      <c r="I91" t="s">
        <v>869</v>
      </c>
      <c r="J91" t="s">
        <v>870</v>
      </c>
      <c r="K91" t="s">
        <v>871</v>
      </c>
    </row>
    <row r="92" spans="1:11" x14ac:dyDescent="0.2">
      <c r="A92" t="s">
        <v>84</v>
      </c>
      <c r="B92" t="s">
        <v>121</v>
      </c>
      <c r="C92" t="s">
        <v>811</v>
      </c>
      <c r="D92" t="s">
        <v>872</v>
      </c>
      <c r="E92" t="s">
        <v>813</v>
      </c>
      <c r="F92" t="s">
        <v>873</v>
      </c>
      <c r="G92" t="s">
        <v>874</v>
      </c>
      <c r="H92" t="s">
        <v>875</v>
      </c>
      <c r="I92" t="s">
        <v>876</v>
      </c>
      <c r="J92" t="s">
        <v>877</v>
      </c>
      <c r="K92" t="s">
        <v>878</v>
      </c>
    </row>
    <row r="93" spans="1:11" x14ac:dyDescent="0.2">
      <c r="A93" t="s">
        <v>85</v>
      </c>
      <c r="B93" t="s">
        <v>121</v>
      </c>
      <c r="C93" t="s">
        <v>820</v>
      </c>
      <c r="D93" t="s">
        <v>879</v>
      </c>
      <c r="E93" t="s">
        <v>822</v>
      </c>
      <c r="F93" t="s">
        <v>880</v>
      </c>
      <c r="G93" t="s">
        <v>881</v>
      </c>
      <c r="H93" t="s">
        <v>882</v>
      </c>
      <c r="I93" t="s">
        <v>883</v>
      </c>
      <c r="J93" t="s">
        <v>884</v>
      </c>
      <c r="K93" t="s">
        <v>885</v>
      </c>
    </row>
    <row r="94" spans="1:11" x14ac:dyDescent="0.2">
      <c r="A94" t="s">
        <v>86</v>
      </c>
      <c r="B94" t="s">
        <v>121</v>
      </c>
      <c r="C94" t="s">
        <v>829</v>
      </c>
      <c r="D94" t="s">
        <v>886</v>
      </c>
      <c r="E94" t="s">
        <v>831</v>
      </c>
      <c r="F94" t="s">
        <v>887</v>
      </c>
      <c r="G94" t="s">
        <v>888</v>
      </c>
      <c r="H94" t="s">
        <v>889</v>
      </c>
      <c r="I94" t="s">
        <v>890</v>
      </c>
      <c r="J94" t="s">
        <v>891</v>
      </c>
      <c r="K94" t="s">
        <v>892</v>
      </c>
    </row>
    <row r="95" spans="1:11" x14ac:dyDescent="0.2">
      <c r="A95" t="s">
        <v>41</v>
      </c>
      <c r="B95" t="s">
        <v>121</v>
      </c>
      <c r="C95" t="s">
        <v>838</v>
      </c>
      <c r="D95" t="s">
        <v>893</v>
      </c>
      <c r="E95" t="s">
        <v>840</v>
      </c>
      <c r="F95" t="s">
        <v>894</v>
      </c>
      <c r="G95" t="s">
        <v>895</v>
      </c>
      <c r="H95" t="s">
        <v>896</v>
      </c>
      <c r="I95" t="s">
        <v>897</v>
      </c>
      <c r="J95" t="s">
        <v>898</v>
      </c>
      <c r="K95" t="s">
        <v>899</v>
      </c>
    </row>
    <row r="96" spans="1:11" x14ac:dyDescent="0.2">
      <c r="A96" t="s">
        <v>42</v>
      </c>
      <c r="B96" t="s">
        <v>121</v>
      </c>
      <c r="C96" t="s">
        <v>847</v>
      </c>
      <c r="D96" t="s">
        <v>900</v>
      </c>
      <c r="E96" t="s">
        <v>849</v>
      </c>
      <c r="F96" t="s">
        <v>901</v>
      </c>
      <c r="G96" t="s">
        <v>902</v>
      </c>
      <c r="H96" t="s">
        <v>903</v>
      </c>
      <c r="I96" t="s">
        <v>904</v>
      </c>
      <c r="J96" t="s">
        <v>905</v>
      </c>
      <c r="K96" t="s">
        <v>906</v>
      </c>
    </row>
    <row r="97" spans="1:11" x14ac:dyDescent="0.2">
      <c r="A97" t="s">
        <v>44</v>
      </c>
      <c r="B97" t="s">
        <v>121</v>
      </c>
      <c r="C97" t="s">
        <v>856</v>
      </c>
      <c r="D97" t="s">
        <v>907</v>
      </c>
      <c r="E97" t="s">
        <v>858</v>
      </c>
      <c r="F97" t="s">
        <v>908</v>
      </c>
      <c r="G97" t="s">
        <v>909</v>
      </c>
      <c r="H97" t="s">
        <v>910</v>
      </c>
      <c r="I97" t="s">
        <v>911</v>
      </c>
      <c r="J97" t="s">
        <v>912</v>
      </c>
      <c r="K97" t="s">
        <v>913</v>
      </c>
    </row>
    <row r="98" spans="1:11" x14ac:dyDescent="0.2">
      <c r="A98" t="s">
        <v>62</v>
      </c>
      <c r="B98" t="s">
        <v>118</v>
      </c>
      <c r="C98" t="s">
        <v>914</v>
      </c>
      <c r="D98" t="s">
        <v>915</v>
      </c>
      <c r="E98" t="s">
        <v>916</v>
      </c>
      <c r="F98" t="s">
        <v>917</v>
      </c>
      <c r="G98" t="s">
        <v>918</v>
      </c>
      <c r="H98" t="s">
        <v>919</v>
      </c>
      <c r="I98" t="s">
        <v>920</v>
      </c>
      <c r="J98" t="s">
        <v>921</v>
      </c>
      <c r="K98" t="s">
        <v>922</v>
      </c>
    </row>
    <row r="99" spans="1:11" x14ac:dyDescent="0.2">
      <c r="A99" t="s">
        <v>64</v>
      </c>
      <c r="B99" t="s">
        <v>118</v>
      </c>
      <c r="C99" t="s">
        <v>923</v>
      </c>
      <c r="D99" t="s">
        <v>924</v>
      </c>
      <c r="E99" t="s">
        <v>925</v>
      </c>
      <c r="F99" t="s">
        <v>926</v>
      </c>
      <c r="G99" t="s">
        <v>927</v>
      </c>
      <c r="H99" t="s">
        <v>928</v>
      </c>
      <c r="I99" t="s">
        <v>929</v>
      </c>
      <c r="J99" t="s">
        <v>930</v>
      </c>
      <c r="K99" t="s">
        <v>931</v>
      </c>
    </row>
    <row r="100" spans="1:11" x14ac:dyDescent="0.2">
      <c r="A100" t="s">
        <v>65</v>
      </c>
      <c r="B100" t="s">
        <v>118</v>
      </c>
      <c r="C100" t="s">
        <v>932</v>
      </c>
      <c r="D100" t="s">
        <v>933</v>
      </c>
      <c r="E100" t="s">
        <v>934</v>
      </c>
      <c r="F100" t="s">
        <v>935</v>
      </c>
      <c r="G100" t="s">
        <v>936</v>
      </c>
      <c r="H100" t="s">
        <v>937</v>
      </c>
      <c r="I100" t="s">
        <v>938</v>
      </c>
      <c r="J100" t="s">
        <v>939</v>
      </c>
      <c r="K100" t="s">
        <v>940</v>
      </c>
    </row>
    <row r="101" spans="1:11" x14ac:dyDescent="0.2">
      <c r="A101" t="s">
        <v>66</v>
      </c>
      <c r="B101" t="s">
        <v>118</v>
      </c>
      <c r="C101" t="s">
        <v>941</v>
      </c>
      <c r="D101" t="s">
        <v>942</v>
      </c>
      <c r="E101" t="s">
        <v>943</v>
      </c>
      <c r="F101" t="s">
        <v>944</v>
      </c>
      <c r="G101" t="s">
        <v>945</v>
      </c>
      <c r="H101" t="s">
        <v>946</v>
      </c>
      <c r="I101" t="s">
        <v>947</v>
      </c>
      <c r="J101" t="s">
        <v>948</v>
      </c>
      <c r="K101" t="s">
        <v>949</v>
      </c>
    </row>
    <row r="102" spans="1:11" x14ac:dyDescent="0.2">
      <c r="A102" t="s">
        <v>67</v>
      </c>
      <c r="B102" t="s">
        <v>118</v>
      </c>
      <c r="C102" t="s">
        <v>950</v>
      </c>
      <c r="D102" t="s">
        <v>951</v>
      </c>
      <c r="E102" t="s">
        <v>952</v>
      </c>
      <c r="F102" t="s">
        <v>953</v>
      </c>
      <c r="G102" t="s">
        <v>954</v>
      </c>
      <c r="H102" t="s">
        <v>955</v>
      </c>
      <c r="I102" t="s">
        <v>956</v>
      </c>
      <c r="J102" t="s">
        <v>957</v>
      </c>
      <c r="K102" t="s">
        <v>958</v>
      </c>
    </row>
    <row r="103" spans="1:11" x14ac:dyDescent="0.2">
      <c r="A103" t="s">
        <v>69</v>
      </c>
      <c r="B103" t="s">
        <v>118</v>
      </c>
      <c r="C103" t="s">
        <v>959</v>
      </c>
      <c r="D103" t="s">
        <v>960</v>
      </c>
      <c r="E103" t="s">
        <v>961</v>
      </c>
      <c r="F103" t="s">
        <v>962</v>
      </c>
      <c r="G103" t="s">
        <v>963</v>
      </c>
      <c r="H103" t="s">
        <v>964</v>
      </c>
      <c r="I103" t="s">
        <v>965</v>
      </c>
      <c r="J103" t="s">
        <v>966</v>
      </c>
      <c r="K103" t="s">
        <v>967</v>
      </c>
    </row>
    <row r="104" spans="1:11" x14ac:dyDescent="0.2">
      <c r="A104" t="s">
        <v>70</v>
      </c>
      <c r="B104" t="s">
        <v>118</v>
      </c>
      <c r="C104" t="s">
        <v>968</v>
      </c>
      <c r="D104" t="s">
        <v>969</v>
      </c>
      <c r="E104" t="s">
        <v>970</v>
      </c>
      <c r="F104" t="s">
        <v>971</v>
      </c>
      <c r="G104" t="s">
        <v>972</v>
      </c>
      <c r="H104" t="s">
        <v>973</v>
      </c>
      <c r="I104" t="s">
        <v>974</v>
      </c>
      <c r="J104" t="s">
        <v>975</v>
      </c>
      <c r="K104" t="s">
        <v>976</v>
      </c>
    </row>
    <row r="105" spans="1:11" x14ac:dyDescent="0.2">
      <c r="A105" t="s">
        <v>71</v>
      </c>
      <c r="B105" t="s">
        <v>118</v>
      </c>
      <c r="C105" t="s">
        <v>977</v>
      </c>
      <c r="D105" t="s">
        <v>978</v>
      </c>
      <c r="E105" t="s">
        <v>979</v>
      </c>
      <c r="F105" t="s">
        <v>980</v>
      </c>
      <c r="G105" t="s">
        <v>981</v>
      </c>
      <c r="H105" t="s">
        <v>982</v>
      </c>
      <c r="I105" t="s">
        <v>983</v>
      </c>
      <c r="J105" t="s">
        <v>984</v>
      </c>
      <c r="K105" t="s">
        <v>985</v>
      </c>
    </row>
    <row r="106" spans="1:11" x14ac:dyDescent="0.2">
      <c r="A106" t="s">
        <v>62</v>
      </c>
      <c r="B106" t="s">
        <v>121</v>
      </c>
      <c r="C106" t="s">
        <v>914</v>
      </c>
      <c r="D106" t="s">
        <v>986</v>
      </c>
      <c r="E106" t="s">
        <v>916</v>
      </c>
      <c r="F106" t="s">
        <v>987</v>
      </c>
      <c r="G106" t="s">
        <v>988</v>
      </c>
      <c r="H106" t="s">
        <v>989</v>
      </c>
      <c r="I106" t="s">
        <v>990</v>
      </c>
      <c r="J106" t="s">
        <v>991</v>
      </c>
      <c r="K106" t="s">
        <v>992</v>
      </c>
    </row>
    <row r="107" spans="1:11" x14ac:dyDescent="0.2">
      <c r="A107" t="s">
        <v>64</v>
      </c>
      <c r="B107" t="s">
        <v>121</v>
      </c>
      <c r="C107" t="s">
        <v>923</v>
      </c>
      <c r="D107" t="s">
        <v>993</v>
      </c>
      <c r="E107" t="s">
        <v>925</v>
      </c>
      <c r="F107" t="s">
        <v>994</v>
      </c>
      <c r="G107" t="s">
        <v>995</v>
      </c>
      <c r="H107" t="s">
        <v>996</v>
      </c>
      <c r="I107" t="s">
        <v>997</v>
      </c>
      <c r="J107" t="s">
        <v>998</v>
      </c>
      <c r="K107" t="s">
        <v>999</v>
      </c>
    </row>
    <row r="108" spans="1:11" x14ac:dyDescent="0.2">
      <c r="A108" t="s">
        <v>65</v>
      </c>
      <c r="B108" t="s">
        <v>121</v>
      </c>
      <c r="C108" t="s">
        <v>932</v>
      </c>
      <c r="D108" t="s">
        <v>1000</v>
      </c>
      <c r="E108" t="s">
        <v>934</v>
      </c>
      <c r="F108" t="s">
        <v>1001</v>
      </c>
      <c r="G108" t="s">
        <v>1002</v>
      </c>
      <c r="H108" t="s">
        <v>1003</v>
      </c>
      <c r="I108" t="s">
        <v>1004</v>
      </c>
      <c r="J108" t="s">
        <v>1005</v>
      </c>
      <c r="K108" t="s">
        <v>1006</v>
      </c>
    </row>
    <row r="109" spans="1:11" x14ac:dyDescent="0.2">
      <c r="A109" t="s">
        <v>66</v>
      </c>
      <c r="B109" t="s">
        <v>121</v>
      </c>
      <c r="C109" t="s">
        <v>941</v>
      </c>
      <c r="D109" t="s">
        <v>1007</v>
      </c>
      <c r="E109" t="s">
        <v>943</v>
      </c>
      <c r="F109" t="s">
        <v>1008</v>
      </c>
      <c r="G109" t="s">
        <v>1009</v>
      </c>
      <c r="H109" t="s">
        <v>1010</v>
      </c>
      <c r="I109" t="s">
        <v>1011</v>
      </c>
      <c r="J109" t="s">
        <v>1012</v>
      </c>
      <c r="K109" t="s">
        <v>1013</v>
      </c>
    </row>
    <row r="110" spans="1:11" x14ac:dyDescent="0.2">
      <c r="A110" t="s">
        <v>67</v>
      </c>
      <c r="B110" t="s">
        <v>121</v>
      </c>
      <c r="C110" t="s">
        <v>950</v>
      </c>
      <c r="D110" t="s">
        <v>1014</v>
      </c>
      <c r="E110" t="s">
        <v>952</v>
      </c>
      <c r="F110" t="s">
        <v>1015</v>
      </c>
      <c r="G110" t="s">
        <v>1016</v>
      </c>
      <c r="H110" t="s">
        <v>1017</v>
      </c>
      <c r="I110" t="s">
        <v>1018</v>
      </c>
      <c r="J110" t="s">
        <v>1019</v>
      </c>
      <c r="K110" t="s">
        <v>1020</v>
      </c>
    </row>
    <row r="111" spans="1:11" x14ac:dyDescent="0.2">
      <c r="A111" t="s">
        <v>69</v>
      </c>
      <c r="B111" t="s">
        <v>121</v>
      </c>
      <c r="C111" t="s">
        <v>959</v>
      </c>
      <c r="D111" t="s">
        <v>1021</v>
      </c>
      <c r="E111" t="s">
        <v>961</v>
      </c>
      <c r="F111" t="s">
        <v>1022</v>
      </c>
      <c r="G111" t="s">
        <v>1023</v>
      </c>
      <c r="H111" t="s">
        <v>1024</v>
      </c>
      <c r="I111" t="s">
        <v>1025</v>
      </c>
      <c r="J111" t="s">
        <v>1026</v>
      </c>
      <c r="K111" t="s">
        <v>1027</v>
      </c>
    </row>
    <row r="112" spans="1:11" x14ac:dyDescent="0.2">
      <c r="A112" t="s">
        <v>70</v>
      </c>
      <c r="B112" t="s">
        <v>121</v>
      </c>
      <c r="C112" t="s">
        <v>968</v>
      </c>
      <c r="D112" t="s">
        <v>1028</v>
      </c>
      <c r="E112" t="s">
        <v>970</v>
      </c>
      <c r="F112" t="s">
        <v>1029</v>
      </c>
      <c r="G112" t="s">
        <v>1030</v>
      </c>
      <c r="H112" t="s">
        <v>1031</v>
      </c>
      <c r="I112" t="s">
        <v>1032</v>
      </c>
      <c r="J112" t="s">
        <v>1033</v>
      </c>
      <c r="K112" t="s">
        <v>1034</v>
      </c>
    </row>
    <row r="113" spans="1:11" x14ac:dyDescent="0.2">
      <c r="A113" t="s">
        <v>71</v>
      </c>
      <c r="B113" t="s">
        <v>121</v>
      </c>
      <c r="C113" t="s">
        <v>977</v>
      </c>
      <c r="D113" t="s">
        <v>1035</v>
      </c>
      <c r="E113" t="s">
        <v>979</v>
      </c>
      <c r="F113" t="s">
        <v>1036</v>
      </c>
      <c r="G113" t="s">
        <v>1037</v>
      </c>
      <c r="H113" t="s">
        <v>1038</v>
      </c>
      <c r="I113" t="s">
        <v>1039</v>
      </c>
      <c r="J113" t="s">
        <v>1040</v>
      </c>
      <c r="K113" t="s">
        <v>1041</v>
      </c>
    </row>
    <row r="114" spans="1:11" x14ac:dyDescent="0.2">
      <c r="A114" t="s">
        <v>129</v>
      </c>
      <c r="B114" t="s">
        <v>304</v>
      </c>
      <c r="C114" t="s">
        <v>1042</v>
      </c>
      <c r="D114" t="s">
        <v>1043</v>
      </c>
      <c r="E114" t="s">
        <v>1044</v>
      </c>
      <c r="F114" t="s">
        <v>1045</v>
      </c>
      <c r="G114" t="s">
        <v>1046</v>
      </c>
      <c r="H114" t="s">
        <v>1047</v>
      </c>
      <c r="I114" t="s">
        <v>1048</v>
      </c>
      <c r="J114" t="s">
        <v>1049</v>
      </c>
      <c r="K114" t="s">
        <v>1050</v>
      </c>
    </row>
    <row r="115" spans="1:11" x14ac:dyDescent="0.2">
      <c r="A115" t="s">
        <v>130</v>
      </c>
      <c r="B115" t="s">
        <v>304</v>
      </c>
      <c r="C115" t="s">
        <v>1051</v>
      </c>
      <c r="D115" t="s">
        <v>1052</v>
      </c>
      <c r="E115" t="s">
        <v>1053</v>
      </c>
      <c r="F115" t="s">
        <v>1054</v>
      </c>
      <c r="G115" t="s">
        <v>1055</v>
      </c>
      <c r="H115" t="s">
        <v>1056</v>
      </c>
      <c r="I115" t="s">
        <v>1057</v>
      </c>
      <c r="J115" t="s">
        <v>1058</v>
      </c>
      <c r="K115" t="s">
        <v>1059</v>
      </c>
    </row>
    <row r="116" spans="1:11" x14ac:dyDescent="0.2">
      <c r="A116" t="s">
        <v>73</v>
      </c>
      <c r="B116" t="s">
        <v>118</v>
      </c>
      <c r="C116" t="s">
        <v>1060</v>
      </c>
      <c r="D116" t="s">
        <v>1061</v>
      </c>
      <c r="E116" t="s">
        <v>1062</v>
      </c>
      <c r="F116" t="s">
        <v>1063</v>
      </c>
      <c r="G116" t="s">
        <v>1064</v>
      </c>
      <c r="H116" t="s">
        <v>1065</v>
      </c>
      <c r="I116" t="s">
        <v>1066</v>
      </c>
      <c r="J116" t="s">
        <v>1067</v>
      </c>
      <c r="K116" t="s">
        <v>1068</v>
      </c>
    </row>
    <row r="117" spans="1:11" x14ac:dyDescent="0.2">
      <c r="A117" t="s">
        <v>74</v>
      </c>
      <c r="B117" t="s">
        <v>118</v>
      </c>
      <c r="C117" t="s">
        <v>1069</v>
      </c>
      <c r="D117" t="s">
        <v>1070</v>
      </c>
      <c r="E117" t="s">
        <v>1071</v>
      </c>
      <c r="F117" t="s">
        <v>1072</v>
      </c>
      <c r="G117" t="s">
        <v>1073</v>
      </c>
      <c r="H117" t="s">
        <v>1074</v>
      </c>
      <c r="I117" t="s">
        <v>1075</v>
      </c>
      <c r="J117" t="s">
        <v>1076</v>
      </c>
      <c r="K117" t="s">
        <v>1077</v>
      </c>
    </row>
    <row r="118" spans="1:11" x14ac:dyDescent="0.2">
      <c r="A118" t="s">
        <v>75</v>
      </c>
      <c r="B118" t="s">
        <v>118</v>
      </c>
      <c r="C118" t="s">
        <v>1078</v>
      </c>
      <c r="D118" t="s">
        <v>1079</v>
      </c>
      <c r="E118" t="s">
        <v>1080</v>
      </c>
      <c r="F118" t="s">
        <v>1081</v>
      </c>
      <c r="G118" t="s">
        <v>1082</v>
      </c>
      <c r="H118" t="s">
        <v>1083</v>
      </c>
      <c r="I118" t="s">
        <v>1084</v>
      </c>
      <c r="J118" t="s">
        <v>1085</v>
      </c>
      <c r="K118" t="s">
        <v>1086</v>
      </c>
    </row>
    <row r="119" spans="1:11" x14ac:dyDescent="0.2">
      <c r="A119" t="s">
        <v>30</v>
      </c>
      <c r="B119" t="s">
        <v>118</v>
      </c>
      <c r="C119" t="s">
        <v>1087</v>
      </c>
      <c r="D119" t="s">
        <v>1088</v>
      </c>
      <c r="E119" t="s">
        <v>1089</v>
      </c>
      <c r="F119" t="s">
        <v>1090</v>
      </c>
      <c r="G119" t="s">
        <v>1091</v>
      </c>
      <c r="H119" t="s">
        <v>1092</v>
      </c>
      <c r="I119" t="s">
        <v>1093</v>
      </c>
      <c r="J119" t="s">
        <v>1094</v>
      </c>
      <c r="K119" t="s">
        <v>1095</v>
      </c>
    </row>
    <row r="120" spans="1:11" x14ac:dyDescent="0.2">
      <c r="A120" t="s">
        <v>32</v>
      </c>
      <c r="B120" t="s">
        <v>118</v>
      </c>
      <c r="C120" t="s">
        <v>1096</v>
      </c>
      <c r="D120" t="s">
        <v>1097</v>
      </c>
      <c r="E120" t="s">
        <v>1098</v>
      </c>
      <c r="F120" t="s">
        <v>1099</v>
      </c>
      <c r="G120" t="s">
        <v>1100</v>
      </c>
      <c r="H120" t="s">
        <v>1101</v>
      </c>
      <c r="I120" t="s">
        <v>1102</v>
      </c>
      <c r="J120" t="s">
        <v>1103</v>
      </c>
      <c r="K120" t="s">
        <v>1104</v>
      </c>
    </row>
    <row r="121" spans="1:11" x14ac:dyDescent="0.2">
      <c r="A121" t="s">
        <v>33</v>
      </c>
      <c r="B121" t="s">
        <v>118</v>
      </c>
      <c r="C121" t="s">
        <v>1105</v>
      </c>
      <c r="D121" t="s">
        <v>1106</v>
      </c>
      <c r="E121" t="s">
        <v>1107</v>
      </c>
      <c r="F121" t="s">
        <v>1108</v>
      </c>
      <c r="G121" t="s">
        <v>1109</v>
      </c>
      <c r="H121" t="s">
        <v>1110</v>
      </c>
      <c r="I121" t="s">
        <v>1111</v>
      </c>
      <c r="J121" t="s">
        <v>1112</v>
      </c>
      <c r="K121" t="s">
        <v>1113</v>
      </c>
    </row>
    <row r="122" spans="1:11" x14ac:dyDescent="0.2">
      <c r="A122" t="s">
        <v>34</v>
      </c>
      <c r="B122" t="s">
        <v>118</v>
      </c>
      <c r="C122" t="s">
        <v>1114</v>
      </c>
      <c r="D122" t="s">
        <v>1115</v>
      </c>
      <c r="E122" t="s">
        <v>1116</v>
      </c>
      <c r="F122" t="s">
        <v>1117</v>
      </c>
      <c r="G122" t="s">
        <v>1118</v>
      </c>
      <c r="H122" t="s">
        <v>1119</v>
      </c>
      <c r="I122" t="s">
        <v>1120</v>
      </c>
      <c r="J122" t="s">
        <v>1121</v>
      </c>
      <c r="K122" t="s">
        <v>1122</v>
      </c>
    </row>
    <row r="123" spans="1:11" x14ac:dyDescent="0.2">
      <c r="A123" t="s">
        <v>129</v>
      </c>
      <c r="B123" t="s">
        <v>377</v>
      </c>
      <c r="C123" t="s">
        <v>1042</v>
      </c>
      <c r="D123" t="s">
        <v>1123</v>
      </c>
      <c r="E123" t="s">
        <v>1044</v>
      </c>
      <c r="F123" t="s">
        <v>1124</v>
      </c>
      <c r="G123" t="s">
        <v>1125</v>
      </c>
      <c r="H123" t="s">
        <v>1126</v>
      </c>
      <c r="I123" t="s">
        <v>1127</v>
      </c>
      <c r="J123" t="s">
        <v>1128</v>
      </c>
      <c r="K123" t="s">
        <v>1129</v>
      </c>
    </row>
    <row r="124" spans="1:11" x14ac:dyDescent="0.2">
      <c r="A124" t="s">
        <v>130</v>
      </c>
      <c r="B124" t="s">
        <v>377</v>
      </c>
      <c r="C124" t="s">
        <v>1051</v>
      </c>
      <c r="D124" t="s">
        <v>1130</v>
      </c>
      <c r="E124" t="s">
        <v>1053</v>
      </c>
      <c r="F124" t="s">
        <v>1131</v>
      </c>
      <c r="G124" t="s">
        <v>1132</v>
      </c>
      <c r="H124" t="s">
        <v>1133</v>
      </c>
      <c r="I124" t="s">
        <v>1134</v>
      </c>
      <c r="J124" t="s">
        <v>1135</v>
      </c>
      <c r="K124" t="s">
        <v>1136</v>
      </c>
    </row>
    <row r="125" spans="1:11" x14ac:dyDescent="0.2">
      <c r="A125" t="s">
        <v>73</v>
      </c>
      <c r="B125" t="s">
        <v>121</v>
      </c>
      <c r="C125" t="s">
        <v>1060</v>
      </c>
      <c r="D125" t="s">
        <v>1137</v>
      </c>
      <c r="E125" t="s">
        <v>1062</v>
      </c>
      <c r="F125" t="s">
        <v>1138</v>
      </c>
      <c r="G125" t="s">
        <v>1139</v>
      </c>
      <c r="H125" t="s">
        <v>1140</v>
      </c>
      <c r="I125" t="s">
        <v>1141</v>
      </c>
      <c r="J125" t="s">
        <v>1142</v>
      </c>
      <c r="K125" t="s">
        <v>1143</v>
      </c>
    </row>
    <row r="126" spans="1:11" x14ac:dyDescent="0.2">
      <c r="A126" t="s">
        <v>74</v>
      </c>
      <c r="B126" t="s">
        <v>121</v>
      </c>
      <c r="C126" t="s">
        <v>1069</v>
      </c>
      <c r="D126" t="s">
        <v>1144</v>
      </c>
      <c r="E126" t="s">
        <v>1071</v>
      </c>
      <c r="F126" t="s">
        <v>1145</v>
      </c>
      <c r="G126" t="s">
        <v>1146</v>
      </c>
      <c r="H126" t="s">
        <v>1147</v>
      </c>
      <c r="I126" t="s">
        <v>1148</v>
      </c>
      <c r="J126" t="s">
        <v>1149</v>
      </c>
      <c r="K126" t="s">
        <v>1150</v>
      </c>
    </row>
    <row r="127" spans="1:11" x14ac:dyDescent="0.2">
      <c r="A127" t="s">
        <v>75</v>
      </c>
      <c r="B127" t="s">
        <v>121</v>
      </c>
      <c r="C127" t="s">
        <v>1078</v>
      </c>
      <c r="D127" t="s">
        <v>1151</v>
      </c>
      <c r="E127" t="s">
        <v>1080</v>
      </c>
      <c r="F127" t="s">
        <v>1152</v>
      </c>
      <c r="G127" t="s">
        <v>1153</v>
      </c>
      <c r="H127" t="s">
        <v>1154</v>
      </c>
      <c r="I127" t="s">
        <v>1155</v>
      </c>
      <c r="J127" t="s">
        <v>1156</v>
      </c>
      <c r="K127" t="s">
        <v>1157</v>
      </c>
    </row>
    <row r="128" spans="1:11" x14ac:dyDescent="0.2">
      <c r="A128" t="s">
        <v>30</v>
      </c>
      <c r="B128" t="s">
        <v>121</v>
      </c>
      <c r="C128" t="s">
        <v>1087</v>
      </c>
      <c r="D128" t="s">
        <v>1158</v>
      </c>
      <c r="E128" t="s">
        <v>1089</v>
      </c>
      <c r="F128" t="s">
        <v>1159</v>
      </c>
      <c r="G128" t="s">
        <v>1160</v>
      </c>
      <c r="H128" t="s">
        <v>1161</v>
      </c>
      <c r="I128" t="s">
        <v>1162</v>
      </c>
      <c r="J128" t="s">
        <v>1163</v>
      </c>
      <c r="K128" t="s">
        <v>1164</v>
      </c>
    </row>
    <row r="129" spans="1:11" x14ac:dyDescent="0.2">
      <c r="A129" t="s">
        <v>32</v>
      </c>
      <c r="B129" t="s">
        <v>121</v>
      </c>
      <c r="C129" t="s">
        <v>1096</v>
      </c>
      <c r="D129" t="s">
        <v>1165</v>
      </c>
      <c r="E129" t="s">
        <v>1098</v>
      </c>
      <c r="F129" t="s">
        <v>1166</v>
      </c>
      <c r="G129" t="s">
        <v>1167</v>
      </c>
      <c r="H129" t="s">
        <v>1168</v>
      </c>
      <c r="I129" t="s">
        <v>1169</v>
      </c>
      <c r="J129" t="s">
        <v>1170</v>
      </c>
      <c r="K129" t="s">
        <v>1171</v>
      </c>
    </row>
    <row r="130" spans="1:11" x14ac:dyDescent="0.2">
      <c r="A130" t="s">
        <v>33</v>
      </c>
      <c r="B130" t="s">
        <v>121</v>
      </c>
      <c r="C130" t="s">
        <v>1105</v>
      </c>
      <c r="D130" t="s">
        <v>1172</v>
      </c>
      <c r="E130" t="s">
        <v>1107</v>
      </c>
      <c r="F130" t="s">
        <v>1173</v>
      </c>
      <c r="G130" t="s">
        <v>1174</v>
      </c>
      <c r="H130" t="s">
        <v>1175</v>
      </c>
      <c r="I130" t="s">
        <v>1176</v>
      </c>
      <c r="J130" t="s">
        <v>1177</v>
      </c>
      <c r="K130" t="s">
        <v>1178</v>
      </c>
    </row>
    <row r="131" spans="1:11" x14ac:dyDescent="0.2">
      <c r="A131" t="s">
        <v>34</v>
      </c>
      <c r="B131" t="s">
        <v>121</v>
      </c>
      <c r="C131" t="s">
        <v>1114</v>
      </c>
      <c r="D131" t="s">
        <v>1179</v>
      </c>
      <c r="E131" t="s">
        <v>1116</v>
      </c>
      <c r="F131" t="s">
        <v>1180</v>
      </c>
      <c r="G131" t="s">
        <v>1181</v>
      </c>
      <c r="H131" t="s">
        <v>1182</v>
      </c>
      <c r="I131" t="s">
        <v>1183</v>
      </c>
      <c r="J131" t="s">
        <v>1184</v>
      </c>
      <c r="K131" t="s">
        <v>1185</v>
      </c>
    </row>
    <row r="132" spans="1:11" x14ac:dyDescent="0.2">
      <c r="A132" t="s">
        <v>76</v>
      </c>
      <c r="B132" t="s">
        <v>118</v>
      </c>
      <c r="C132" t="s">
        <v>1186</v>
      </c>
      <c r="D132" t="s">
        <v>1187</v>
      </c>
      <c r="E132" t="s">
        <v>1188</v>
      </c>
      <c r="F132" t="s">
        <v>1189</v>
      </c>
      <c r="G132" t="s">
        <v>1190</v>
      </c>
      <c r="H132" t="s">
        <v>1191</v>
      </c>
      <c r="I132" t="s">
        <v>1192</v>
      </c>
      <c r="J132" t="s">
        <v>1193</v>
      </c>
      <c r="K132" t="s">
        <v>1194</v>
      </c>
    </row>
    <row r="133" spans="1:11" x14ac:dyDescent="0.2">
      <c r="A133" t="s">
        <v>78</v>
      </c>
      <c r="B133" t="s">
        <v>118</v>
      </c>
      <c r="C133" t="s">
        <v>1195</v>
      </c>
      <c r="D133" t="s">
        <v>1196</v>
      </c>
      <c r="E133" t="s">
        <v>1197</v>
      </c>
      <c r="F133" t="s">
        <v>1198</v>
      </c>
      <c r="G133" t="s">
        <v>1199</v>
      </c>
      <c r="H133" t="s">
        <v>1200</v>
      </c>
      <c r="I133" t="s">
        <v>1201</v>
      </c>
      <c r="J133" t="s">
        <v>1202</v>
      </c>
      <c r="K133" t="s">
        <v>1203</v>
      </c>
    </row>
    <row r="134" spans="1:11" x14ac:dyDescent="0.2">
      <c r="A134" t="s">
        <v>79</v>
      </c>
      <c r="B134" t="s">
        <v>118</v>
      </c>
      <c r="C134" t="s">
        <v>1204</v>
      </c>
      <c r="D134" t="s">
        <v>1205</v>
      </c>
      <c r="E134" t="s">
        <v>1206</v>
      </c>
      <c r="F134" t="s">
        <v>1207</v>
      </c>
      <c r="G134" t="s">
        <v>1208</v>
      </c>
      <c r="H134" t="s">
        <v>1209</v>
      </c>
      <c r="I134" t="s">
        <v>1210</v>
      </c>
      <c r="J134" t="s">
        <v>1211</v>
      </c>
      <c r="K134" t="s">
        <v>1212</v>
      </c>
    </row>
    <row r="135" spans="1:11" x14ac:dyDescent="0.2">
      <c r="A135" t="s">
        <v>80</v>
      </c>
      <c r="B135" t="s">
        <v>118</v>
      </c>
      <c r="C135" t="s">
        <v>1213</v>
      </c>
      <c r="D135" t="s">
        <v>1214</v>
      </c>
      <c r="E135" t="s">
        <v>1215</v>
      </c>
      <c r="F135" t="s">
        <v>1216</v>
      </c>
      <c r="G135" t="s">
        <v>1217</v>
      </c>
      <c r="H135" t="s">
        <v>1218</v>
      </c>
      <c r="I135" t="s">
        <v>1219</v>
      </c>
      <c r="J135" t="s">
        <v>1220</v>
      </c>
      <c r="K135" t="s">
        <v>1221</v>
      </c>
    </row>
    <row r="136" spans="1:11" x14ac:dyDescent="0.2">
      <c r="A136" t="s">
        <v>81</v>
      </c>
      <c r="B136" t="s">
        <v>118</v>
      </c>
      <c r="C136" t="s">
        <v>1222</v>
      </c>
      <c r="D136" t="s">
        <v>1223</v>
      </c>
      <c r="E136" t="s">
        <v>1224</v>
      </c>
      <c r="F136" t="s">
        <v>1225</v>
      </c>
      <c r="G136" t="s">
        <v>1226</v>
      </c>
      <c r="H136" t="s">
        <v>1227</v>
      </c>
      <c r="I136" t="s">
        <v>1228</v>
      </c>
      <c r="J136" t="s">
        <v>1229</v>
      </c>
      <c r="K136" t="s">
        <v>1230</v>
      </c>
    </row>
    <row r="137" spans="1:11" x14ac:dyDescent="0.2">
      <c r="A137" t="s">
        <v>125</v>
      </c>
      <c r="B137" t="s">
        <v>304</v>
      </c>
      <c r="C137" t="s">
        <v>1231</v>
      </c>
      <c r="D137" t="s">
        <v>1232</v>
      </c>
      <c r="E137" t="s">
        <v>1233</v>
      </c>
      <c r="F137" t="s">
        <v>1234</v>
      </c>
      <c r="G137" t="s">
        <v>1235</v>
      </c>
      <c r="H137" t="s">
        <v>1236</v>
      </c>
      <c r="I137" t="s">
        <v>1237</v>
      </c>
      <c r="J137" t="s">
        <v>1238</v>
      </c>
      <c r="K137" t="s">
        <v>1239</v>
      </c>
    </row>
    <row r="138" spans="1:11" x14ac:dyDescent="0.2">
      <c r="A138" t="s">
        <v>126</v>
      </c>
      <c r="B138" t="s">
        <v>304</v>
      </c>
      <c r="C138" t="s">
        <v>1240</v>
      </c>
      <c r="D138" t="s">
        <v>1241</v>
      </c>
      <c r="E138" t="s">
        <v>1242</v>
      </c>
      <c r="F138" t="s">
        <v>1243</v>
      </c>
      <c r="G138" t="s">
        <v>1244</v>
      </c>
      <c r="H138" t="s">
        <v>1245</v>
      </c>
      <c r="I138" t="s">
        <v>1246</v>
      </c>
      <c r="J138" t="s">
        <v>1247</v>
      </c>
      <c r="K138" t="s">
        <v>1248</v>
      </c>
    </row>
    <row r="139" spans="1:11" x14ac:dyDescent="0.2">
      <c r="A139" t="s">
        <v>127</v>
      </c>
      <c r="B139" t="s">
        <v>304</v>
      </c>
      <c r="C139" t="s">
        <v>1249</v>
      </c>
      <c r="D139" t="s">
        <v>1250</v>
      </c>
      <c r="E139" t="s">
        <v>1251</v>
      </c>
      <c r="F139" t="s">
        <v>1252</v>
      </c>
      <c r="G139" t="s">
        <v>1253</v>
      </c>
      <c r="H139" t="s">
        <v>1254</v>
      </c>
      <c r="I139" t="s">
        <v>1255</v>
      </c>
      <c r="J139" t="s">
        <v>1256</v>
      </c>
      <c r="K139" t="s">
        <v>1257</v>
      </c>
    </row>
    <row r="140" spans="1:11" x14ac:dyDescent="0.2">
      <c r="A140" t="s">
        <v>128</v>
      </c>
      <c r="B140" t="s">
        <v>304</v>
      </c>
      <c r="C140" t="s">
        <v>1258</v>
      </c>
      <c r="D140" t="s">
        <v>1259</v>
      </c>
      <c r="E140" t="s">
        <v>1260</v>
      </c>
      <c r="F140" t="s">
        <v>1261</v>
      </c>
      <c r="G140" t="s">
        <v>1262</v>
      </c>
      <c r="H140" t="s">
        <v>1263</v>
      </c>
      <c r="I140" t="s">
        <v>1264</v>
      </c>
      <c r="J140" t="s">
        <v>1265</v>
      </c>
      <c r="K140" t="s">
        <v>1266</v>
      </c>
    </row>
    <row r="141" spans="1:11" x14ac:dyDescent="0.2">
      <c r="A141" t="s">
        <v>76</v>
      </c>
      <c r="B141" t="s">
        <v>121</v>
      </c>
      <c r="C141" t="s">
        <v>1186</v>
      </c>
      <c r="D141" t="s">
        <v>1267</v>
      </c>
      <c r="E141" t="s">
        <v>1188</v>
      </c>
      <c r="F141" t="s">
        <v>1268</v>
      </c>
      <c r="G141" t="s">
        <v>1269</v>
      </c>
      <c r="H141" t="s">
        <v>1270</v>
      </c>
      <c r="I141" t="s">
        <v>1271</v>
      </c>
      <c r="J141" t="s">
        <v>1272</v>
      </c>
      <c r="K141" t="s">
        <v>1273</v>
      </c>
    </row>
    <row r="142" spans="1:11" x14ac:dyDescent="0.2">
      <c r="A142" t="s">
        <v>78</v>
      </c>
      <c r="B142" t="s">
        <v>121</v>
      </c>
      <c r="C142" t="s">
        <v>1195</v>
      </c>
      <c r="D142" t="s">
        <v>1274</v>
      </c>
      <c r="E142" t="s">
        <v>1197</v>
      </c>
      <c r="F142" t="s">
        <v>1275</v>
      </c>
      <c r="G142" t="s">
        <v>1276</v>
      </c>
      <c r="H142" t="s">
        <v>1277</v>
      </c>
      <c r="I142" t="s">
        <v>1278</v>
      </c>
      <c r="J142" t="s">
        <v>1279</v>
      </c>
      <c r="K142" t="s">
        <v>1280</v>
      </c>
    </row>
    <row r="143" spans="1:11" x14ac:dyDescent="0.2">
      <c r="A143" t="s">
        <v>79</v>
      </c>
      <c r="B143" t="s">
        <v>121</v>
      </c>
      <c r="C143" t="s">
        <v>1204</v>
      </c>
      <c r="D143" t="s">
        <v>1281</v>
      </c>
      <c r="E143" t="s">
        <v>1206</v>
      </c>
      <c r="F143" t="s">
        <v>1282</v>
      </c>
      <c r="G143" t="s">
        <v>1283</v>
      </c>
      <c r="H143" t="s">
        <v>1284</v>
      </c>
      <c r="I143" t="s">
        <v>1285</v>
      </c>
      <c r="J143" t="s">
        <v>1286</v>
      </c>
      <c r="K143" t="s">
        <v>1287</v>
      </c>
    </row>
    <row r="144" spans="1:11" x14ac:dyDescent="0.2">
      <c r="A144" t="s">
        <v>80</v>
      </c>
      <c r="B144" t="s">
        <v>121</v>
      </c>
      <c r="C144" t="s">
        <v>1213</v>
      </c>
      <c r="D144" t="s">
        <v>1288</v>
      </c>
      <c r="E144" t="s">
        <v>1215</v>
      </c>
      <c r="F144" t="s">
        <v>1289</v>
      </c>
      <c r="G144" t="s">
        <v>1290</v>
      </c>
      <c r="H144" t="s">
        <v>1291</v>
      </c>
      <c r="I144" t="s">
        <v>1292</v>
      </c>
      <c r="J144" t="s">
        <v>1293</v>
      </c>
      <c r="K144" t="s">
        <v>1294</v>
      </c>
    </row>
    <row r="145" spans="1:11" x14ac:dyDescent="0.2">
      <c r="A145" t="s">
        <v>81</v>
      </c>
      <c r="B145" t="s">
        <v>121</v>
      </c>
      <c r="C145" t="s">
        <v>1222</v>
      </c>
      <c r="D145" t="s">
        <v>1295</v>
      </c>
      <c r="E145" t="s">
        <v>1224</v>
      </c>
      <c r="F145" t="s">
        <v>1296</v>
      </c>
      <c r="G145" t="s">
        <v>1297</v>
      </c>
      <c r="H145" t="s">
        <v>1298</v>
      </c>
      <c r="I145" t="s">
        <v>1299</v>
      </c>
      <c r="J145" t="s">
        <v>1300</v>
      </c>
      <c r="K145" t="s">
        <v>1301</v>
      </c>
    </row>
    <row r="146" spans="1:11" x14ac:dyDescent="0.2">
      <c r="A146" t="s">
        <v>125</v>
      </c>
      <c r="B146" t="s">
        <v>377</v>
      </c>
      <c r="C146" t="s">
        <v>1231</v>
      </c>
      <c r="D146" t="s">
        <v>1302</v>
      </c>
      <c r="E146" t="s">
        <v>1233</v>
      </c>
      <c r="F146" t="s">
        <v>1303</v>
      </c>
      <c r="G146" t="s">
        <v>1304</v>
      </c>
      <c r="H146" t="s">
        <v>1305</v>
      </c>
      <c r="I146" t="s">
        <v>1306</v>
      </c>
      <c r="J146" t="s">
        <v>1307</v>
      </c>
      <c r="K146" t="s">
        <v>1308</v>
      </c>
    </row>
    <row r="147" spans="1:11" x14ac:dyDescent="0.2">
      <c r="A147" t="s">
        <v>126</v>
      </c>
      <c r="B147" t="s">
        <v>377</v>
      </c>
      <c r="C147" t="s">
        <v>1240</v>
      </c>
      <c r="D147" t="s">
        <v>1309</v>
      </c>
      <c r="E147" t="s">
        <v>1242</v>
      </c>
      <c r="F147" t="s">
        <v>1310</v>
      </c>
      <c r="G147" t="s">
        <v>1311</v>
      </c>
      <c r="H147" t="s">
        <v>1312</v>
      </c>
      <c r="I147" t="s">
        <v>1313</v>
      </c>
      <c r="J147" t="s">
        <v>1314</v>
      </c>
      <c r="K147" t="s">
        <v>1315</v>
      </c>
    </row>
    <row r="148" spans="1:11" x14ac:dyDescent="0.2">
      <c r="A148" t="s">
        <v>127</v>
      </c>
      <c r="B148" t="s">
        <v>377</v>
      </c>
      <c r="C148" t="s">
        <v>1249</v>
      </c>
      <c r="D148" t="s">
        <v>1316</v>
      </c>
      <c r="E148" t="s">
        <v>1251</v>
      </c>
      <c r="F148" t="s">
        <v>1317</v>
      </c>
      <c r="G148" t="s">
        <v>1318</v>
      </c>
      <c r="H148" t="s">
        <v>1319</v>
      </c>
      <c r="I148" t="s">
        <v>1320</v>
      </c>
      <c r="J148" t="s">
        <v>1321</v>
      </c>
      <c r="K148" t="s">
        <v>1322</v>
      </c>
    </row>
    <row r="149" spans="1:11" x14ac:dyDescent="0.2">
      <c r="A149" t="s">
        <v>128</v>
      </c>
      <c r="B149" t="s">
        <v>377</v>
      </c>
      <c r="C149" t="s">
        <v>1258</v>
      </c>
      <c r="D149" t="s">
        <v>1323</v>
      </c>
      <c r="E149" t="s">
        <v>1260</v>
      </c>
      <c r="F149" t="s">
        <v>1324</v>
      </c>
      <c r="G149" t="s">
        <v>1325</v>
      </c>
      <c r="H149" t="s">
        <v>1326</v>
      </c>
      <c r="I149" t="s">
        <v>1327</v>
      </c>
      <c r="J149" t="s">
        <v>1328</v>
      </c>
      <c r="K149" t="s">
        <v>1329</v>
      </c>
    </row>
    <row r="150" spans="1:11" x14ac:dyDescent="0.2">
      <c r="A150" t="s">
        <v>43</v>
      </c>
      <c r="B150" t="s">
        <v>118</v>
      </c>
      <c r="C150" t="s">
        <v>1330</v>
      </c>
      <c r="D150" t="s">
        <v>1331</v>
      </c>
      <c r="E150" t="s">
        <v>1332</v>
      </c>
      <c r="F150" t="s">
        <v>1333</v>
      </c>
      <c r="G150" t="s">
        <v>1334</v>
      </c>
      <c r="H150" t="s">
        <v>1335</v>
      </c>
      <c r="I150" t="s">
        <v>1336</v>
      </c>
      <c r="J150" t="s">
        <v>1337</v>
      </c>
      <c r="K150" t="s">
        <v>1338</v>
      </c>
    </row>
    <row r="151" spans="1:11" x14ac:dyDescent="0.2">
      <c r="A151" t="s">
        <v>43</v>
      </c>
      <c r="B151" t="s">
        <v>121</v>
      </c>
      <c r="C151" t="s">
        <v>1330</v>
      </c>
      <c r="D151" t="s">
        <v>1339</v>
      </c>
      <c r="E151" t="s">
        <v>1332</v>
      </c>
      <c r="F151" t="s">
        <v>1340</v>
      </c>
      <c r="G151" t="s">
        <v>1341</v>
      </c>
      <c r="H151" t="s">
        <v>1342</v>
      </c>
      <c r="I151" t="s">
        <v>1343</v>
      </c>
      <c r="J151" t="s">
        <v>1344</v>
      </c>
      <c r="K151" t="s">
        <v>1345</v>
      </c>
    </row>
    <row r="152" spans="1:11" x14ac:dyDescent="0.2">
      <c r="A152" t="s">
        <v>102</v>
      </c>
      <c r="B152" t="s">
        <v>118</v>
      </c>
      <c r="C152" t="s">
        <v>1346</v>
      </c>
      <c r="D152" t="s">
        <v>1347</v>
      </c>
      <c r="E152" t="s">
        <v>1348</v>
      </c>
      <c r="F152" t="s">
        <v>1349</v>
      </c>
      <c r="G152" t="s">
        <v>1350</v>
      </c>
      <c r="H152" t="s">
        <v>1351</v>
      </c>
      <c r="I152" t="s">
        <v>1352</v>
      </c>
      <c r="J152" t="s">
        <v>1353</v>
      </c>
      <c r="K152" t="s">
        <v>1354</v>
      </c>
    </row>
    <row r="153" spans="1:11" x14ac:dyDescent="0.2">
      <c r="A153" t="s">
        <v>102</v>
      </c>
      <c r="B153" t="s">
        <v>121</v>
      </c>
      <c r="C153" t="s">
        <v>1346</v>
      </c>
      <c r="D153" t="s">
        <v>1355</v>
      </c>
      <c r="E153" t="s">
        <v>1348</v>
      </c>
      <c r="F153" t="s">
        <v>1356</v>
      </c>
      <c r="G153" t="s">
        <v>1357</v>
      </c>
      <c r="H153" t="s">
        <v>1358</v>
      </c>
      <c r="I153" t="s">
        <v>1359</v>
      </c>
      <c r="J153" t="s">
        <v>1360</v>
      </c>
      <c r="K153" t="s">
        <v>1361</v>
      </c>
    </row>
    <row r="154" spans="1:11" x14ac:dyDescent="0.2">
      <c r="A154" t="s">
        <v>94</v>
      </c>
      <c r="B154" t="s">
        <v>118</v>
      </c>
      <c r="C154" t="s">
        <v>1362</v>
      </c>
      <c r="D154" t="s">
        <v>1363</v>
      </c>
      <c r="E154" t="s">
        <v>1364</v>
      </c>
      <c r="F154" t="s">
        <v>1365</v>
      </c>
      <c r="G154" t="s">
        <v>1366</v>
      </c>
      <c r="H154" t="s">
        <v>1367</v>
      </c>
      <c r="I154" t="s">
        <v>1368</v>
      </c>
      <c r="J154" t="s">
        <v>1369</v>
      </c>
      <c r="K154" t="s">
        <v>1370</v>
      </c>
    </row>
    <row r="155" spans="1:11" x14ac:dyDescent="0.2">
      <c r="A155" t="s">
        <v>95</v>
      </c>
      <c r="B155" t="s">
        <v>118</v>
      </c>
      <c r="C155" t="s">
        <v>1371</v>
      </c>
      <c r="D155" t="s">
        <v>1372</v>
      </c>
      <c r="E155" t="s">
        <v>1373</v>
      </c>
      <c r="F155" t="s">
        <v>1374</v>
      </c>
      <c r="G155" t="s">
        <v>1375</v>
      </c>
      <c r="H155" t="s">
        <v>1376</v>
      </c>
      <c r="I155" t="s">
        <v>1377</v>
      </c>
      <c r="J155" t="s">
        <v>1378</v>
      </c>
      <c r="K155" t="s">
        <v>1379</v>
      </c>
    </row>
    <row r="156" spans="1:11" x14ac:dyDescent="0.2">
      <c r="A156" t="s">
        <v>109</v>
      </c>
      <c r="B156" t="s">
        <v>118</v>
      </c>
      <c r="C156" t="s">
        <v>1380</v>
      </c>
      <c r="D156" t="s">
        <v>1381</v>
      </c>
      <c r="E156" t="s">
        <v>1382</v>
      </c>
      <c r="F156" t="s">
        <v>1383</v>
      </c>
      <c r="G156" t="s">
        <v>1384</v>
      </c>
      <c r="H156" t="s">
        <v>1385</v>
      </c>
      <c r="I156" t="s">
        <v>1386</v>
      </c>
      <c r="J156" t="s">
        <v>1387</v>
      </c>
      <c r="K156" t="s">
        <v>1388</v>
      </c>
    </row>
    <row r="157" spans="1:11" x14ac:dyDescent="0.2">
      <c r="A157" t="s">
        <v>107</v>
      </c>
      <c r="B157" t="s">
        <v>118</v>
      </c>
      <c r="C157" t="s">
        <v>1389</v>
      </c>
      <c r="D157" t="s">
        <v>1390</v>
      </c>
      <c r="E157" t="s">
        <v>1391</v>
      </c>
      <c r="F157" t="s">
        <v>1392</v>
      </c>
      <c r="G157" t="s">
        <v>1393</v>
      </c>
      <c r="H157" t="s">
        <v>1394</v>
      </c>
      <c r="I157" t="s">
        <v>1395</v>
      </c>
      <c r="J157" t="s">
        <v>1396</v>
      </c>
      <c r="K157" t="s">
        <v>1397</v>
      </c>
    </row>
    <row r="158" spans="1:11" x14ac:dyDescent="0.2">
      <c r="A158" t="s">
        <v>108</v>
      </c>
      <c r="B158" t="s">
        <v>118</v>
      </c>
      <c r="C158" t="s">
        <v>1398</v>
      </c>
      <c r="D158" t="s">
        <v>1399</v>
      </c>
      <c r="E158" t="s">
        <v>1400</v>
      </c>
      <c r="F158" t="s">
        <v>1401</v>
      </c>
      <c r="G158" t="s">
        <v>1402</v>
      </c>
      <c r="H158" t="s">
        <v>1403</v>
      </c>
      <c r="I158" t="s">
        <v>1404</v>
      </c>
      <c r="J158" t="s">
        <v>1405</v>
      </c>
      <c r="K158" t="s">
        <v>1406</v>
      </c>
    </row>
    <row r="159" spans="1:11" x14ac:dyDescent="0.2">
      <c r="A159" t="s">
        <v>94</v>
      </c>
      <c r="B159" t="s">
        <v>121</v>
      </c>
      <c r="C159" t="s">
        <v>1362</v>
      </c>
      <c r="D159" t="s">
        <v>1407</v>
      </c>
      <c r="E159" t="s">
        <v>1364</v>
      </c>
      <c r="F159" t="s">
        <v>1408</v>
      </c>
      <c r="G159" t="s">
        <v>1409</v>
      </c>
      <c r="H159" t="s">
        <v>1410</v>
      </c>
      <c r="I159" t="s">
        <v>1411</v>
      </c>
      <c r="J159" t="s">
        <v>1412</v>
      </c>
      <c r="K159" t="s">
        <v>1413</v>
      </c>
    </row>
    <row r="160" spans="1:11" x14ac:dyDescent="0.2">
      <c r="A160" t="s">
        <v>95</v>
      </c>
      <c r="B160" t="s">
        <v>121</v>
      </c>
      <c r="C160" t="s">
        <v>1371</v>
      </c>
      <c r="D160" t="s">
        <v>1414</v>
      </c>
      <c r="E160" t="s">
        <v>1373</v>
      </c>
      <c r="F160" t="s">
        <v>1415</v>
      </c>
      <c r="G160" t="s">
        <v>1416</v>
      </c>
      <c r="H160" t="s">
        <v>1417</v>
      </c>
      <c r="I160" t="s">
        <v>1418</v>
      </c>
      <c r="J160" t="s">
        <v>1419</v>
      </c>
      <c r="K160" t="s">
        <v>1420</v>
      </c>
    </row>
    <row r="161" spans="1:11" x14ac:dyDescent="0.2">
      <c r="A161" t="s">
        <v>109</v>
      </c>
      <c r="B161" t="s">
        <v>121</v>
      </c>
      <c r="C161" t="s">
        <v>1380</v>
      </c>
      <c r="D161" t="s">
        <v>1421</v>
      </c>
      <c r="E161" t="s">
        <v>1382</v>
      </c>
      <c r="F161" t="s">
        <v>1422</v>
      </c>
      <c r="G161" t="s">
        <v>1423</v>
      </c>
      <c r="H161" t="s">
        <v>1424</v>
      </c>
      <c r="I161" t="s">
        <v>1425</v>
      </c>
      <c r="J161" t="s">
        <v>1426</v>
      </c>
      <c r="K161" t="s">
        <v>1427</v>
      </c>
    </row>
    <row r="162" spans="1:11" x14ac:dyDescent="0.2">
      <c r="A162" t="s">
        <v>107</v>
      </c>
      <c r="B162" t="s">
        <v>121</v>
      </c>
      <c r="C162" t="s">
        <v>1389</v>
      </c>
      <c r="D162" t="s">
        <v>1428</v>
      </c>
      <c r="E162" t="s">
        <v>1391</v>
      </c>
      <c r="F162" t="s">
        <v>1429</v>
      </c>
      <c r="G162" t="s">
        <v>1430</v>
      </c>
      <c r="H162" t="s">
        <v>1431</v>
      </c>
      <c r="I162" t="s">
        <v>1432</v>
      </c>
      <c r="J162" t="s">
        <v>1433</v>
      </c>
      <c r="K162" t="s">
        <v>1434</v>
      </c>
    </row>
    <row r="163" spans="1:11" x14ac:dyDescent="0.2">
      <c r="A163" t="s">
        <v>108</v>
      </c>
      <c r="B163" t="s">
        <v>121</v>
      </c>
      <c r="C163" t="s">
        <v>1398</v>
      </c>
      <c r="D163" t="s">
        <v>1435</v>
      </c>
      <c r="E163" t="s">
        <v>1400</v>
      </c>
      <c r="F163" t="s">
        <v>1436</v>
      </c>
      <c r="G163" t="s">
        <v>1437</v>
      </c>
      <c r="H163" t="s">
        <v>1438</v>
      </c>
      <c r="I163" t="s">
        <v>1439</v>
      </c>
      <c r="J163" t="s">
        <v>1440</v>
      </c>
      <c r="K163" t="s">
        <v>1441</v>
      </c>
    </row>
    <row r="164" spans="1:11" x14ac:dyDescent="0.2">
      <c r="A164" t="s">
        <v>100</v>
      </c>
      <c r="B164" t="s">
        <v>118</v>
      </c>
      <c r="C164" t="s">
        <v>1442</v>
      </c>
      <c r="D164" t="s">
        <v>1443</v>
      </c>
      <c r="E164" t="s">
        <v>1444</v>
      </c>
      <c r="F164" t="s">
        <v>1445</v>
      </c>
      <c r="G164" t="s">
        <v>1446</v>
      </c>
      <c r="H164" t="s">
        <v>1447</v>
      </c>
      <c r="I164" t="s">
        <v>1448</v>
      </c>
      <c r="J164" t="s">
        <v>1449</v>
      </c>
      <c r="K164" t="s">
        <v>1450</v>
      </c>
    </row>
    <row r="165" spans="1:11" x14ac:dyDescent="0.2">
      <c r="A165" t="s">
        <v>101</v>
      </c>
      <c r="B165" t="s">
        <v>118</v>
      </c>
      <c r="C165" t="s">
        <v>1451</v>
      </c>
      <c r="D165" t="s">
        <v>1452</v>
      </c>
      <c r="E165" t="s">
        <v>1453</v>
      </c>
      <c r="F165" t="s">
        <v>1454</v>
      </c>
      <c r="G165" t="s">
        <v>1455</v>
      </c>
      <c r="H165" t="s">
        <v>1456</v>
      </c>
      <c r="I165" t="s">
        <v>1457</v>
      </c>
      <c r="J165" t="s">
        <v>1458</v>
      </c>
      <c r="K165" t="s">
        <v>1459</v>
      </c>
    </row>
    <row r="166" spans="1:11" x14ac:dyDescent="0.2">
      <c r="A166" t="s">
        <v>91</v>
      </c>
      <c r="B166" t="s">
        <v>118</v>
      </c>
      <c r="C166" t="s">
        <v>1460</v>
      </c>
      <c r="D166" t="s">
        <v>1461</v>
      </c>
      <c r="E166" t="s">
        <v>1462</v>
      </c>
      <c r="F166" t="s">
        <v>1463</v>
      </c>
      <c r="G166" t="s">
        <v>1464</v>
      </c>
      <c r="H166" t="s">
        <v>1465</v>
      </c>
      <c r="I166" t="s">
        <v>1466</v>
      </c>
      <c r="J166" t="s">
        <v>1467</v>
      </c>
      <c r="K166" t="s">
        <v>1468</v>
      </c>
    </row>
    <row r="167" spans="1:11" x14ac:dyDescent="0.2">
      <c r="A167" t="s">
        <v>92</v>
      </c>
      <c r="B167" t="s">
        <v>118</v>
      </c>
      <c r="C167" t="s">
        <v>1469</v>
      </c>
      <c r="D167" t="s">
        <v>1470</v>
      </c>
      <c r="E167" t="s">
        <v>1471</v>
      </c>
      <c r="F167" t="s">
        <v>1472</v>
      </c>
      <c r="G167" t="s">
        <v>1473</v>
      </c>
      <c r="H167" t="s">
        <v>1474</v>
      </c>
      <c r="I167" t="s">
        <v>1475</v>
      </c>
      <c r="J167" t="s">
        <v>1476</v>
      </c>
      <c r="K167" t="s">
        <v>1477</v>
      </c>
    </row>
    <row r="168" spans="1:11" x14ac:dyDescent="0.2">
      <c r="A168" t="s">
        <v>93</v>
      </c>
      <c r="B168" t="s">
        <v>118</v>
      </c>
      <c r="C168" t="s">
        <v>1478</v>
      </c>
      <c r="D168" t="s">
        <v>1479</v>
      </c>
      <c r="E168" t="s">
        <v>1480</v>
      </c>
      <c r="F168" t="s">
        <v>1481</v>
      </c>
      <c r="G168" t="s">
        <v>1482</v>
      </c>
      <c r="H168" t="s">
        <v>1483</v>
      </c>
      <c r="I168" t="s">
        <v>1484</v>
      </c>
      <c r="J168" t="s">
        <v>1485</v>
      </c>
      <c r="K168" t="s">
        <v>1486</v>
      </c>
    </row>
    <row r="169" spans="1:11" x14ac:dyDescent="0.2">
      <c r="A169" t="s">
        <v>100</v>
      </c>
      <c r="B169" t="s">
        <v>121</v>
      </c>
      <c r="C169" t="s">
        <v>1442</v>
      </c>
      <c r="D169" t="s">
        <v>1487</v>
      </c>
      <c r="E169" t="s">
        <v>1444</v>
      </c>
      <c r="F169" t="s">
        <v>1488</v>
      </c>
      <c r="G169" t="s">
        <v>1489</v>
      </c>
      <c r="H169" t="s">
        <v>1490</v>
      </c>
      <c r="I169" t="s">
        <v>1491</v>
      </c>
      <c r="J169" t="s">
        <v>1492</v>
      </c>
      <c r="K169" t="s">
        <v>1493</v>
      </c>
    </row>
    <row r="170" spans="1:11" x14ac:dyDescent="0.2">
      <c r="A170" t="s">
        <v>101</v>
      </c>
      <c r="B170" t="s">
        <v>121</v>
      </c>
      <c r="C170" t="s">
        <v>1451</v>
      </c>
      <c r="D170" t="s">
        <v>1494</v>
      </c>
      <c r="E170" t="s">
        <v>1453</v>
      </c>
      <c r="F170" t="s">
        <v>1495</v>
      </c>
      <c r="G170" t="s">
        <v>1496</v>
      </c>
      <c r="H170" t="s">
        <v>1497</v>
      </c>
      <c r="I170" t="s">
        <v>1498</v>
      </c>
      <c r="J170" t="s">
        <v>1499</v>
      </c>
      <c r="K170" t="s">
        <v>1500</v>
      </c>
    </row>
    <row r="171" spans="1:11" x14ac:dyDescent="0.2">
      <c r="A171" t="s">
        <v>91</v>
      </c>
      <c r="B171" t="s">
        <v>121</v>
      </c>
      <c r="C171" t="s">
        <v>1460</v>
      </c>
      <c r="D171" t="s">
        <v>1501</v>
      </c>
      <c r="E171" t="s">
        <v>1462</v>
      </c>
      <c r="F171" t="s">
        <v>1502</v>
      </c>
      <c r="G171" t="s">
        <v>1503</v>
      </c>
      <c r="H171" t="s">
        <v>1504</v>
      </c>
      <c r="I171" t="s">
        <v>1505</v>
      </c>
      <c r="J171" t="s">
        <v>1506</v>
      </c>
      <c r="K171" t="s">
        <v>1507</v>
      </c>
    </row>
    <row r="172" spans="1:11" x14ac:dyDescent="0.2">
      <c r="A172" t="s">
        <v>92</v>
      </c>
      <c r="B172" t="s">
        <v>121</v>
      </c>
      <c r="C172" t="s">
        <v>1469</v>
      </c>
      <c r="D172" t="s">
        <v>1508</v>
      </c>
      <c r="E172" t="s">
        <v>1471</v>
      </c>
      <c r="F172" t="s">
        <v>1509</v>
      </c>
      <c r="G172" t="s">
        <v>1510</v>
      </c>
      <c r="H172" t="s">
        <v>1511</v>
      </c>
      <c r="I172" t="s">
        <v>1512</v>
      </c>
      <c r="J172" t="s">
        <v>1513</v>
      </c>
      <c r="K172" t="s">
        <v>1514</v>
      </c>
    </row>
    <row r="173" spans="1:11" x14ac:dyDescent="0.2">
      <c r="A173" t="s">
        <v>93</v>
      </c>
      <c r="B173" t="s">
        <v>121</v>
      </c>
      <c r="C173" t="s">
        <v>1478</v>
      </c>
      <c r="D173" t="s">
        <v>1515</v>
      </c>
      <c r="E173" t="s">
        <v>1480</v>
      </c>
      <c r="F173" t="s">
        <v>1516</v>
      </c>
      <c r="G173" t="s">
        <v>1517</v>
      </c>
      <c r="H173" t="s">
        <v>1518</v>
      </c>
      <c r="I173" t="s">
        <v>1519</v>
      </c>
      <c r="J173" t="s">
        <v>1520</v>
      </c>
      <c r="K173" t="s">
        <v>1521</v>
      </c>
    </row>
    <row r="174" spans="1:11" x14ac:dyDescent="0.2">
      <c r="A174" t="s">
        <v>88</v>
      </c>
      <c r="B174" t="s">
        <v>118</v>
      </c>
      <c r="C174" t="s">
        <v>1522</v>
      </c>
      <c r="D174" t="s">
        <v>1523</v>
      </c>
      <c r="E174" t="s">
        <v>1524</v>
      </c>
      <c r="F174" t="s">
        <v>1525</v>
      </c>
      <c r="G174" t="s">
        <v>1526</v>
      </c>
      <c r="H174" t="s">
        <v>1527</v>
      </c>
      <c r="I174" t="s">
        <v>1528</v>
      </c>
      <c r="J174" t="s">
        <v>1529</v>
      </c>
      <c r="K174" t="s">
        <v>1530</v>
      </c>
    </row>
    <row r="175" spans="1:11" x14ac:dyDescent="0.2">
      <c r="A175" t="s">
        <v>96</v>
      </c>
      <c r="B175" t="s">
        <v>118</v>
      </c>
      <c r="C175" t="s">
        <v>1531</v>
      </c>
      <c r="D175" t="s">
        <v>1532</v>
      </c>
      <c r="E175" t="s">
        <v>1533</v>
      </c>
      <c r="F175" t="s">
        <v>1534</v>
      </c>
      <c r="G175" t="s">
        <v>1535</v>
      </c>
      <c r="H175" t="s">
        <v>1536</v>
      </c>
      <c r="I175" t="s">
        <v>1537</v>
      </c>
      <c r="J175" t="s">
        <v>1538</v>
      </c>
      <c r="K175" t="s">
        <v>1539</v>
      </c>
    </row>
    <row r="176" spans="1:11" x14ac:dyDescent="0.2">
      <c r="A176" t="s">
        <v>98</v>
      </c>
      <c r="B176" t="s">
        <v>118</v>
      </c>
      <c r="C176" t="s">
        <v>1540</v>
      </c>
      <c r="D176" t="s">
        <v>1541</v>
      </c>
      <c r="E176" t="s">
        <v>1542</v>
      </c>
      <c r="F176" t="s">
        <v>1543</v>
      </c>
      <c r="G176" t="s">
        <v>1544</v>
      </c>
      <c r="H176" t="s">
        <v>1545</v>
      </c>
      <c r="I176" t="s">
        <v>1546</v>
      </c>
      <c r="J176" t="s">
        <v>1547</v>
      </c>
      <c r="K176" t="s">
        <v>1548</v>
      </c>
    </row>
    <row r="177" spans="1:11" x14ac:dyDescent="0.2">
      <c r="A177" t="s">
        <v>99</v>
      </c>
      <c r="B177" t="s">
        <v>118</v>
      </c>
      <c r="C177" t="s">
        <v>1549</v>
      </c>
      <c r="D177" t="s">
        <v>1550</v>
      </c>
      <c r="E177" t="s">
        <v>1551</v>
      </c>
      <c r="F177" t="s">
        <v>1552</v>
      </c>
      <c r="G177" t="s">
        <v>1553</v>
      </c>
      <c r="H177" t="s">
        <v>1554</v>
      </c>
      <c r="I177" t="s">
        <v>1555</v>
      </c>
      <c r="J177" t="s">
        <v>1556</v>
      </c>
      <c r="K177" t="s">
        <v>1557</v>
      </c>
    </row>
    <row r="178" spans="1:11" x14ac:dyDescent="0.2">
      <c r="A178" t="s">
        <v>88</v>
      </c>
      <c r="B178" t="s">
        <v>121</v>
      </c>
      <c r="C178" t="s">
        <v>1522</v>
      </c>
      <c r="D178" t="s">
        <v>1558</v>
      </c>
      <c r="E178" t="s">
        <v>1524</v>
      </c>
      <c r="F178" t="s">
        <v>1559</v>
      </c>
      <c r="G178" t="s">
        <v>1560</v>
      </c>
      <c r="H178" t="s">
        <v>1561</v>
      </c>
      <c r="I178" t="s">
        <v>1562</v>
      </c>
      <c r="J178" t="s">
        <v>1563</v>
      </c>
      <c r="K178" t="s">
        <v>1564</v>
      </c>
    </row>
    <row r="179" spans="1:11" x14ac:dyDescent="0.2">
      <c r="A179" t="s">
        <v>96</v>
      </c>
      <c r="B179" t="s">
        <v>121</v>
      </c>
      <c r="C179" t="s">
        <v>1531</v>
      </c>
      <c r="D179" t="s">
        <v>1565</v>
      </c>
      <c r="E179" t="s">
        <v>1533</v>
      </c>
      <c r="F179" t="s">
        <v>1566</v>
      </c>
      <c r="G179" t="s">
        <v>1567</v>
      </c>
      <c r="H179" t="s">
        <v>1568</v>
      </c>
      <c r="I179" t="s">
        <v>1569</v>
      </c>
      <c r="J179" t="s">
        <v>1570</v>
      </c>
      <c r="K179" t="s">
        <v>1571</v>
      </c>
    </row>
    <row r="180" spans="1:11" x14ac:dyDescent="0.2">
      <c r="A180" t="s">
        <v>98</v>
      </c>
      <c r="B180" t="s">
        <v>121</v>
      </c>
      <c r="C180" t="s">
        <v>1540</v>
      </c>
      <c r="D180" t="s">
        <v>1572</v>
      </c>
      <c r="E180" t="s">
        <v>1542</v>
      </c>
      <c r="F180" t="s">
        <v>1573</v>
      </c>
      <c r="G180" t="s">
        <v>1574</v>
      </c>
      <c r="H180" t="s">
        <v>1575</v>
      </c>
      <c r="I180" t="s">
        <v>1576</v>
      </c>
      <c r="J180" t="s">
        <v>1577</v>
      </c>
      <c r="K180" t="s">
        <v>1578</v>
      </c>
    </row>
    <row r="181" spans="1:11" x14ac:dyDescent="0.2">
      <c r="A181" t="s">
        <v>99</v>
      </c>
      <c r="B181" t="s">
        <v>121</v>
      </c>
      <c r="C181" t="s">
        <v>1549</v>
      </c>
      <c r="D181" t="s">
        <v>1579</v>
      </c>
      <c r="E181" t="s">
        <v>1551</v>
      </c>
      <c r="F181" t="s">
        <v>1580</v>
      </c>
      <c r="G181" t="s">
        <v>1581</v>
      </c>
      <c r="H181" t="s">
        <v>1582</v>
      </c>
      <c r="I181" t="s">
        <v>1583</v>
      </c>
      <c r="J181" t="s">
        <v>1584</v>
      </c>
      <c r="K181" t="s">
        <v>1585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9841-E536-41BD-99C9-78EDBFDA61F3}">
  <dimension ref="A1:Q119"/>
  <sheetViews>
    <sheetView topLeftCell="I1" workbookViewId="0">
      <selection activeCell="Q119" sqref="Q2:Q119"/>
    </sheetView>
  </sheetViews>
  <sheetFormatPr defaultRowHeight="14.25" x14ac:dyDescent="0.2"/>
  <cols>
    <col min="1" max="1" width="16.125" style="14" bestFit="1" customWidth="1"/>
    <col min="2" max="2" width="14.5" style="14" bestFit="1" customWidth="1"/>
    <col min="3" max="3" width="14.625" style="14" bestFit="1" customWidth="1"/>
    <col min="4" max="4" width="21.125" style="14" bestFit="1" customWidth="1"/>
    <col min="5" max="5" width="22.875" style="14" bestFit="1" customWidth="1"/>
    <col min="6" max="6" width="18.125" style="14" bestFit="1" customWidth="1"/>
    <col min="7" max="7" width="7" style="14" bestFit="1" customWidth="1"/>
    <col min="8" max="8" width="43.25" bestFit="1" customWidth="1"/>
    <col min="9" max="9" width="27.875" bestFit="1" customWidth="1"/>
    <col min="10" max="10" width="12.625" bestFit="1" customWidth="1"/>
    <col min="11" max="11" width="19.125" bestFit="1" customWidth="1"/>
    <col min="12" max="12" width="20.875" bestFit="1" customWidth="1"/>
    <col min="13" max="13" width="16.125" bestFit="1" customWidth="1"/>
    <col min="14" max="14" width="5" bestFit="1" customWidth="1"/>
    <col min="15" max="15" width="39.375" bestFit="1" customWidth="1"/>
    <col min="16" max="16" width="41.375" bestFit="1" customWidth="1"/>
    <col min="17" max="17" width="39.625" bestFit="1" customWidth="1"/>
  </cols>
  <sheetData>
    <row r="1" spans="1:17" x14ac:dyDescent="0.2">
      <c r="A1" s="14" t="s">
        <v>112</v>
      </c>
      <c r="B1" s="14" t="s">
        <v>113</v>
      </c>
      <c r="C1" s="14" t="s">
        <v>114</v>
      </c>
      <c r="D1" s="14" t="s">
        <v>131</v>
      </c>
      <c r="E1" s="14" t="s">
        <v>132</v>
      </c>
      <c r="F1" s="14" t="s">
        <v>115</v>
      </c>
      <c r="G1" s="14" t="s">
        <v>116</v>
      </c>
      <c r="H1" t="s">
        <v>112</v>
      </c>
      <c r="I1" t="s">
        <v>113</v>
      </c>
      <c r="J1" t="s">
        <v>114</v>
      </c>
      <c r="K1" t="s">
        <v>131</v>
      </c>
      <c r="L1" t="s">
        <v>132</v>
      </c>
      <c r="M1" t="s">
        <v>115</v>
      </c>
      <c r="N1" t="s">
        <v>116</v>
      </c>
      <c r="O1" t="s">
        <v>1586</v>
      </c>
      <c r="P1" t="s">
        <v>1587</v>
      </c>
      <c r="Q1" t="s">
        <v>1588</v>
      </c>
    </row>
    <row r="2" spans="1:17" x14ac:dyDescent="0.2">
      <c r="A2" s="14" t="s">
        <v>125</v>
      </c>
      <c r="B2" s="15" t="s">
        <v>304</v>
      </c>
      <c r="C2" s="14">
        <v>1</v>
      </c>
      <c r="D2" s="14">
        <f t="array" ref="D2">IF(AND(INDEX('Thang 05-2026'!$A$3:$Q$102,MATCH(1,($A2='Thang 05-2026'!$A$3:$A$102)*($G2='Thang 05-2026'!$C$3:$C$102),0),11)=1,$B2="Triều Xuống"),1,IF(AND(INDEX('Thang 05-2026'!$A$3:$Q$102,MATCH(1,($A2='Thang 05-2026'!$A$3:$A$102)*($G2='Thang 05-2026'!$C$3:$C$102),0),10)=1,$B2="Triều Lên",INDEX('Thang 05-2026'!$A$3:$Q$102,MATCH(1,($A2='Thang 05-2026'!$A$3:$A$102)*($G2='Thang 05-2026'!$C$3:$C$102),0),11)=0),1,0))</f>
        <v>0</v>
      </c>
      <c r="E2" s="14">
        <f t="array" ref="E2">IF(AND(INDEX('Thang 05-2026'!$A$3:$Q$102,MATCH(1,($A2='Thang 05-2026'!$A$3:$A$102)*($G2='Thang 05-2026'!$C$3:$C$102),0),15)=1,$B2="Triều Xuống"),1,IF(AND(INDEX('Thang 05-2026'!$A$3:$Q$102,MATCH(1,($A2='Thang 05-2026'!$A$3:$A$102)*($G2='Thang 05-2026'!$C$3:$C$102),0),14)=1,$B2="Triều Lên",INDEX('Thang 05-2026'!$A$3:$Q$102,MATCH(1,($A2='Thang 05-2026'!$A$3:$A$102)*($G2='Thang 05-2026'!$C$3:$C$102),0),15)=0),1,0))</f>
        <v>0</v>
      </c>
      <c r="F2" s="14">
        <f>D2+E2+IF(E2&gt;0,1,0)</f>
        <v>0</v>
      </c>
      <c r="G2" s="14">
        <f>INDEX('Thang 05-2026'!$A$3:$C$102,MATCH(A2,'Thang 05-2026'!$A$3:$A$102,0),3)</f>
        <v>11</v>
      </c>
      <c r="H2" t="str">
        <f t="array" ref="H2">INDEX('TONG HOP DIA DIEM'!$A$2:$K$181,MATCH(1,($A2='TONG HOP DIA DIEM'!$A$2:$A$181)*($B2='TONG HOP DIA DIEM'!$B$2:$B$181),0),6)</f>
        <v>ĐPNM1 - HCM_NM_ĐPNM1 - 01</v>
      </c>
      <c r="I2" t="str">
        <f t="array" ref="I2">INDEX('TONG HOP DIA DIEM'!$A$2:$K$181,MATCH(1,($A2='TONG HOP DIA DIEM'!$A$2:$A$181)*($B2='TONG HOP DIA DIEM'!$B$2:$B$181),0),7)</f>
        <v>ĐPNM1 - 01</v>
      </c>
      <c r="J2">
        <f>C2</f>
        <v>1</v>
      </c>
      <c r="K2">
        <f t="shared" ref="K2:N2" si="0">D2</f>
        <v>0</v>
      </c>
      <c r="L2">
        <f t="shared" si="0"/>
        <v>0</v>
      </c>
      <c r="M2">
        <f t="shared" si="0"/>
        <v>0</v>
      </c>
      <c r="N2">
        <f t="shared" si="0"/>
        <v>11</v>
      </c>
      <c r="O2" t="str">
        <f>IF(K2=1,I2&amp;" (QC - Mẫu lặp)","")</f>
        <v/>
      </c>
      <c r="P2" t="str">
        <f>IF(L2=1,I2&amp;" (QC - Mẫu trắng)","")</f>
        <v/>
      </c>
      <c r="Q2" t="str">
        <f>IF(L2=1,I2&amp;" (QC - Mẫu lặp)","")</f>
        <v/>
      </c>
    </row>
    <row r="3" spans="1:17" x14ac:dyDescent="0.2">
      <c r="A3" s="14" t="s">
        <v>126</v>
      </c>
      <c r="B3" s="15" t="s">
        <v>304</v>
      </c>
      <c r="C3" s="14">
        <v>1</v>
      </c>
      <c r="D3" s="14">
        <f t="array" ref="D3">IF(AND(INDEX('Thang 05-2026'!$A$3:$Q$102,MATCH(1,($A3='Thang 05-2026'!$A$3:$A$102)*($G3='Thang 05-2026'!$C$3:$C$102),0),11)=1,$B3="Triều Xuống"),1,IF(AND(INDEX('Thang 05-2026'!$A$3:$Q$102,MATCH(1,($A3='Thang 05-2026'!$A$3:$A$102)*($G3='Thang 05-2026'!$C$3:$C$102),0),10)=1,$B3="Triều Lên",INDEX('Thang 05-2026'!$A$3:$Q$102,MATCH(1,($A3='Thang 05-2026'!$A$3:$A$102)*($G3='Thang 05-2026'!$C$3:$C$102),0),11)=0),1,0))</f>
        <v>0</v>
      </c>
      <c r="E3" s="14">
        <f t="array" ref="E3">IF(AND(INDEX('Thang 05-2026'!$A$3:$Q$102,MATCH(1,($A3='Thang 05-2026'!$A$3:$A$102)*($G3='Thang 05-2026'!$C$3:$C$102),0),15)=1,$B3="Triều Xuống"),1,IF(AND(INDEX('Thang 05-2026'!$A$3:$Q$102,MATCH(1,($A3='Thang 05-2026'!$A$3:$A$102)*($G3='Thang 05-2026'!$C$3:$C$102),0),14)=1,$B3="Triều Lên",INDEX('Thang 05-2026'!$A$3:$Q$102,MATCH(1,($A3='Thang 05-2026'!$A$3:$A$102)*($G3='Thang 05-2026'!$C$3:$C$102),0),15)=0),1,0))</f>
        <v>0</v>
      </c>
      <c r="F3" s="14">
        <f t="shared" ref="F3:F66" si="1">D3+E3+IF(E3&gt;0,1,0)</f>
        <v>0</v>
      </c>
      <c r="G3" s="14">
        <f>INDEX('Thang 05-2026'!$A$3:$C$102,MATCH(A3,'Thang 05-2026'!$A$3:$A$102,0),3)</f>
        <v>11</v>
      </c>
      <c r="H3" t="str">
        <f t="array" ref="H3">INDEX('TONG HOP DIA DIEM'!$A$2:$K$181,MATCH(1,($A3='TONG HOP DIA DIEM'!$A$2:$A$181)*($B3='TONG HOP DIA DIEM'!$B$2:$B$181),0),6)</f>
        <v>ĐPNM4 - HCM_NM_ĐPNM4 - 01</v>
      </c>
      <c r="I3" t="str">
        <f t="array" ref="I3">INDEX('TONG HOP DIA DIEM'!$A$2:$K$181,MATCH(1,($A3='TONG HOP DIA DIEM'!$A$2:$A$181)*($B3='TONG HOP DIA DIEM'!$B$2:$B$181),0),7)</f>
        <v>ĐPNM4 - 01</v>
      </c>
      <c r="J3">
        <f t="shared" ref="J3:J66" si="2">C3</f>
        <v>1</v>
      </c>
      <c r="K3">
        <f t="shared" ref="K3:K66" si="3">D3</f>
        <v>0</v>
      </c>
      <c r="L3">
        <f t="shared" ref="L3:L66" si="4">E3</f>
        <v>0</v>
      </c>
      <c r="M3">
        <f t="shared" ref="M3:M66" si="5">F3</f>
        <v>0</v>
      </c>
      <c r="N3">
        <f t="shared" ref="N3:N66" si="6">G3</f>
        <v>11</v>
      </c>
      <c r="O3" t="str">
        <f t="shared" ref="O3:O66" si="7">IF(K3=1,I3&amp;" (QC - Mẫu lặp)","")</f>
        <v/>
      </c>
      <c r="P3" t="str">
        <f t="shared" ref="P3:P66" si="8">IF(L3=1,I3&amp;" (QC - Mẫu trắng)","")</f>
        <v/>
      </c>
      <c r="Q3" t="str">
        <f t="shared" ref="Q3:Q66" si="9">IF(L3=1,I3&amp;" (QC - Mẫu lặp)","")</f>
        <v/>
      </c>
    </row>
    <row r="4" spans="1:17" x14ac:dyDescent="0.2">
      <c r="A4" s="14" t="s">
        <v>127</v>
      </c>
      <c r="B4" s="15" t="s">
        <v>304</v>
      </c>
      <c r="C4" s="14">
        <v>1</v>
      </c>
      <c r="D4" s="14">
        <f t="array" ref="D4">IF(AND(INDEX('Thang 05-2026'!$A$3:$Q$102,MATCH(1,($A4='Thang 05-2026'!$A$3:$A$102)*($G4='Thang 05-2026'!$C$3:$C$102),0),11)=1,$B4="Triều Xuống"),1,IF(AND(INDEX('Thang 05-2026'!$A$3:$Q$102,MATCH(1,($A4='Thang 05-2026'!$A$3:$A$102)*($G4='Thang 05-2026'!$C$3:$C$102),0),10)=1,$B4="Triều Lên",INDEX('Thang 05-2026'!$A$3:$Q$102,MATCH(1,($A4='Thang 05-2026'!$A$3:$A$102)*($G4='Thang 05-2026'!$C$3:$C$102),0),11)=0),1,0))</f>
        <v>0</v>
      </c>
      <c r="E4" s="14">
        <f t="array" ref="E4">IF(AND(INDEX('Thang 05-2026'!$A$3:$Q$102,MATCH(1,($A4='Thang 05-2026'!$A$3:$A$102)*($G4='Thang 05-2026'!$C$3:$C$102),0),15)=1,$B4="Triều Xuống"),1,IF(AND(INDEX('Thang 05-2026'!$A$3:$Q$102,MATCH(1,($A4='Thang 05-2026'!$A$3:$A$102)*($G4='Thang 05-2026'!$C$3:$C$102),0),14)=1,$B4="Triều Lên",INDEX('Thang 05-2026'!$A$3:$Q$102,MATCH(1,($A4='Thang 05-2026'!$A$3:$A$102)*($G4='Thang 05-2026'!$C$3:$C$102),0),15)=0),1,0))</f>
        <v>0</v>
      </c>
      <c r="F4" s="14">
        <f t="shared" si="1"/>
        <v>0</v>
      </c>
      <c r="G4" s="14">
        <f>INDEX('Thang 05-2026'!$A$3:$C$102,MATCH(A4,'Thang 05-2026'!$A$3:$A$102,0),3)</f>
        <v>11</v>
      </c>
      <c r="H4" t="str">
        <f t="array" ref="H4">INDEX('TONG HOP DIA DIEM'!$A$2:$K$181,MATCH(1,($A4='TONG HOP DIA DIEM'!$A$2:$A$181)*($B4='TONG HOP DIA DIEM'!$B$2:$B$181),0),6)</f>
        <v>ĐPNM5 - HCM_NM_ĐPNM5 - 01</v>
      </c>
      <c r="I4" t="str">
        <f t="array" ref="I4">INDEX('TONG HOP DIA DIEM'!$A$2:$K$181,MATCH(1,($A4='TONG HOP DIA DIEM'!$A$2:$A$181)*($B4='TONG HOP DIA DIEM'!$B$2:$B$181),0),7)</f>
        <v>ĐPNM5 - 01</v>
      </c>
      <c r="J4">
        <f t="shared" si="2"/>
        <v>1</v>
      </c>
      <c r="K4">
        <f t="shared" si="3"/>
        <v>0</v>
      </c>
      <c r="L4">
        <f t="shared" si="4"/>
        <v>0</v>
      </c>
      <c r="M4">
        <f t="shared" si="5"/>
        <v>0</v>
      </c>
      <c r="N4">
        <f t="shared" si="6"/>
        <v>11</v>
      </c>
      <c r="O4" t="str">
        <f t="shared" si="7"/>
        <v/>
      </c>
      <c r="P4" t="str">
        <f t="shared" si="8"/>
        <v/>
      </c>
      <c r="Q4" t="str">
        <f t="shared" si="9"/>
        <v/>
      </c>
    </row>
    <row r="5" spans="1:17" x14ac:dyDescent="0.2">
      <c r="A5" s="14" t="s">
        <v>128</v>
      </c>
      <c r="B5" s="15" t="s">
        <v>304</v>
      </c>
      <c r="C5" s="14">
        <v>1</v>
      </c>
      <c r="D5" s="14">
        <f t="array" ref="D5">IF(AND(INDEX('Thang 05-2026'!$A$3:$Q$102,MATCH(1,($A5='Thang 05-2026'!$A$3:$A$102)*($G5='Thang 05-2026'!$C$3:$C$102),0),11)=1,$B5="Triều Xuống"),1,IF(AND(INDEX('Thang 05-2026'!$A$3:$Q$102,MATCH(1,($A5='Thang 05-2026'!$A$3:$A$102)*($G5='Thang 05-2026'!$C$3:$C$102),0),10)=1,$B5="Triều Lên",INDEX('Thang 05-2026'!$A$3:$Q$102,MATCH(1,($A5='Thang 05-2026'!$A$3:$A$102)*($G5='Thang 05-2026'!$C$3:$C$102),0),11)=0),1,0))</f>
        <v>0</v>
      </c>
      <c r="E5" s="14">
        <f t="array" ref="E5">IF(AND(INDEX('Thang 05-2026'!$A$3:$Q$102,MATCH(1,($A5='Thang 05-2026'!$A$3:$A$102)*($G5='Thang 05-2026'!$C$3:$C$102),0),15)=1,$B5="Triều Xuống"),1,IF(AND(INDEX('Thang 05-2026'!$A$3:$Q$102,MATCH(1,($A5='Thang 05-2026'!$A$3:$A$102)*($G5='Thang 05-2026'!$C$3:$C$102),0),14)=1,$B5="Triều Lên",INDEX('Thang 05-2026'!$A$3:$Q$102,MATCH(1,($A5='Thang 05-2026'!$A$3:$A$102)*($G5='Thang 05-2026'!$C$3:$C$102),0),15)=0),1,0))</f>
        <v>0</v>
      </c>
      <c r="F5" s="14">
        <f t="shared" si="1"/>
        <v>0</v>
      </c>
      <c r="G5" s="14">
        <f>INDEX('Thang 05-2026'!$A$3:$C$102,MATCH(A5,'Thang 05-2026'!$A$3:$A$102,0),3)</f>
        <v>11</v>
      </c>
      <c r="H5" t="str">
        <f t="array" ref="H5">INDEX('TONG HOP DIA DIEM'!$A$2:$K$181,MATCH(1,($A5='TONG HOP DIA DIEM'!$A$2:$A$181)*($B5='TONG HOP DIA DIEM'!$B$2:$B$181),0),6)</f>
        <v>ĐPNM8 - HCM_NM_ĐPNM8 - 01</v>
      </c>
      <c r="I5" t="str">
        <f t="array" ref="I5">INDEX('TONG HOP DIA DIEM'!$A$2:$K$181,MATCH(1,($A5='TONG HOP DIA DIEM'!$A$2:$A$181)*($B5='TONG HOP DIA DIEM'!$B$2:$B$181),0),7)</f>
        <v>ĐPNM8 - 01</v>
      </c>
      <c r="J5">
        <f t="shared" si="2"/>
        <v>1</v>
      </c>
      <c r="K5">
        <f t="shared" si="3"/>
        <v>0</v>
      </c>
      <c r="L5">
        <f t="shared" si="4"/>
        <v>0</v>
      </c>
      <c r="M5">
        <f t="shared" si="5"/>
        <v>0</v>
      </c>
      <c r="N5">
        <f t="shared" si="6"/>
        <v>11</v>
      </c>
      <c r="O5" t="str">
        <f t="shared" si="7"/>
        <v/>
      </c>
      <c r="P5" t="str">
        <f t="shared" si="8"/>
        <v/>
      </c>
      <c r="Q5" t="str">
        <f t="shared" si="9"/>
        <v/>
      </c>
    </row>
    <row r="6" spans="1:17" x14ac:dyDescent="0.2">
      <c r="A6" s="14" t="s">
        <v>125</v>
      </c>
      <c r="B6" s="15" t="s">
        <v>377</v>
      </c>
      <c r="C6" s="14">
        <v>1</v>
      </c>
      <c r="D6" s="14">
        <f t="array" ref="D6">IF(AND(INDEX('Thang 05-2026'!$A$3:$Q$102,MATCH(1,($A6='Thang 05-2026'!$A$3:$A$102)*($G6='Thang 05-2026'!$C$3:$C$102),0),11)=1,$B6="Triều Xuống"),1,IF(AND(INDEX('Thang 05-2026'!$A$3:$Q$102,MATCH(1,($A6='Thang 05-2026'!$A$3:$A$102)*($G6='Thang 05-2026'!$C$3:$C$102),0),10)=1,$B6="Triều Lên",INDEX('Thang 05-2026'!$A$3:$Q$102,MATCH(1,($A6='Thang 05-2026'!$A$3:$A$102)*($G6='Thang 05-2026'!$C$3:$C$102),0),11)=0),1,0))</f>
        <v>0</v>
      </c>
      <c r="E6" s="14">
        <f t="array" ref="E6">IF(AND(INDEX('Thang 05-2026'!$A$3:$Q$102,MATCH(1,($A6='Thang 05-2026'!$A$3:$A$102)*($G6='Thang 05-2026'!$C$3:$C$102),0),15)=1,$B6="Triều Xuống"),1,IF(AND(INDEX('Thang 05-2026'!$A$3:$Q$102,MATCH(1,($A6='Thang 05-2026'!$A$3:$A$102)*($G6='Thang 05-2026'!$C$3:$C$102),0),14)=1,$B6="Triều Lên",INDEX('Thang 05-2026'!$A$3:$Q$102,MATCH(1,($A6='Thang 05-2026'!$A$3:$A$102)*($G6='Thang 05-2026'!$C$3:$C$102),0),15)=0),1,0))</f>
        <v>0</v>
      </c>
      <c r="F6" s="14">
        <f t="shared" si="1"/>
        <v>0</v>
      </c>
      <c r="G6" s="14">
        <f>INDEX('Thang 05-2026'!$A$3:$C$102,MATCH(A6,'Thang 05-2026'!$A$3:$A$102,0),3)</f>
        <v>11</v>
      </c>
      <c r="H6" t="str">
        <f t="array" ref="H6">INDEX('TONG HOP DIA DIEM'!$A$2:$K$181,MATCH(1,($A6='TONG HOP DIA DIEM'!$A$2:$A$181)*($B6='TONG HOP DIA DIEM'!$B$2:$B$181),0),6)</f>
        <v>ĐPNM1 - HCM_NM_ĐPNM1 - 02</v>
      </c>
      <c r="I6" t="str">
        <f t="array" ref="I6">INDEX('TONG HOP DIA DIEM'!$A$2:$K$181,MATCH(1,($A6='TONG HOP DIA DIEM'!$A$2:$A$181)*($B6='TONG HOP DIA DIEM'!$B$2:$B$181),0),7)</f>
        <v>ĐPNM1 - 02</v>
      </c>
      <c r="J6">
        <f t="shared" si="2"/>
        <v>1</v>
      </c>
      <c r="K6">
        <f t="shared" si="3"/>
        <v>0</v>
      </c>
      <c r="L6">
        <f t="shared" si="4"/>
        <v>0</v>
      </c>
      <c r="M6">
        <f t="shared" si="5"/>
        <v>0</v>
      </c>
      <c r="N6">
        <f t="shared" si="6"/>
        <v>11</v>
      </c>
      <c r="O6" t="str">
        <f t="shared" si="7"/>
        <v/>
      </c>
      <c r="P6" t="str">
        <f t="shared" si="8"/>
        <v/>
      </c>
      <c r="Q6" t="str">
        <f t="shared" si="9"/>
        <v/>
      </c>
    </row>
    <row r="7" spans="1:17" x14ac:dyDescent="0.2">
      <c r="A7" s="14" t="s">
        <v>126</v>
      </c>
      <c r="B7" s="15" t="s">
        <v>377</v>
      </c>
      <c r="C7" s="14">
        <v>1</v>
      </c>
      <c r="D7" s="14">
        <f t="array" ref="D7">IF(AND(INDEX('Thang 05-2026'!$A$3:$Q$102,MATCH(1,($A7='Thang 05-2026'!$A$3:$A$102)*($G7='Thang 05-2026'!$C$3:$C$102),0),11)=1,$B7="Triều Xuống"),1,IF(AND(INDEX('Thang 05-2026'!$A$3:$Q$102,MATCH(1,($A7='Thang 05-2026'!$A$3:$A$102)*($G7='Thang 05-2026'!$C$3:$C$102),0),10)=1,$B7="Triều Lên",INDEX('Thang 05-2026'!$A$3:$Q$102,MATCH(1,($A7='Thang 05-2026'!$A$3:$A$102)*($G7='Thang 05-2026'!$C$3:$C$102),0),11)=0),1,0))</f>
        <v>0</v>
      </c>
      <c r="E7" s="14">
        <f t="array" ref="E7">IF(AND(INDEX('Thang 05-2026'!$A$3:$Q$102,MATCH(1,($A7='Thang 05-2026'!$A$3:$A$102)*($G7='Thang 05-2026'!$C$3:$C$102),0),15)=1,$B7="Triều Xuống"),1,IF(AND(INDEX('Thang 05-2026'!$A$3:$Q$102,MATCH(1,($A7='Thang 05-2026'!$A$3:$A$102)*($G7='Thang 05-2026'!$C$3:$C$102),0),14)=1,$B7="Triều Lên",INDEX('Thang 05-2026'!$A$3:$Q$102,MATCH(1,($A7='Thang 05-2026'!$A$3:$A$102)*($G7='Thang 05-2026'!$C$3:$C$102),0),15)=0),1,0))</f>
        <v>0</v>
      </c>
      <c r="F7" s="14">
        <f t="shared" si="1"/>
        <v>0</v>
      </c>
      <c r="G7" s="14">
        <f>INDEX('Thang 05-2026'!$A$3:$C$102,MATCH(A7,'Thang 05-2026'!$A$3:$A$102,0),3)</f>
        <v>11</v>
      </c>
      <c r="H7" t="str">
        <f t="array" ref="H7">INDEX('TONG HOP DIA DIEM'!$A$2:$K$181,MATCH(1,($A7='TONG HOP DIA DIEM'!$A$2:$A$181)*($B7='TONG HOP DIA DIEM'!$B$2:$B$181),0),6)</f>
        <v>ĐPNM4 - HCM_NM_ĐPNM4 - 02</v>
      </c>
      <c r="I7" t="str">
        <f t="array" ref="I7">INDEX('TONG HOP DIA DIEM'!$A$2:$K$181,MATCH(1,($A7='TONG HOP DIA DIEM'!$A$2:$A$181)*($B7='TONG HOP DIA DIEM'!$B$2:$B$181),0),7)</f>
        <v>ĐPNM4 - 02</v>
      </c>
      <c r="J7">
        <f t="shared" si="2"/>
        <v>1</v>
      </c>
      <c r="K7">
        <f t="shared" si="3"/>
        <v>0</v>
      </c>
      <c r="L7">
        <f t="shared" si="4"/>
        <v>0</v>
      </c>
      <c r="M7">
        <f t="shared" si="5"/>
        <v>0</v>
      </c>
      <c r="N7">
        <f t="shared" si="6"/>
        <v>11</v>
      </c>
      <c r="O7" t="str">
        <f t="shared" si="7"/>
        <v/>
      </c>
      <c r="P7" t="str">
        <f t="shared" si="8"/>
        <v/>
      </c>
      <c r="Q7" t="str">
        <f t="shared" si="9"/>
        <v/>
      </c>
    </row>
    <row r="8" spans="1:17" x14ac:dyDescent="0.2">
      <c r="A8" s="14" t="s">
        <v>127</v>
      </c>
      <c r="B8" s="15" t="s">
        <v>377</v>
      </c>
      <c r="C8" s="14">
        <v>1</v>
      </c>
      <c r="D8" s="14">
        <f t="array" ref="D8">IF(AND(INDEX('Thang 05-2026'!$A$3:$Q$102,MATCH(1,($A8='Thang 05-2026'!$A$3:$A$102)*($G8='Thang 05-2026'!$C$3:$C$102),0),11)=1,$B8="Triều Xuống"),1,IF(AND(INDEX('Thang 05-2026'!$A$3:$Q$102,MATCH(1,($A8='Thang 05-2026'!$A$3:$A$102)*($G8='Thang 05-2026'!$C$3:$C$102),0),10)=1,$B8="Triều Lên",INDEX('Thang 05-2026'!$A$3:$Q$102,MATCH(1,($A8='Thang 05-2026'!$A$3:$A$102)*($G8='Thang 05-2026'!$C$3:$C$102),0),11)=0),1,0))</f>
        <v>0</v>
      </c>
      <c r="E8" s="14">
        <f t="array" ref="E8">IF(AND(INDEX('Thang 05-2026'!$A$3:$Q$102,MATCH(1,($A8='Thang 05-2026'!$A$3:$A$102)*($G8='Thang 05-2026'!$C$3:$C$102),0),15)=1,$B8="Triều Xuống"),1,IF(AND(INDEX('Thang 05-2026'!$A$3:$Q$102,MATCH(1,($A8='Thang 05-2026'!$A$3:$A$102)*($G8='Thang 05-2026'!$C$3:$C$102),0),14)=1,$B8="Triều Lên",INDEX('Thang 05-2026'!$A$3:$Q$102,MATCH(1,($A8='Thang 05-2026'!$A$3:$A$102)*($G8='Thang 05-2026'!$C$3:$C$102),0),15)=0),1,0))</f>
        <v>0</v>
      </c>
      <c r="F8" s="14">
        <f t="shared" si="1"/>
        <v>0</v>
      </c>
      <c r="G8" s="14">
        <f>INDEX('Thang 05-2026'!$A$3:$C$102,MATCH(A8,'Thang 05-2026'!$A$3:$A$102,0),3)</f>
        <v>11</v>
      </c>
      <c r="H8" t="str">
        <f t="array" ref="H8">INDEX('TONG HOP DIA DIEM'!$A$2:$K$181,MATCH(1,($A8='TONG HOP DIA DIEM'!$A$2:$A$181)*($B8='TONG HOP DIA DIEM'!$B$2:$B$181),0),6)</f>
        <v>ĐPNM5 - HCM_NM_ĐPNM5 - 02</v>
      </c>
      <c r="I8" t="str">
        <f t="array" ref="I8">INDEX('TONG HOP DIA DIEM'!$A$2:$K$181,MATCH(1,($A8='TONG HOP DIA DIEM'!$A$2:$A$181)*($B8='TONG HOP DIA DIEM'!$B$2:$B$181),0),7)</f>
        <v>ĐPNM5 - 02</v>
      </c>
      <c r="J8">
        <f t="shared" si="2"/>
        <v>1</v>
      </c>
      <c r="K8">
        <f t="shared" si="3"/>
        <v>0</v>
      </c>
      <c r="L8">
        <f t="shared" si="4"/>
        <v>0</v>
      </c>
      <c r="M8">
        <f t="shared" si="5"/>
        <v>0</v>
      </c>
      <c r="N8">
        <f t="shared" si="6"/>
        <v>11</v>
      </c>
      <c r="O8" t="str">
        <f t="shared" si="7"/>
        <v/>
      </c>
      <c r="P8" t="str">
        <f t="shared" si="8"/>
        <v/>
      </c>
      <c r="Q8" t="str">
        <f t="shared" si="9"/>
        <v/>
      </c>
    </row>
    <row r="9" spans="1:17" x14ac:dyDescent="0.2">
      <c r="A9" s="14" t="s">
        <v>128</v>
      </c>
      <c r="B9" s="15" t="s">
        <v>377</v>
      </c>
      <c r="C9" s="14">
        <v>1</v>
      </c>
      <c r="D9" s="14">
        <f t="array" ref="D9">IF(AND(INDEX('Thang 05-2026'!$A$3:$Q$102,MATCH(1,($A9='Thang 05-2026'!$A$3:$A$102)*($G9='Thang 05-2026'!$C$3:$C$102),0),11)=1,$B9="Triều Xuống"),1,IF(AND(INDEX('Thang 05-2026'!$A$3:$Q$102,MATCH(1,($A9='Thang 05-2026'!$A$3:$A$102)*($G9='Thang 05-2026'!$C$3:$C$102),0),10)=1,$B9="Triều Lên",INDEX('Thang 05-2026'!$A$3:$Q$102,MATCH(1,($A9='Thang 05-2026'!$A$3:$A$102)*($G9='Thang 05-2026'!$C$3:$C$102),0),11)=0),1,0))</f>
        <v>0</v>
      </c>
      <c r="E9" s="14">
        <f t="array" ref="E9">IF(AND(INDEX('Thang 05-2026'!$A$3:$Q$102,MATCH(1,($A9='Thang 05-2026'!$A$3:$A$102)*($G9='Thang 05-2026'!$C$3:$C$102),0),15)=1,$B9="Triều Xuống"),1,IF(AND(INDEX('Thang 05-2026'!$A$3:$Q$102,MATCH(1,($A9='Thang 05-2026'!$A$3:$A$102)*($G9='Thang 05-2026'!$C$3:$C$102),0),14)=1,$B9="Triều Lên",INDEX('Thang 05-2026'!$A$3:$Q$102,MATCH(1,($A9='Thang 05-2026'!$A$3:$A$102)*($G9='Thang 05-2026'!$C$3:$C$102),0),15)=0),1,0))</f>
        <v>0</v>
      </c>
      <c r="F9" s="14">
        <f t="shared" si="1"/>
        <v>0</v>
      </c>
      <c r="G9" s="14">
        <f>INDEX('Thang 05-2026'!$A$3:$C$102,MATCH(A9,'Thang 05-2026'!$A$3:$A$102,0),3)</f>
        <v>11</v>
      </c>
      <c r="H9" t="str">
        <f t="array" ref="H9">INDEX('TONG HOP DIA DIEM'!$A$2:$K$181,MATCH(1,($A9='TONG HOP DIA DIEM'!$A$2:$A$181)*($B9='TONG HOP DIA DIEM'!$B$2:$B$181),0),6)</f>
        <v>ĐPNM8 - HCM_NM_ĐPNM8 - 02</v>
      </c>
      <c r="I9" t="str">
        <f t="array" ref="I9">INDEX('TONG HOP DIA DIEM'!$A$2:$K$181,MATCH(1,($A9='TONG HOP DIA DIEM'!$A$2:$A$181)*($B9='TONG HOP DIA DIEM'!$B$2:$B$181),0),7)</f>
        <v>ĐPNM8 - 02</v>
      </c>
      <c r="J9">
        <f t="shared" si="2"/>
        <v>1</v>
      </c>
      <c r="K9">
        <f t="shared" si="3"/>
        <v>0</v>
      </c>
      <c r="L9">
        <f t="shared" si="4"/>
        <v>0</v>
      </c>
      <c r="M9">
        <f t="shared" si="5"/>
        <v>0</v>
      </c>
      <c r="N9">
        <f t="shared" si="6"/>
        <v>11</v>
      </c>
      <c r="O9" t="str">
        <f t="shared" si="7"/>
        <v/>
      </c>
      <c r="P9" t="str">
        <f t="shared" si="8"/>
        <v/>
      </c>
      <c r="Q9" t="str">
        <f t="shared" si="9"/>
        <v/>
      </c>
    </row>
    <row r="10" spans="1:17" x14ac:dyDescent="0.2">
      <c r="A10" s="14" t="s">
        <v>41</v>
      </c>
      <c r="B10" s="14" t="s">
        <v>118</v>
      </c>
      <c r="C10" s="14">
        <v>1</v>
      </c>
      <c r="D10" s="14">
        <f t="array" ref="D10">IF(AND(INDEX('Thang 05-2026'!$A$3:$Q$102,MATCH(1,($A10='Thang 05-2026'!$A$3:$A$102)*($G10='Thang 05-2026'!$C$3:$C$102),0),11)=1,$B10="Triều Xuống"),1,IF(AND(INDEX('Thang 05-2026'!$A$3:$Q$102,MATCH(1,($A10='Thang 05-2026'!$A$3:$A$102)*($G10='Thang 05-2026'!$C$3:$C$102),0),10)=1,$B10="Triều Lên",INDEX('Thang 05-2026'!$A$3:$Q$102,MATCH(1,($A10='Thang 05-2026'!$A$3:$A$102)*($G10='Thang 05-2026'!$C$3:$C$102),0),11)=0),1,0))</f>
        <v>1</v>
      </c>
      <c r="E10" s="14">
        <f t="array" ref="E10">IF(AND(INDEX('Thang 05-2026'!$A$3:$Q$102,MATCH(1,($A10='Thang 05-2026'!$A$3:$A$102)*($G10='Thang 05-2026'!$C$3:$C$102),0),15)=1,$B10="Triều Xuống"),1,IF(AND(INDEX('Thang 05-2026'!$A$3:$Q$102,MATCH(1,($A10='Thang 05-2026'!$A$3:$A$102)*($G10='Thang 05-2026'!$C$3:$C$102),0),14)=1,$B10="Triều Lên",INDEX('Thang 05-2026'!$A$3:$Q$102,MATCH(1,($A10='Thang 05-2026'!$A$3:$A$102)*($G10='Thang 05-2026'!$C$3:$C$102),0),15)=0),1,0))</f>
        <v>0</v>
      </c>
      <c r="F10" s="14">
        <f t="shared" si="1"/>
        <v>1</v>
      </c>
      <c r="G10" s="14">
        <f>INDEX('Thang 05-2026'!$A$3:$C$102,MATCH(A10,'Thang 05-2026'!$A$3:$A$102,0),3)</f>
        <v>11</v>
      </c>
      <c r="H10" t="str">
        <f t="array" ref="H10">INDEX('TONG HOP DIA DIEM'!$A$2:$K$181,MATCH(1,($A10='TONG HOP DIA DIEM'!$A$2:$A$181)*($B10='TONG HOP DIA DIEM'!$B$2:$B$181),0),6)</f>
        <v>Bà Lào - HCM_NM_BLa - Triều Lên</v>
      </c>
      <c r="I10" t="str">
        <f t="array" ref="I10">INDEX('TONG HOP DIA DIEM'!$A$2:$K$181,MATCH(1,($A10='TONG HOP DIA DIEM'!$A$2:$A$181)*($B10='TONG HOP DIA DIEM'!$B$2:$B$181),0),7)</f>
        <v>Bà Lào - Triều Lên</v>
      </c>
      <c r="J10">
        <f t="shared" si="2"/>
        <v>1</v>
      </c>
      <c r="K10">
        <f t="shared" si="3"/>
        <v>1</v>
      </c>
      <c r="L10">
        <f t="shared" si="4"/>
        <v>0</v>
      </c>
      <c r="M10">
        <f t="shared" si="5"/>
        <v>1</v>
      </c>
      <c r="N10">
        <f t="shared" si="6"/>
        <v>11</v>
      </c>
      <c r="O10" t="str">
        <f t="shared" si="7"/>
        <v>Bà Lào - Triều Lên (QC - Mẫu lặp)</v>
      </c>
      <c r="P10" t="str">
        <f t="shared" si="8"/>
        <v/>
      </c>
      <c r="Q10" t="str">
        <f t="shared" si="9"/>
        <v/>
      </c>
    </row>
    <row r="11" spans="1:17" x14ac:dyDescent="0.2">
      <c r="A11" s="14" t="s">
        <v>42</v>
      </c>
      <c r="B11" s="14" t="s">
        <v>118</v>
      </c>
      <c r="C11" s="14">
        <v>1</v>
      </c>
      <c r="D11" s="14">
        <f t="array" ref="D11">IF(AND(INDEX('Thang 05-2026'!$A$3:$Q$102,MATCH(1,($A11='Thang 05-2026'!$A$3:$A$102)*($G11='Thang 05-2026'!$C$3:$C$102),0),11)=1,$B11="Triều Xuống"),1,IF(AND(INDEX('Thang 05-2026'!$A$3:$Q$102,MATCH(1,($A11='Thang 05-2026'!$A$3:$A$102)*($G11='Thang 05-2026'!$C$3:$C$102),0),10)=1,$B11="Triều Lên",INDEX('Thang 05-2026'!$A$3:$Q$102,MATCH(1,($A11='Thang 05-2026'!$A$3:$A$102)*($G11='Thang 05-2026'!$C$3:$C$102),0),11)=0),1,0))</f>
        <v>0</v>
      </c>
      <c r="E11" s="14">
        <f t="array" ref="E11">IF(AND(INDEX('Thang 05-2026'!$A$3:$Q$102,MATCH(1,($A11='Thang 05-2026'!$A$3:$A$102)*($G11='Thang 05-2026'!$C$3:$C$102),0),15)=1,$B11="Triều Xuống"),1,IF(AND(INDEX('Thang 05-2026'!$A$3:$Q$102,MATCH(1,($A11='Thang 05-2026'!$A$3:$A$102)*($G11='Thang 05-2026'!$C$3:$C$102),0),14)=1,$B11="Triều Lên",INDEX('Thang 05-2026'!$A$3:$Q$102,MATCH(1,($A11='Thang 05-2026'!$A$3:$A$102)*($G11='Thang 05-2026'!$C$3:$C$102),0),15)=0),1,0))</f>
        <v>0</v>
      </c>
      <c r="F11" s="14">
        <f t="shared" si="1"/>
        <v>0</v>
      </c>
      <c r="G11" s="14">
        <f>INDEX('Thang 05-2026'!$A$3:$C$102,MATCH(A11,'Thang 05-2026'!$A$3:$A$102,0),3)</f>
        <v>11</v>
      </c>
      <c r="H11" t="str">
        <f t="array" ref="H11">INDEX('TONG HOP DIA DIEM'!$A$2:$K$181,MATCH(1,($A11='TONG HOP DIA DIEM'!$A$2:$A$181)*($B11='TONG HOP DIA DIEM'!$B$2:$B$181),0),6)</f>
        <v>Long Hậu Tân Kim - HCM_NM_LHTK - Triều Lên</v>
      </c>
      <c r="I11" t="str">
        <f t="array" ref="I11">INDEX('TONG HOP DIA DIEM'!$A$2:$K$181,MATCH(1,($A11='TONG HOP DIA DIEM'!$A$2:$A$181)*($B11='TONG HOP DIA DIEM'!$B$2:$B$181),0),7)</f>
        <v>Long Hậu Tân Kim - Triều Lên</v>
      </c>
      <c r="J11">
        <f t="shared" si="2"/>
        <v>1</v>
      </c>
      <c r="K11">
        <f t="shared" si="3"/>
        <v>0</v>
      </c>
      <c r="L11">
        <f t="shared" si="4"/>
        <v>0</v>
      </c>
      <c r="M11">
        <f t="shared" si="5"/>
        <v>0</v>
      </c>
      <c r="N11">
        <f t="shared" si="6"/>
        <v>11</v>
      </c>
      <c r="O11" t="str">
        <f t="shared" si="7"/>
        <v/>
      </c>
      <c r="P11" t="str">
        <f t="shared" si="8"/>
        <v/>
      </c>
      <c r="Q11" t="str">
        <f t="shared" si="9"/>
        <v/>
      </c>
    </row>
    <row r="12" spans="1:17" x14ac:dyDescent="0.2">
      <c r="A12" s="14" t="s">
        <v>43</v>
      </c>
      <c r="B12" s="14" t="s">
        <v>118</v>
      </c>
      <c r="C12" s="14">
        <v>1</v>
      </c>
      <c r="D12" s="14">
        <f t="array" ref="D12">IF(AND(INDEX('Thang 05-2026'!$A$3:$Q$102,MATCH(1,($A12='Thang 05-2026'!$A$3:$A$102)*($G12='Thang 05-2026'!$C$3:$C$102),0),11)=1,$B12="Triều Xuống"),1,IF(AND(INDEX('Thang 05-2026'!$A$3:$Q$102,MATCH(1,($A12='Thang 05-2026'!$A$3:$A$102)*($G12='Thang 05-2026'!$C$3:$C$102),0),10)=1,$B12="Triều Lên",INDEX('Thang 05-2026'!$A$3:$Q$102,MATCH(1,($A12='Thang 05-2026'!$A$3:$A$102)*($G12='Thang 05-2026'!$C$3:$C$102),0),11)=0),1,0))</f>
        <v>0</v>
      </c>
      <c r="E12" s="14">
        <f t="array" ref="E12">IF(AND(INDEX('Thang 05-2026'!$A$3:$Q$102,MATCH(1,($A12='Thang 05-2026'!$A$3:$A$102)*($G12='Thang 05-2026'!$C$3:$C$102),0),15)=1,$B12="Triều Xuống"),1,IF(AND(INDEX('Thang 05-2026'!$A$3:$Q$102,MATCH(1,($A12='Thang 05-2026'!$A$3:$A$102)*($G12='Thang 05-2026'!$C$3:$C$102),0),14)=1,$B12="Triều Lên",INDEX('Thang 05-2026'!$A$3:$Q$102,MATCH(1,($A12='Thang 05-2026'!$A$3:$A$102)*($G12='Thang 05-2026'!$C$3:$C$102),0),15)=0),1,0))</f>
        <v>0</v>
      </c>
      <c r="F12" s="14">
        <f t="shared" si="1"/>
        <v>0</v>
      </c>
      <c r="G12" s="14">
        <f>INDEX('Thang 05-2026'!$A$3:$C$102,MATCH(A12,'Thang 05-2026'!$A$3:$A$102,0),3)</f>
        <v>11</v>
      </c>
      <c r="H12" t="str">
        <f t="array" ref="H12">INDEX('TONG HOP DIA DIEM'!$A$2:$K$181,MATCH(1,($A12='TONG HOP DIA DIEM'!$A$2:$A$181)*($B12='TONG HOP DIA DIEM'!$B$2:$B$181),0),6)</f>
        <v>Phú Xuân - HCM_NM_PX - Triều Lên</v>
      </c>
      <c r="I12" t="str">
        <f t="array" ref="I12">INDEX('TONG HOP DIA DIEM'!$A$2:$K$181,MATCH(1,($A12='TONG HOP DIA DIEM'!$A$2:$A$181)*($B12='TONG HOP DIA DIEM'!$B$2:$B$181),0),7)</f>
        <v>Phú Xuân - Triều Lên</v>
      </c>
      <c r="J12">
        <f t="shared" si="2"/>
        <v>1</v>
      </c>
      <c r="K12">
        <f t="shared" si="3"/>
        <v>0</v>
      </c>
      <c r="L12">
        <f t="shared" si="4"/>
        <v>0</v>
      </c>
      <c r="M12">
        <f t="shared" si="5"/>
        <v>0</v>
      </c>
      <c r="N12">
        <f t="shared" si="6"/>
        <v>11</v>
      </c>
      <c r="O12" t="str">
        <f t="shared" si="7"/>
        <v/>
      </c>
      <c r="P12" t="str">
        <f t="shared" si="8"/>
        <v/>
      </c>
      <c r="Q12" t="str">
        <f t="shared" si="9"/>
        <v/>
      </c>
    </row>
    <row r="13" spans="1:17" x14ac:dyDescent="0.2">
      <c r="A13" s="14" t="s">
        <v>44</v>
      </c>
      <c r="B13" s="14" t="s">
        <v>118</v>
      </c>
      <c r="C13" s="14">
        <v>1</v>
      </c>
      <c r="D13" s="14">
        <f t="array" ref="D13">IF(AND(INDEX('Thang 05-2026'!$A$3:$Q$102,MATCH(1,($A13='Thang 05-2026'!$A$3:$A$102)*($G13='Thang 05-2026'!$C$3:$C$102),0),11)=1,$B13="Triều Xuống"),1,IF(AND(INDEX('Thang 05-2026'!$A$3:$Q$102,MATCH(1,($A13='Thang 05-2026'!$A$3:$A$102)*($G13='Thang 05-2026'!$C$3:$C$102),0),10)=1,$B13="Triều Lên",INDEX('Thang 05-2026'!$A$3:$Q$102,MATCH(1,($A13='Thang 05-2026'!$A$3:$A$102)*($G13='Thang 05-2026'!$C$3:$C$102),0),11)=0),1,0))</f>
        <v>0</v>
      </c>
      <c r="E13" s="14">
        <f t="array" ref="E13">IF(AND(INDEX('Thang 05-2026'!$A$3:$Q$102,MATCH(1,($A13='Thang 05-2026'!$A$3:$A$102)*($G13='Thang 05-2026'!$C$3:$C$102),0),15)=1,$B13="Triều Xuống"),1,IF(AND(INDEX('Thang 05-2026'!$A$3:$Q$102,MATCH(1,($A13='Thang 05-2026'!$A$3:$A$102)*($G13='Thang 05-2026'!$C$3:$C$102),0),14)=1,$B13="Triều Lên",INDEX('Thang 05-2026'!$A$3:$Q$102,MATCH(1,($A13='Thang 05-2026'!$A$3:$A$102)*($G13='Thang 05-2026'!$C$3:$C$102),0),15)=0),1,0))</f>
        <v>0</v>
      </c>
      <c r="F13" s="14">
        <f t="shared" si="1"/>
        <v>0</v>
      </c>
      <c r="G13" s="14">
        <f>INDEX('Thang 05-2026'!$A$3:$C$102,MATCH(A13,'Thang 05-2026'!$A$3:$A$102,0),3)</f>
        <v>11</v>
      </c>
      <c r="H13" t="str">
        <f t="array" ref="H13">INDEX('TONG HOP DIA DIEM'!$A$2:$K$181,MATCH(1,($A13='TONG HOP DIA DIEM'!$A$2:$A$181)*($B13='TONG HOP DIA DIEM'!$B$2:$B$181),0),6)</f>
        <v>Hiệp Phước - HCM_NM_HPh - Triều Lên</v>
      </c>
      <c r="I13" t="str">
        <f t="array" ref="I13">INDEX('TONG HOP DIA DIEM'!$A$2:$K$181,MATCH(1,($A13='TONG HOP DIA DIEM'!$A$2:$A$181)*($B13='TONG HOP DIA DIEM'!$B$2:$B$181),0),7)</f>
        <v>Hiệp Phước - Triều Lên</v>
      </c>
      <c r="J13">
        <f t="shared" si="2"/>
        <v>1</v>
      </c>
      <c r="K13">
        <f t="shared" si="3"/>
        <v>0</v>
      </c>
      <c r="L13">
        <f t="shared" si="4"/>
        <v>0</v>
      </c>
      <c r="M13">
        <f t="shared" si="5"/>
        <v>0</v>
      </c>
      <c r="N13">
        <f t="shared" si="6"/>
        <v>11</v>
      </c>
      <c r="O13" t="str">
        <f t="shared" si="7"/>
        <v/>
      </c>
      <c r="P13" t="str">
        <f t="shared" si="8"/>
        <v/>
      </c>
      <c r="Q13" t="str">
        <f t="shared" si="9"/>
        <v/>
      </c>
    </row>
    <row r="14" spans="1:17" x14ac:dyDescent="0.2">
      <c r="A14" s="14" t="s">
        <v>41</v>
      </c>
      <c r="B14" s="14" t="s">
        <v>121</v>
      </c>
      <c r="C14" s="14">
        <v>1</v>
      </c>
      <c r="D14" s="14">
        <f t="array" ref="D14">IF(AND(INDEX('Thang 05-2026'!$A$3:$Q$102,MATCH(1,($A14='Thang 05-2026'!$A$3:$A$102)*($G14='Thang 05-2026'!$C$3:$C$102),0),11)=1,$B14="Triều Xuống"),1,IF(AND(INDEX('Thang 05-2026'!$A$3:$Q$102,MATCH(1,($A14='Thang 05-2026'!$A$3:$A$102)*($G14='Thang 05-2026'!$C$3:$C$102),0),10)=1,$B14="Triều Lên",INDEX('Thang 05-2026'!$A$3:$Q$102,MATCH(1,($A14='Thang 05-2026'!$A$3:$A$102)*($G14='Thang 05-2026'!$C$3:$C$102),0),11)=0),1,0))</f>
        <v>0</v>
      </c>
      <c r="E14" s="14">
        <f t="array" ref="E14">IF(AND(INDEX('Thang 05-2026'!$A$3:$Q$102,MATCH(1,($A14='Thang 05-2026'!$A$3:$A$102)*($G14='Thang 05-2026'!$C$3:$C$102),0),15)=1,$B14="Triều Xuống"),1,IF(AND(INDEX('Thang 05-2026'!$A$3:$Q$102,MATCH(1,($A14='Thang 05-2026'!$A$3:$A$102)*($G14='Thang 05-2026'!$C$3:$C$102),0),14)=1,$B14="Triều Lên",INDEX('Thang 05-2026'!$A$3:$Q$102,MATCH(1,($A14='Thang 05-2026'!$A$3:$A$102)*($G14='Thang 05-2026'!$C$3:$C$102),0),15)=0),1,0))</f>
        <v>0</v>
      </c>
      <c r="F14" s="14">
        <f t="shared" si="1"/>
        <v>0</v>
      </c>
      <c r="G14" s="14">
        <f>INDEX('Thang 05-2026'!$A$3:$C$102,MATCH(A14,'Thang 05-2026'!$A$3:$A$102,0),3)</f>
        <v>11</v>
      </c>
      <c r="H14" t="str">
        <f t="array" ref="H14">INDEX('TONG HOP DIA DIEM'!$A$2:$K$181,MATCH(1,($A14='TONG HOP DIA DIEM'!$A$2:$A$181)*($B14='TONG HOP DIA DIEM'!$B$2:$B$181),0),6)</f>
        <v>Bà Lào - HCM_NM_BLa - Triều Xuống</v>
      </c>
      <c r="I14" t="str">
        <f t="array" ref="I14">INDEX('TONG HOP DIA DIEM'!$A$2:$K$181,MATCH(1,($A14='TONG HOP DIA DIEM'!$A$2:$A$181)*($B14='TONG HOP DIA DIEM'!$B$2:$B$181),0),7)</f>
        <v>Bà Lào - Triều Xuống</v>
      </c>
      <c r="J14">
        <f t="shared" si="2"/>
        <v>1</v>
      </c>
      <c r="K14">
        <f t="shared" si="3"/>
        <v>0</v>
      </c>
      <c r="L14">
        <f t="shared" si="4"/>
        <v>0</v>
      </c>
      <c r="M14">
        <f t="shared" si="5"/>
        <v>0</v>
      </c>
      <c r="N14">
        <f t="shared" si="6"/>
        <v>11</v>
      </c>
      <c r="O14" t="str">
        <f t="shared" si="7"/>
        <v/>
      </c>
      <c r="P14" t="str">
        <f t="shared" si="8"/>
        <v/>
      </c>
      <c r="Q14" t="str">
        <f t="shared" si="9"/>
        <v/>
      </c>
    </row>
    <row r="15" spans="1:17" x14ac:dyDescent="0.2">
      <c r="A15" s="14" t="s">
        <v>42</v>
      </c>
      <c r="B15" s="14" t="s">
        <v>121</v>
      </c>
      <c r="C15" s="14">
        <v>1</v>
      </c>
      <c r="D15" s="14">
        <f t="array" ref="D15">IF(AND(INDEX('Thang 05-2026'!$A$3:$Q$102,MATCH(1,($A15='Thang 05-2026'!$A$3:$A$102)*($G15='Thang 05-2026'!$C$3:$C$102),0),11)=1,$B15="Triều Xuống"),1,IF(AND(INDEX('Thang 05-2026'!$A$3:$Q$102,MATCH(1,($A15='Thang 05-2026'!$A$3:$A$102)*($G15='Thang 05-2026'!$C$3:$C$102),0),10)=1,$B15="Triều Lên",INDEX('Thang 05-2026'!$A$3:$Q$102,MATCH(1,($A15='Thang 05-2026'!$A$3:$A$102)*($G15='Thang 05-2026'!$C$3:$C$102),0),11)=0),1,0))</f>
        <v>0</v>
      </c>
      <c r="E15" s="14">
        <f t="array" ref="E15">IF(AND(INDEX('Thang 05-2026'!$A$3:$Q$102,MATCH(1,($A15='Thang 05-2026'!$A$3:$A$102)*($G15='Thang 05-2026'!$C$3:$C$102),0),15)=1,$B15="Triều Xuống"),1,IF(AND(INDEX('Thang 05-2026'!$A$3:$Q$102,MATCH(1,($A15='Thang 05-2026'!$A$3:$A$102)*($G15='Thang 05-2026'!$C$3:$C$102),0),14)=1,$B15="Triều Lên",INDEX('Thang 05-2026'!$A$3:$Q$102,MATCH(1,($A15='Thang 05-2026'!$A$3:$A$102)*($G15='Thang 05-2026'!$C$3:$C$102),0),15)=0),1,0))</f>
        <v>0</v>
      </c>
      <c r="F15" s="14">
        <f t="shared" si="1"/>
        <v>0</v>
      </c>
      <c r="G15" s="14">
        <f>INDEX('Thang 05-2026'!$A$3:$C$102,MATCH(A15,'Thang 05-2026'!$A$3:$A$102,0),3)</f>
        <v>11</v>
      </c>
      <c r="H15" s="47" t="str">
        <f t="array" ref="H15">INDEX('TONG HOP DIA DIEM'!$A$2:$K$181,MATCH(1,($A15='TONG HOP DIA DIEM'!$A$2:$A$181)*($B15='TONG HOP DIA DIEM'!$B$2:$B$181),0),6)</f>
        <v>Long Hậu Tân Kim - HCM_NM_LHTK - Triều Xuống</v>
      </c>
      <c r="I15" s="47" t="str">
        <f t="array" ref="I15">INDEX('TONG HOP DIA DIEM'!$A$2:$K$181,MATCH(1,($A15='TONG HOP DIA DIEM'!$A$2:$A$181)*($B15='TONG HOP DIA DIEM'!$B$2:$B$181),0),7)</f>
        <v>Long Hậu Tân Kim - Triều Xuống</v>
      </c>
      <c r="J15" s="47">
        <f t="shared" si="2"/>
        <v>1</v>
      </c>
      <c r="K15" s="47">
        <f t="shared" si="3"/>
        <v>0</v>
      </c>
      <c r="L15" s="47">
        <f t="shared" si="4"/>
        <v>0</v>
      </c>
      <c r="M15" s="47">
        <f t="shared" si="5"/>
        <v>0</v>
      </c>
      <c r="N15" s="47">
        <f t="shared" si="6"/>
        <v>11</v>
      </c>
      <c r="O15" t="str">
        <f t="shared" si="7"/>
        <v/>
      </c>
      <c r="P15" t="str">
        <f t="shared" si="8"/>
        <v/>
      </c>
      <c r="Q15" t="str">
        <f t="shared" si="9"/>
        <v/>
      </c>
    </row>
    <row r="16" spans="1:17" x14ac:dyDescent="0.2">
      <c r="A16" s="14" t="s">
        <v>43</v>
      </c>
      <c r="B16" s="14" t="s">
        <v>121</v>
      </c>
      <c r="C16" s="14">
        <v>1</v>
      </c>
      <c r="D16" s="14">
        <f t="array" ref="D16">IF(AND(INDEX('Thang 05-2026'!$A$3:$Q$102,MATCH(1,($A16='Thang 05-2026'!$A$3:$A$102)*($G16='Thang 05-2026'!$C$3:$C$102),0),11)=1,$B16="Triều Xuống"),1,IF(AND(INDEX('Thang 05-2026'!$A$3:$Q$102,MATCH(1,($A16='Thang 05-2026'!$A$3:$A$102)*($G16='Thang 05-2026'!$C$3:$C$102),0),10)=1,$B16="Triều Lên",INDEX('Thang 05-2026'!$A$3:$Q$102,MATCH(1,($A16='Thang 05-2026'!$A$3:$A$102)*($G16='Thang 05-2026'!$C$3:$C$102),0),11)=0),1,0))</f>
        <v>0</v>
      </c>
      <c r="E16" s="14">
        <f t="array" ref="E16">IF(AND(INDEX('Thang 05-2026'!$A$3:$Q$102,MATCH(1,($A16='Thang 05-2026'!$A$3:$A$102)*($G16='Thang 05-2026'!$C$3:$C$102),0),15)=1,$B16="Triều Xuống"),1,IF(AND(INDEX('Thang 05-2026'!$A$3:$Q$102,MATCH(1,($A16='Thang 05-2026'!$A$3:$A$102)*($G16='Thang 05-2026'!$C$3:$C$102),0),14)=1,$B16="Triều Lên",INDEX('Thang 05-2026'!$A$3:$Q$102,MATCH(1,($A16='Thang 05-2026'!$A$3:$A$102)*($G16='Thang 05-2026'!$C$3:$C$102),0),15)=0),1,0))</f>
        <v>0</v>
      </c>
      <c r="F16" s="14">
        <f t="shared" si="1"/>
        <v>0</v>
      </c>
      <c r="G16" s="14">
        <f>INDEX('Thang 05-2026'!$A$3:$C$102,MATCH(A16,'Thang 05-2026'!$A$3:$A$102,0),3)</f>
        <v>11</v>
      </c>
      <c r="H16" s="47" t="str">
        <f t="array" ref="H16">INDEX('TONG HOP DIA DIEM'!$A$2:$K$181,MATCH(1,($A16='TONG HOP DIA DIEM'!$A$2:$A$181)*($B16='TONG HOP DIA DIEM'!$B$2:$B$181),0),6)</f>
        <v>Phú Xuân - HCM_NM_PX - Triều Xuống</v>
      </c>
      <c r="I16" s="47" t="str">
        <f t="array" ref="I16">INDEX('TONG HOP DIA DIEM'!$A$2:$K$181,MATCH(1,($A16='TONG HOP DIA DIEM'!$A$2:$A$181)*($B16='TONG HOP DIA DIEM'!$B$2:$B$181),0),7)</f>
        <v>Phú Xuân - Triều Xuống</v>
      </c>
      <c r="J16" s="47">
        <f t="shared" si="2"/>
        <v>1</v>
      </c>
      <c r="K16" s="47">
        <f t="shared" si="3"/>
        <v>0</v>
      </c>
      <c r="L16" s="47">
        <f t="shared" si="4"/>
        <v>0</v>
      </c>
      <c r="M16" s="47">
        <f t="shared" si="5"/>
        <v>0</v>
      </c>
      <c r="N16" s="47">
        <f t="shared" si="6"/>
        <v>11</v>
      </c>
      <c r="O16" t="str">
        <f t="shared" si="7"/>
        <v/>
      </c>
      <c r="P16" t="str">
        <f t="shared" si="8"/>
        <v/>
      </c>
      <c r="Q16" t="str">
        <f t="shared" si="9"/>
        <v/>
      </c>
    </row>
    <row r="17" spans="1:17" x14ac:dyDescent="0.2">
      <c r="A17" s="14" t="s">
        <v>44</v>
      </c>
      <c r="B17" s="14" t="s">
        <v>121</v>
      </c>
      <c r="C17" s="14">
        <v>1</v>
      </c>
      <c r="D17" s="14">
        <f t="array" ref="D17">IF(AND(INDEX('Thang 05-2026'!$A$3:$Q$102,MATCH(1,($A17='Thang 05-2026'!$A$3:$A$102)*($G17='Thang 05-2026'!$C$3:$C$102),0),11)=1,$B17="Triều Xuống"),1,IF(AND(INDEX('Thang 05-2026'!$A$3:$Q$102,MATCH(1,($A17='Thang 05-2026'!$A$3:$A$102)*($G17='Thang 05-2026'!$C$3:$C$102),0),10)=1,$B17="Triều Lên",INDEX('Thang 05-2026'!$A$3:$Q$102,MATCH(1,($A17='Thang 05-2026'!$A$3:$A$102)*($G17='Thang 05-2026'!$C$3:$C$102),0),11)=0),1,0))</f>
        <v>0</v>
      </c>
      <c r="E17" s="14">
        <f t="array" ref="E17">IF(AND(INDEX('Thang 05-2026'!$A$3:$Q$102,MATCH(1,($A17='Thang 05-2026'!$A$3:$A$102)*($G17='Thang 05-2026'!$C$3:$C$102),0),15)=1,$B17="Triều Xuống"),1,IF(AND(INDEX('Thang 05-2026'!$A$3:$Q$102,MATCH(1,($A17='Thang 05-2026'!$A$3:$A$102)*($G17='Thang 05-2026'!$C$3:$C$102),0),14)=1,$B17="Triều Lên",INDEX('Thang 05-2026'!$A$3:$Q$102,MATCH(1,($A17='Thang 05-2026'!$A$3:$A$102)*($G17='Thang 05-2026'!$C$3:$C$102),0),15)=0),1,0))</f>
        <v>0</v>
      </c>
      <c r="F17" s="14">
        <f t="shared" si="1"/>
        <v>0</v>
      </c>
      <c r="G17" s="14">
        <f>INDEX('Thang 05-2026'!$A$3:$C$102,MATCH(A17,'Thang 05-2026'!$A$3:$A$102,0),3)</f>
        <v>11</v>
      </c>
      <c r="H17" s="47" t="str">
        <f t="array" ref="H17">INDEX('TONG HOP DIA DIEM'!$A$2:$K$181,MATCH(1,($A17='TONG HOP DIA DIEM'!$A$2:$A$181)*($B17='TONG HOP DIA DIEM'!$B$2:$B$181),0),6)</f>
        <v>Hiệp Phước - HCM_NM_HPh - Triều Xuống</v>
      </c>
      <c r="I17" s="47" t="str">
        <f t="array" ref="I17">INDEX('TONG HOP DIA DIEM'!$A$2:$K$181,MATCH(1,($A17='TONG HOP DIA DIEM'!$A$2:$A$181)*($B17='TONG HOP DIA DIEM'!$B$2:$B$181),0),7)</f>
        <v>Hiệp Phước - Triều Xuống</v>
      </c>
      <c r="J17" s="47">
        <f t="shared" si="2"/>
        <v>1</v>
      </c>
      <c r="K17" s="47">
        <f t="shared" si="3"/>
        <v>0</v>
      </c>
      <c r="L17" s="47">
        <f t="shared" si="4"/>
        <v>0</v>
      </c>
      <c r="M17" s="47">
        <f t="shared" si="5"/>
        <v>0</v>
      </c>
      <c r="N17" s="47">
        <f t="shared" si="6"/>
        <v>11</v>
      </c>
      <c r="O17" t="str">
        <f t="shared" si="7"/>
        <v/>
      </c>
      <c r="P17" t="str">
        <f t="shared" si="8"/>
        <v/>
      </c>
      <c r="Q17" t="str">
        <f t="shared" si="9"/>
        <v/>
      </c>
    </row>
    <row r="18" spans="1:17" x14ac:dyDescent="0.2">
      <c r="A18" s="14" t="s">
        <v>45</v>
      </c>
      <c r="B18" s="14" t="s">
        <v>118</v>
      </c>
      <c r="C18" s="14">
        <v>1</v>
      </c>
      <c r="D18" s="14">
        <f t="array" ref="D18">IF(AND(INDEX('Thang 05-2026'!$A$3:$Q$102,MATCH(1,($A18='Thang 05-2026'!$A$3:$A$102)*($G18='Thang 05-2026'!$C$3:$C$102),0),11)=1,$B18="Triều Xuống"),1,IF(AND(INDEX('Thang 05-2026'!$A$3:$Q$102,MATCH(1,($A18='Thang 05-2026'!$A$3:$A$102)*($G18='Thang 05-2026'!$C$3:$C$102),0),10)=1,$B18="Triều Lên",INDEX('Thang 05-2026'!$A$3:$Q$102,MATCH(1,($A18='Thang 05-2026'!$A$3:$A$102)*($G18='Thang 05-2026'!$C$3:$C$102),0),11)=0),1,0))</f>
        <v>0</v>
      </c>
      <c r="E18" s="14">
        <f t="array" ref="E18">IF(AND(INDEX('Thang 05-2026'!$A$3:$Q$102,MATCH(1,($A18='Thang 05-2026'!$A$3:$A$102)*($G18='Thang 05-2026'!$C$3:$C$102),0),15)=1,$B18="Triều Xuống"),1,IF(AND(INDEX('Thang 05-2026'!$A$3:$Q$102,MATCH(1,($A18='Thang 05-2026'!$A$3:$A$102)*($G18='Thang 05-2026'!$C$3:$C$102),0),14)=1,$B18="Triều Lên",INDEX('Thang 05-2026'!$A$3:$Q$102,MATCH(1,($A18='Thang 05-2026'!$A$3:$A$102)*($G18='Thang 05-2026'!$C$3:$C$102),0),15)=0),1,0))</f>
        <v>0</v>
      </c>
      <c r="F18" s="14">
        <f t="shared" si="1"/>
        <v>0</v>
      </c>
      <c r="G18" s="14">
        <f>INDEX('Thang 05-2026'!$A$3:$C$102,MATCH(A18,'Thang 05-2026'!$A$3:$A$102,0),3)</f>
        <v>12</v>
      </c>
      <c r="H18" s="47" t="str">
        <f t="array" ref="H18">INDEX('TONG HOP DIA DIEM'!$A$2:$K$181,MATCH(1,($A18='TONG HOP DIA DIEM'!$A$2:$A$181)*($B18='TONG HOP DIA DIEM'!$B$2:$B$181),0),6)</f>
        <v>Cầu số 1 - HCM_NM_CS1 - Triều Lên</v>
      </c>
      <c r="I18" s="47" t="str">
        <f t="array" ref="I18">INDEX('TONG HOP DIA DIEM'!$A$2:$K$181,MATCH(1,($A18='TONG HOP DIA DIEM'!$A$2:$A$181)*($B18='TONG HOP DIA DIEM'!$B$2:$B$181),0),7)</f>
        <v>Cầu số 1 - Triều Lên</v>
      </c>
      <c r="J18" s="47">
        <f t="shared" si="2"/>
        <v>1</v>
      </c>
      <c r="K18" s="47">
        <f t="shared" si="3"/>
        <v>0</v>
      </c>
      <c r="L18" s="47">
        <f t="shared" si="4"/>
        <v>0</v>
      </c>
      <c r="M18" s="47">
        <f t="shared" si="5"/>
        <v>0</v>
      </c>
      <c r="N18" s="47">
        <f t="shared" si="6"/>
        <v>12</v>
      </c>
      <c r="O18" t="str">
        <f t="shared" si="7"/>
        <v/>
      </c>
      <c r="P18" t="str">
        <f t="shared" si="8"/>
        <v/>
      </c>
      <c r="Q18" t="str">
        <f t="shared" si="9"/>
        <v/>
      </c>
    </row>
    <row r="19" spans="1:17" x14ac:dyDescent="0.2">
      <c r="A19" s="14" t="s">
        <v>47</v>
      </c>
      <c r="B19" s="14" t="s">
        <v>118</v>
      </c>
      <c r="C19" s="14">
        <v>1</v>
      </c>
      <c r="D19" s="14">
        <f t="array" ref="D19">IF(AND(INDEX('Thang 05-2026'!$A$3:$Q$102,MATCH(1,($A19='Thang 05-2026'!$A$3:$A$102)*($G19='Thang 05-2026'!$C$3:$C$102),0),11)=1,$B19="Triều Xuống"),1,IF(AND(INDEX('Thang 05-2026'!$A$3:$Q$102,MATCH(1,($A19='Thang 05-2026'!$A$3:$A$102)*($G19='Thang 05-2026'!$C$3:$C$102),0),10)=1,$B19="Triều Lên",INDEX('Thang 05-2026'!$A$3:$Q$102,MATCH(1,($A19='Thang 05-2026'!$A$3:$A$102)*($G19='Thang 05-2026'!$C$3:$C$102),0),11)=0),1,0))</f>
        <v>0</v>
      </c>
      <c r="E19" s="14">
        <f t="array" ref="E19">IF(AND(INDEX('Thang 05-2026'!$A$3:$Q$102,MATCH(1,($A19='Thang 05-2026'!$A$3:$A$102)*($G19='Thang 05-2026'!$C$3:$C$102),0),15)=1,$B19="Triều Xuống"),1,IF(AND(INDEX('Thang 05-2026'!$A$3:$Q$102,MATCH(1,($A19='Thang 05-2026'!$A$3:$A$102)*($G19='Thang 05-2026'!$C$3:$C$102),0),14)=1,$B19="Triều Lên",INDEX('Thang 05-2026'!$A$3:$Q$102,MATCH(1,($A19='Thang 05-2026'!$A$3:$A$102)*($G19='Thang 05-2026'!$C$3:$C$102),0),15)=0),1,0))</f>
        <v>0</v>
      </c>
      <c r="F19" s="14">
        <f t="shared" si="1"/>
        <v>0</v>
      </c>
      <c r="G19" s="14">
        <f>INDEX('Thang 05-2026'!$A$3:$C$102,MATCH(A19,'Thang 05-2026'!$A$3:$A$102,0),3)</f>
        <v>12</v>
      </c>
      <c r="H19" s="47" t="str">
        <f t="array" ref="H19">INDEX('TONG HOP DIA DIEM'!$A$2:$K$181,MATCH(1,($A19='TONG HOP DIA DIEM'!$A$2:$A$181)*($B19='TONG HOP DIA DIEM'!$B$2:$B$181),0),6)</f>
        <v>Lê Văn Sỹ - HCM_NM_LVS - Triều Lên</v>
      </c>
      <c r="I19" s="47" t="str">
        <f t="array" ref="I19">INDEX('TONG HOP DIA DIEM'!$A$2:$K$181,MATCH(1,($A19='TONG HOP DIA DIEM'!$A$2:$A$181)*($B19='TONG HOP DIA DIEM'!$B$2:$B$181),0),7)</f>
        <v>Lê Văn Sỹ - Triều Lên</v>
      </c>
      <c r="J19" s="47">
        <f t="shared" si="2"/>
        <v>1</v>
      </c>
      <c r="K19" s="47">
        <f t="shared" si="3"/>
        <v>0</v>
      </c>
      <c r="L19" s="47">
        <f t="shared" si="4"/>
        <v>0</v>
      </c>
      <c r="M19" s="47">
        <f t="shared" si="5"/>
        <v>0</v>
      </c>
      <c r="N19" s="47">
        <f t="shared" si="6"/>
        <v>12</v>
      </c>
      <c r="O19" t="str">
        <f t="shared" si="7"/>
        <v/>
      </c>
      <c r="P19" t="str">
        <f t="shared" si="8"/>
        <v/>
      </c>
      <c r="Q19" t="str">
        <f t="shared" si="9"/>
        <v/>
      </c>
    </row>
    <row r="20" spans="1:17" x14ac:dyDescent="0.2">
      <c r="A20" s="14" t="s">
        <v>48</v>
      </c>
      <c r="B20" s="14" t="s">
        <v>118</v>
      </c>
      <c r="C20" s="14">
        <v>1</v>
      </c>
      <c r="D20" s="14">
        <f t="array" ref="D20">IF(AND(INDEX('Thang 05-2026'!$A$3:$Q$102,MATCH(1,($A20='Thang 05-2026'!$A$3:$A$102)*($G20='Thang 05-2026'!$C$3:$C$102),0),11)=1,$B20="Triều Xuống"),1,IF(AND(INDEX('Thang 05-2026'!$A$3:$Q$102,MATCH(1,($A20='Thang 05-2026'!$A$3:$A$102)*($G20='Thang 05-2026'!$C$3:$C$102),0),10)=1,$B20="Triều Lên",INDEX('Thang 05-2026'!$A$3:$Q$102,MATCH(1,($A20='Thang 05-2026'!$A$3:$A$102)*($G20='Thang 05-2026'!$C$3:$C$102),0),11)=0),1,0))</f>
        <v>0</v>
      </c>
      <c r="E20" s="14">
        <f t="array" ref="E20">IF(AND(INDEX('Thang 05-2026'!$A$3:$Q$102,MATCH(1,($A20='Thang 05-2026'!$A$3:$A$102)*($G20='Thang 05-2026'!$C$3:$C$102),0),15)=1,$B20="Triều Xuống"),1,IF(AND(INDEX('Thang 05-2026'!$A$3:$Q$102,MATCH(1,($A20='Thang 05-2026'!$A$3:$A$102)*($G20='Thang 05-2026'!$C$3:$C$102),0),14)=1,$B20="Triều Lên",INDEX('Thang 05-2026'!$A$3:$Q$102,MATCH(1,($A20='Thang 05-2026'!$A$3:$A$102)*($G20='Thang 05-2026'!$C$3:$C$102),0),15)=0),1,0))</f>
        <v>0</v>
      </c>
      <c r="F20" s="14">
        <f t="shared" si="1"/>
        <v>0</v>
      </c>
      <c r="G20" s="14">
        <f>INDEX('Thang 05-2026'!$A$3:$C$102,MATCH(A20,'Thang 05-2026'!$A$3:$A$102,0),3)</f>
        <v>12</v>
      </c>
      <c r="H20" s="47" t="str">
        <f t="array" ref="H20">INDEX('TONG HOP DIA DIEM'!$A$2:$K$181,MATCH(1,($A20='TONG HOP DIA DIEM'!$A$2:$A$181)*($B20='TONG HOP DIA DIEM'!$B$2:$B$181),0),6)</f>
        <v>Hải Đức - HCM_NM_HĐ - Triều Lên</v>
      </c>
      <c r="I20" s="47" t="str">
        <f t="array" ref="I20">INDEX('TONG HOP DIA DIEM'!$A$2:$K$181,MATCH(1,($A20='TONG HOP DIA DIEM'!$A$2:$A$181)*($B20='TONG HOP DIA DIEM'!$B$2:$B$181),0),7)</f>
        <v>Hải Đức - Triều Lên</v>
      </c>
      <c r="J20" s="47">
        <f t="shared" si="2"/>
        <v>1</v>
      </c>
      <c r="K20" s="47">
        <f t="shared" si="3"/>
        <v>0</v>
      </c>
      <c r="L20" s="47">
        <f t="shared" si="4"/>
        <v>0</v>
      </c>
      <c r="M20" s="47">
        <f t="shared" si="5"/>
        <v>0</v>
      </c>
      <c r="N20" s="47">
        <f t="shared" si="6"/>
        <v>12</v>
      </c>
      <c r="O20" t="str">
        <f t="shared" si="7"/>
        <v/>
      </c>
      <c r="P20" t="str">
        <f t="shared" si="8"/>
        <v/>
      </c>
      <c r="Q20" t="str">
        <f t="shared" si="9"/>
        <v/>
      </c>
    </row>
    <row r="21" spans="1:17" x14ac:dyDescent="0.2">
      <c r="A21" s="14" t="s">
        <v>49</v>
      </c>
      <c r="B21" s="14" t="s">
        <v>118</v>
      </c>
      <c r="C21" s="14">
        <v>1</v>
      </c>
      <c r="D21" s="14">
        <f t="array" ref="D21">IF(AND(INDEX('Thang 05-2026'!$A$3:$Q$102,MATCH(1,($A21='Thang 05-2026'!$A$3:$A$102)*($G21='Thang 05-2026'!$C$3:$C$102),0),11)=1,$B21="Triều Xuống"),1,IF(AND(INDEX('Thang 05-2026'!$A$3:$Q$102,MATCH(1,($A21='Thang 05-2026'!$A$3:$A$102)*($G21='Thang 05-2026'!$C$3:$C$102),0),10)=1,$B21="Triều Lên",INDEX('Thang 05-2026'!$A$3:$Q$102,MATCH(1,($A21='Thang 05-2026'!$A$3:$A$102)*($G21='Thang 05-2026'!$C$3:$C$102),0),11)=0),1,0))</f>
        <v>0</v>
      </c>
      <c r="E21" s="14">
        <f t="array" ref="E21">IF(AND(INDEX('Thang 05-2026'!$A$3:$Q$102,MATCH(1,($A21='Thang 05-2026'!$A$3:$A$102)*($G21='Thang 05-2026'!$C$3:$C$102),0),15)=1,$B21="Triều Xuống"),1,IF(AND(INDEX('Thang 05-2026'!$A$3:$Q$102,MATCH(1,($A21='Thang 05-2026'!$A$3:$A$102)*($G21='Thang 05-2026'!$C$3:$C$102),0),14)=1,$B21="Triều Lên",INDEX('Thang 05-2026'!$A$3:$Q$102,MATCH(1,($A21='Thang 05-2026'!$A$3:$A$102)*($G21='Thang 05-2026'!$C$3:$C$102),0),15)=0),1,0))</f>
        <v>0</v>
      </c>
      <c r="F21" s="14">
        <f t="shared" si="1"/>
        <v>0</v>
      </c>
      <c r="G21" s="14">
        <f>INDEX('Thang 05-2026'!$A$3:$C$102,MATCH(A21,'Thang 05-2026'!$A$3:$A$102,0),3)</f>
        <v>12</v>
      </c>
      <c r="H21" s="47" t="str">
        <f t="array" ref="H21">INDEX('TONG HOP DIA DIEM'!$A$2:$K$181,MATCH(1,($A21='TONG HOP DIA DIEM'!$A$2:$A$181)*($B21='TONG HOP DIA DIEM'!$B$2:$B$181),0),6)</f>
        <v>Điện Biên Phủ - HCM_NM_ĐBP - Triều Lên</v>
      </c>
      <c r="I21" s="47" t="str">
        <f t="array" ref="I21">INDEX('TONG HOP DIA DIEM'!$A$2:$K$181,MATCH(1,($A21='TONG HOP DIA DIEM'!$A$2:$A$181)*($B21='TONG HOP DIA DIEM'!$B$2:$B$181),0),7)</f>
        <v>Điện Biên Phủ - Triều Lên</v>
      </c>
      <c r="J21" s="47">
        <f t="shared" si="2"/>
        <v>1</v>
      </c>
      <c r="K21" s="47">
        <f t="shared" si="3"/>
        <v>0</v>
      </c>
      <c r="L21" s="47">
        <f t="shared" si="4"/>
        <v>0</v>
      </c>
      <c r="M21" s="47">
        <f t="shared" si="5"/>
        <v>0</v>
      </c>
      <c r="N21" s="47">
        <f t="shared" si="6"/>
        <v>12</v>
      </c>
      <c r="O21" t="str">
        <f t="shared" si="7"/>
        <v/>
      </c>
      <c r="P21" t="str">
        <f t="shared" si="8"/>
        <v/>
      </c>
      <c r="Q21" t="str">
        <f t="shared" si="9"/>
        <v/>
      </c>
    </row>
    <row r="22" spans="1:17" x14ac:dyDescent="0.2">
      <c r="A22" s="14" t="s">
        <v>50</v>
      </c>
      <c r="B22" s="14" t="s">
        <v>118</v>
      </c>
      <c r="C22" s="14">
        <v>1</v>
      </c>
      <c r="D22" s="14">
        <f t="array" ref="D22">IF(AND(INDEX('Thang 05-2026'!$A$3:$Q$102,MATCH(1,($A22='Thang 05-2026'!$A$3:$A$102)*($G22='Thang 05-2026'!$C$3:$C$102),0),11)=1,$B22="Triều Xuống"),1,IF(AND(INDEX('Thang 05-2026'!$A$3:$Q$102,MATCH(1,($A22='Thang 05-2026'!$A$3:$A$102)*($G22='Thang 05-2026'!$C$3:$C$102),0),10)=1,$B22="Triều Lên",INDEX('Thang 05-2026'!$A$3:$Q$102,MATCH(1,($A22='Thang 05-2026'!$A$3:$A$102)*($G22='Thang 05-2026'!$C$3:$C$102),0),11)=0),1,0))</f>
        <v>0</v>
      </c>
      <c r="E22" s="14">
        <f t="array" ref="E22">IF(AND(INDEX('Thang 05-2026'!$A$3:$Q$102,MATCH(1,($A22='Thang 05-2026'!$A$3:$A$102)*($G22='Thang 05-2026'!$C$3:$C$102),0),15)=1,$B22="Triều Xuống"),1,IF(AND(INDEX('Thang 05-2026'!$A$3:$Q$102,MATCH(1,($A22='Thang 05-2026'!$A$3:$A$102)*($G22='Thang 05-2026'!$C$3:$C$102),0),14)=1,$B22="Triều Lên",INDEX('Thang 05-2026'!$A$3:$Q$102,MATCH(1,($A22='Thang 05-2026'!$A$3:$A$102)*($G22='Thang 05-2026'!$C$3:$C$102),0),15)=0),1,0))</f>
        <v>0</v>
      </c>
      <c r="F22" s="14">
        <f t="shared" si="1"/>
        <v>0</v>
      </c>
      <c r="G22" s="14">
        <f>INDEX('Thang 05-2026'!$A$3:$C$102,MATCH(A22,'Thang 05-2026'!$A$3:$A$102,0),3)</f>
        <v>12</v>
      </c>
      <c r="H22" s="47" t="str">
        <f t="array" ref="H22">INDEX('TONG HOP DIA DIEM'!$A$2:$K$181,MATCH(1,($A22='TONG HOP DIA DIEM'!$A$2:$A$181)*($B22='TONG HOP DIA DIEM'!$B$2:$B$181),0),6)</f>
        <v>Bùi Hữu Nghĩa - HCM_NM_BHN - Triều Lên</v>
      </c>
      <c r="I22" s="47" t="str">
        <f t="array" ref="I22">INDEX('TONG HOP DIA DIEM'!$A$2:$K$181,MATCH(1,($A22='TONG HOP DIA DIEM'!$A$2:$A$181)*($B22='TONG HOP DIA DIEM'!$B$2:$B$181),0),7)</f>
        <v>Bùi Hữu Nghĩa - Triều Lên</v>
      </c>
      <c r="J22" s="47">
        <f t="shared" si="2"/>
        <v>1</v>
      </c>
      <c r="K22" s="47">
        <f t="shared" si="3"/>
        <v>0</v>
      </c>
      <c r="L22" s="47">
        <f t="shared" si="4"/>
        <v>0</v>
      </c>
      <c r="M22" s="47">
        <f t="shared" si="5"/>
        <v>0</v>
      </c>
      <c r="N22" s="47">
        <f t="shared" si="6"/>
        <v>12</v>
      </c>
      <c r="O22" t="str">
        <f t="shared" si="7"/>
        <v/>
      </c>
      <c r="P22" t="str">
        <f t="shared" si="8"/>
        <v/>
      </c>
      <c r="Q22" t="str">
        <f t="shared" si="9"/>
        <v/>
      </c>
    </row>
    <row r="23" spans="1:17" s="47" customFormat="1" x14ac:dyDescent="0.2">
      <c r="A23" s="48" t="s">
        <v>45</v>
      </c>
      <c r="B23" s="48" t="s">
        <v>121</v>
      </c>
      <c r="C23" s="48">
        <v>1</v>
      </c>
      <c r="D23" s="48">
        <f t="array" ref="D23">IF(AND(INDEX('Thang 05-2026'!$A$3:$Q$102,MATCH(1,($A23='Thang 05-2026'!$A$3:$A$102)*($G23='Thang 05-2026'!$C$3:$C$102),0),11)=1,$B23="Triều Xuống"),1,IF(AND(INDEX('Thang 05-2026'!$A$3:$Q$102,MATCH(1,($A23='Thang 05-2026'!$A$3:$A$102)*($G23='Thang 05-2026'!$C$3:$C$102),0),10)=1,$B23="Triều Lên",INDEX('Thang 05-2026'!$A$3:$Q$102,MATCH(1,($A23='Thang 05-2026'!$A$3:$A$102)*($G23='Thang 05-2026'!$C$3:$C$102),0),11)=0),1,0))</f>
        <v>0</v>
      </c>
      <c r="E23" s="48">
        <f t="array" ref="E23">IF(AND(INDEX('Thang 05-2026'!$A$3:$Q$102,MATCH(1,($A23='Thang 05-2026'!$A$3:$A$102)*($G23='Thang 05-2026'!$C$3:$C$102),0),15)=1,$B23="Triều Xuống"),1,IF(AND(INDEX('Thang 05-2026'!$A$3:$Q$102,MATCH(1,($A23='Thang 05-2026'!$A$3:$A$102)*($G23='Thang 05-2026'!$C$3:$C$102),0),14)=1,$B23="Triều Lên",INDEX('Thang 05-2026'!$A$3:$Q$102,MATCH(1,($A23='Thang 05-2026'!$A$3:$A$102)*($G23='Thang 05-2026'!$C$3:$C$102),0),15)=0),1,0))</f>
        <v>1</v>
      </c>
      <c r="F23" s="48">
        <f t="shared" si="1"/>
        <v>2</v>
      </c>
      <c r="G23" s="48">
        <f>INDEX('Thang 05-2026'!$A$3:$C$102,MATCH(A23,'Thang 05-2026'!$A$3:$A$102,0),3)</f>
        <v>12</v>
      </c>
      <c r="H23" s="47" t="str">
        <f t="array" ref="H23">INDEX('TONG HOP DIA DIEM'!$A$2:$K$181,MATCH(1,($A23='TONG HOP DIA DIEM'!$A$2:$A$181)*($B23='TONG HOP DIA DIEM'!$B$2:$B$181),0),6)</f>
        <v>Cầu số 1 - HCM_NM_CS1 - Triều Xuống</v>
      </c>
      <c r="I23" s="47" t="str">
        <f t="array" ref="I23">INDEX('TONG HOP DIA DIEM'!$A$2:$K$181,MATCH(1,($A23='TONG HOP DIA DIEM'!$A$2:$A$181)*($B23='TONG HOP DIA DIEM'!$B$2:$B$181),0),7)</f>
        <v>Cầu số 1 - Triều Xuống</v>
      </c>
      <c r="J23" s="47">
        <f t="shared" si="2"/>
        <v>1</v>
      </c>
      <c r="K23" s="47">
        <f t="shared" si="3"/>
        <v>0</v>
      </c>
      <c r="L23" s="47">
        <f t="shared" si="4"/>
        <v>1</v>
      </c>
      <c r="M23" s="47">
        <f t="shared" si="5"/>
        <v>2</v>
      </c>
      <c r="N23" s="47">
        <f t="shared" si="6"/>
        <v>12</v>
      </c>
      <c r="O23" s="47" t="str">
        <f t="shared" si="7"/>
        <v/>
      </c>
      <c r="P23" s="47" t="str">
        <f t="shared" si="8"/>
        <v>Cầu số 1 - Triều Xuống (QC - Mẫu trắng)</v>
      </c>
      <c r="Q23" s="47" t="str">
        <f t="shared" si="9"/>
        <v>Cầu số 1 - Triều Xuống (QC - Mẫu lặp)</v>
      </c>
    </row>
    <row r="24" spans="1:17" x14ac:dyDescent="0.2">
      <c r="A24" s="14" t="s">
        <v>47</v>
      </c>
      <c r="B24" s="14" t="s">
        <v>121</v>
      </c>
      <c r="C24" s="14">
        <v>1</v>
      </c>
      <c r="D24" s="14">
        <f t="array" ref="D24">IF(AND(INDEX('Thang 05-2026'!$A$3:$Q$102,MATCH(1,($A24='Thang 05-2026'!$A$3:$A$102)*($G24='Thang 05-2026'!$C$3:$C$102),0),11)=1,$B24="Triều Xuống"),1,IF(AND(INDEX('Thang 05-2026'!$A$3:$Q$102,MATCH(1,($A24='Thang 05-2026'!$A$3:$A$102)*($G24='Thang 05-2026'!$C$3:$C$102),0),10)=1,$B24="Triều Lên",INDEX('Thang 05-2026'!$A$3:$Q$102,MATCH(1,($A24='Thang 05-2026'!$A$3:$A$102)*($G24='Thang 05-2026'!$C$3:$C$102),0),11)=0),1,0))</f>
        <v>0</v>
      </c>
      <c r="E24" s="14">
        <f t="array" ref="E24">IF(AND(INDEX('Thang 05-2026'!$A$3:$Q$102,MATCH(1,($A24='Thang 05-2026'!$A$3:$A$102)*($G24='Thang 05-2026'!$C$3:$C$102),0),15)=1,$B24="Triều Xuống"),1,IF(AND(INDEX('Thang 05-2026'!$A$3:$Q$102,MATCH(1,($A24='Thang 05-2026'!$A$3:$A$102)*($G24='Thang 05-2026'!$C$3:$C$102),0),14)=1,$B24="Triều Lên",INDEX('Thang 05-2026'!$A$3:$Q$102,MATCH(1,($A24='Thang 05-2026'!$A$3:$A$102)*($G24='Thang 05-2026'!$C$3:$C$102),0),15)=0),1,0))</f>
        <v>0</v>
      </c>
      <c r="F24" s="14">
        <f t="shared" si="1"/>
        <v>0</v>
      </c>
      <c r="G24" s="14">
        <f>INDEX('Thang 05-2026'!$A$3:$C$102,MATCH(A24,'Thang 05-2026'!$A$3:$A$102,0),3)</f>
        <v>12</v>
      </c>
      <c r="H24" s="47" t="str">
        <f t="array" ref="H24">INDEX('TONG HOP DIA DIEM'!$A$2:$K$181,MATCH(1,($A24='TONG HOP DIA DIEM'!$A$2:$A$181)*($B24='TONG HOP DIA DIEM'!$B$2:$B$181),0),6)</f>
        <v>Lê Văn Sỹ - HCM_NM_LVS - Triều Xuống</v>
      </c>
      <c r="I24" s="47" t="str">
        <f t="array" ref="I24">INDEX('TONG HOP DIA DIEM'!$A$2:$K$181,MATCH(1,($A24='TONG HOP DIA DIEM'!$A$2:$A$181)*($B24='TONG HOP DIA DIEM'!$B$2:$B$181),0),7)</f>
        <v>Lê Văn Sỹ - Triều Xuống</v>
      </c>
      <c r="J24" s="47">
        <f t="shared" si="2"/>
        <v>1</v>
      </c>
      <c r="K24" s="47">
        <f t="shared" si="3"/>
        <v>0</v>
      </c>
      <c r="L24" s="47">
        <f t="shared" si="4"/>
        <v>0</v>
      </c>
      <c r="M24" s="47">
        <f t="shared" si="5"/>
        <v>0</v>
      </c>
      <c r="N24" s="47">
        <f t="shared" si="6"/>
        <v>12</v>
      </c>
      <c r="O24" t="str">
        <f t="shared" si="7"/>
        <v/>
      </c>
      <c r="P24" t="str">
        <f t="shared" si="8"/>
        <v/>
      </c>
      <c r="Q24" t="str">
        <f t="shared" si="9"/>
        <v/>
      </c>
    </row>
    <row r="25" spans="1:17" x14ac:dyDescent="0.2">
      <c r="A25" s="14" t="s">
        <v>48</v>
      </c>
      <c r="B25" s="14" t="s">
        <v>121</v>
      </c>
      <c r="C25" s="14">
        <v>1</v>
      </c>
      <c r="D25" s="14">
        <f t="array" ref="D25">IF(AND(INDEX('Thang 05-2026'!$A$3:$Q$102,MATCH(1,($A25='Thang 05-2026'!$A$3:$A$102)*($G25='Thang 05-2026'!$C$3:$C$102),0),11)=1,$B25="Triều Xuống"),1,IF(AND(INDEX('Thang 05-2026'!$A$3:$Q$102,MATCH(1,($A25='Thang 05-2026'!$A$3:$A$102)*($G25='Thang 05-2026'!$C$3:$C$102),0),10)=1,$B25="Triều Lên",INDEX('Thang 05-2026'!$A$3:$Q$102,MATCH(1,($A25='Thang 05-2026'!$A$3:$A$102)*($G25='Thang 05-2026'!$C$3:$C$102),0),11)=0),1,0))</f>
        <v>1</v>
      </c>
      <c r="E25" s="14">
        <f t="array" ref="E25">IF(AND(INDEX('Thang 05-2026'!$A$3:$Q$102,MATCH(1,($A25='Thang 05-2026'!$A$3:$A$102)*($G25='Thang 05-2026'!$C$3:$C$102),0),15)=1,$B25="Triều Xuống"),1,IF(AND(INDEX('Thang 05-2026'!$A$3:$Q$102,MATCH(1,($A25='Thang 05-2026'!$A$3:$A$102)*($G25='Thang 05-2026'!$C$3:$C$102),0),14)=1,$B25="Triều Lên",INDEX('Thang 05-2026'!$A$3:$Q$102,MATCH(1,($A25='Thang 05-2026'!$A$3:$A$102)*($G25='Thang 05-2026'!$C$3:$C$102),0),15)=0),1,0))</f>
        <v>0</v>
      </c>
      <c r="F25" s="14">
        <f t="shared" si="1"/>
        <v>1</v>
      </c>
      <c r="G25" s="14">
        <f>INDEX('Thang 05-2026'!$A$3:$C$102,MATCH(A25,'Thang 05-2026'!$A$3:$A$102,0),3)</f>
        <v>12</v>
      </c>
      <c r="H25" s="47" t="str">
        <f t="array" ref="H25">INDEX('TONG HOP DIA DIEM'!$A$2:$K$181,MATCH(1,($A25='TONG HOP DIA DIEM'!$A$2:$A$181)*($B25='TONG HOP DIA DIEM'!$B$2:$B$181),0),6)</f>
        <v>Hải Đức - HCM_NM_HĐ - Triều Xuống</v>
      </c>
      <c r="I25" s="47" t="str">
        <f t="array" ref="I25">INDEX('TONG HOP DIA DIEM'!$A$2:$K$181,MATCH(1,($A25='TONG HOP DIA DIEM'!$A$2:$A$181)*($B25='TONG HOP DIA DIEM'!$B$2:$B$181),0),7)</f>
        <v>Hải Đức - Triều Xuống</v>
      </c>
      <c r="J25" s="47">
        <f t="shared" si="2"/>
        <v>1</v>
      </c>
      <c r="K25" s="47">
        <f t="shared" si="3"/>
        <v>1</v>
      </c>
      <c r="L25" s="47">
        <f t="shared" si="4"/>
        <v>0</v>
      </c>
      <c r="M25" s="47">
        <f t="shared" si="5"/>
        <v>1</v>
      </c>
      <c r="N25" s="47">
        <f t="shared" si="6"/>
        <v>12</v>
      </c>
      <c r="O25" t="str">
        <f t="shared" si="7"/>
        <v>Hải Đức - Triều Xuống (QC - Mẫu lặp)</v>
      </c>
      <c r="P25" t="str">
        <f t="shared" si="8"/>
        <v/>
      </c>
      <c r="Q25" t="str">
        <f t="shared" si="9"/>
        <v/>
      </c>
    </row>
    <row r="26" spans="1:17" x14ac:dyDescent="0.2">
      <c r="A26" s="14" t="s">
        <v>49</v>
      </c>
      <c r="B26" s="14" t="s">
        <v>121</v>
      </c>
      <c r="C26" s="14">
        <v>1</v>
      </c>
      <c r="D26" s="14">
        <f t="array" ref="D26">IF(AND(INDEX('Thang 05-2026'!$A$3:$Q$102,MATCH(1,($A26='Thang 05-2026'!$A$3:$A$102)*($G26='Thang 05-2026'!$C$3:$C$102),0),11)=1,$B26="Triều Xuống"),1,IF(AND(INDEX('Thang 05-2026'!$A$3:$Q$102,MATCH(1,($A26='Thang 05-2026'!$A$3:$A$102)*($G26='Thang 05-2026'!$C$3:$C$102),0),10)=1,$B26="Triều Lên",INDEX('Thang 05-2026'!$A$3:$Q$102,MATCH(1,($A26='Thang 05-2026'!$A$3:$A$102)*($G26='Thang 05-2026'!$C$3:$C$102),0),11)=0),1,0))</f>
        <v>0</v>
      </c>
      <c r="E26" s="14">
        <f t="array" ref="E26">IF(AND(INDEX('Thang 05-2026'!$A$3:$Q$102,MATCH(1,($A26='Thang 05-2026'!$A$3:$A$102)*($G26='Thang 05-2026'!$C$3:$C$102),0),15)=1,$B26="Triều Xuống"),1,IF(AND(INDEX('Thang 05-2026'!$A$3:$Q$102,MATCH(1,($A26='Thang 05-2026'!$A$3:$A$102)*($G26='Thang 05-2026'!$C$3:$C$102),0),14)=1,$B26="Triều Lên",INDEX('Thang 05-2026'!$A$3:$Q$102,MATCH(1,($A26='Thang 05-2026'!$A$3:$A$102)*($G26='Thang 05-2026'!$C$3:$C$102),0),15)=0),1,0))</f>
        <v>0</v>
      </c>
      <c r="F26" s="14">
        <f t="shared" si="1"/>
        <v>0</v>
      </c>
      <c r="G26" s="14">
        <f>INDEX('Thang 05-2026'!$A$3:$C$102,MATCH(A26,'Thang 05-2026'!$A$3:$A$102,0),3)</f>
        <v>12</v>
      </c>
      <c r="H26" t="str">
        <f t="array" ref="H26">INDEX('TONG HOP DIA DIEM'!$A$2:$K$181,MATCH(1,($A26='TONG HOP DIA DIEM'!$A$2:$A$181)*($B26='TONG HOP DIA DIEM'!$B$2:$B$181),0),6)</f>
        <v>Điện Biên Phủ - HCM_NM_ĐBP - Triều Xuống</v>
      </c>
      <c r="I26" t="str">
        <f t="array" ref="I26">INDEX('TONG HOP DIA DIEM'!$A$2:$K$181,MATCH(1,($A26='TONG HOP DIA DIEM'!$A$2:$A$181)*($B26='TONG HOP DIA DIEM'!$B$2:$B$181),0),7)</f>
        <v>Điện Biên Phủ - Triều Xuống</v>
      </c>
      <c r="J26">
        <f t="shared" si="2"/>
        <v>1</v>
      </c>
      <c r="K26">
        <f t="shared" si="3"/>
        <v>0</v>
      </c>
      <c r="L26">
        <f t="shared" si="4"/>
        <v>0</v>
      </c>
      <c r="M26">
        <f t="shared" si="5"/>
        <v>0</v>
      </c>
      <c r="N26">
        <f t="shared" si="6"/>
        <v>12</v>
      </c>
      <c r="O26" t="str">
        <f t="shared" si="7"/>
        <v/>
      </c>
      <c r="P26" t="str">
        <f t="shared" si="8"/>
        <v/>
      </c>
      <c r="Q26" t="str">
        <f t="shared" si="9"/>
        <v/>
      </c>
    </row>
    <row r="27" spans="1:17" x14ac:dyDescent="0.2">
      <c r="A27" s="14" t="s">
        <v>50</v>
      </c>
      <c r="B27" s="14" t="s">
        <v>121</v>
      </c>
      <c r="C27" s="14">
        <v>1</v>
      </c>
      <c r="D27" s="14">
        <f t="array" ref="D27">IF(AND(INDEX('Thang 05-2026'!$A$3:$Q$102,MATCH(1,($A27='Thang 05-2026'!$A$3:$A$102)*($G27='Thang 05-2026'!$C$3:$C$102),0),11)=1,$B27="Triều Xuống"),1,IF(AND(INDEX('Thang 05-2026'!$A$3:$Q$102,MATCH(1,($A27='Thang 05-2026'!$A$3:$A$102)*($G27='Thang 05-2026'!$C$3:$C$102),0),10)=1,$B27="Triều Lên",INDEX('Thang 05-2026'!$A$3:$Q$102,MATCH(1,($A27='Thang 05-2026'!$A$3:$A$102)*($G27='Thang 05-2026'!$C$3:$C$102),0),11)=0),1,0))</f>
        <v>0</v>
      </c>
      <c r="E27" s="14">
        <f t="array" ref="E27">IF(AND(INDEX('Thang 05-2026'!$A$3:$Q$102,MATCH(1,($A27='Thang 05-2026'!$A$3:$A$102)*($G27='Thang 05-2026'!$C$3:$C$102),0),15)=1,$B27="Triều Xuống"),1,IF(AND(INDEX('Thang 05-2026'!$A$3:$Q$102,MATCH(1,($A27='Thang 05-2026'!$A$3:$A$102)*($G27='Thang 05-2026'!$C$3:$C$102),0),14)=1,$B27="Triều Lên",INDEX('Thang 05-2026'!$A$3:$Q$102,MATCH(1,($A27='Thang 05-2026'!$A$3:$A$102)*($G27='Thang 05-2026'!$C$3:$C$102),0),15)=0),1,0))</f>
        <v>0</v>
      </c>
      <c r="F27" s="14">
        <f t="shared" si="1"/>
        <v>0</v>
      </c>
      <c r="G27" s="14">
        <f>INDEX('Thang 05-2026'!$A$3:$C$102,MATCH(A27,'Thang 05-2026'!$A$3:$A$102,0),3)</f>
        <v>12</v>
      </c>
      <c r="H27" t="str">
        <f t="array" ref="H27">INDEX('TONG HOP DIA DIEM'!$A$2:$K$181,MATCH(1,($A27='TONG HOP DIA DIEM'!$A$2:$A$181)*($B27='TONG HOP DIA DIEM'!$B$2:$B$181),0),6)</f>
        <v>Bùi Hữu Nghĩa - HCM_NM_BHN - Triều Xuống</v>
      </c>
      <c r="I27" t="str">
        <f t="array" ref="I27">INDEX('TONG HOP DIA DIEM'!$A$2:$K$181,MATCH(1,($A27='TONG HOP DIA DIEM'!$A$2:$A$181)*($B27='TONG HOP DIA DIEM'!$B$2:$B$181),0),7)</f>
        <v>Bùi Hữu Nghĩa - Triều Xuống</v>
      </c>
      <c r="J27">
        <f t="shared" si="2"/>
        <v>1</v>
      </c>
      <c r="K27">
        <f t="shared" si="3"/>
        <v>0</v>
      </c>
      <c r="L27">
        <f t="shared" si="4"/>
        <v>0</v>
      </c>
      <c r="M27">
        <f t="shared" si="5"/>
        <v>0</v>
      </c>
      <c r="N27">
        <f t="shared" si="6"/>
        <v>12</v>
      </c>
      <c r="O27" t="str">
        <f t="shared" si="7"/>
        <v/>
      </c>
      <c r="P27" t="str">
        <f t="shared" si="8"/>
        <v/>
      </c>
      <c r="Q27" t="str">
        <f t="shared" si="9"/>
        <v/>
      </c>
    </row>
    <row r="28" spans="1:17" x14ac:dyDescent="0.2">
      <c r="A28" s="14" t="s">
        <v>51</v>
      </c>
      <c r="B28" s="14" t="s">
        <v>118</v>
      </c>
      <c r="C28" s="14">
        <v>1</v>
      </c>
      <c r="D28" s="14">
        <f t="array" ref="D28">IF(AND(INDEX('Thang 05-2026'!$A$3:$Q$102,MATCH(1,($A28='Thang 05-2026'!$A$3:$A$102)*($G28='Thang 05-2026'!$C$3:$C$102),0),11)=1,$B28="Triều Xuống"),1,IF(AND(INDEX('Thang 05-2026'!$A$3:$Q$102,MATCH(1,($A28='Thang 05-2026'!$A$3:$A$102)*($G28='Thang 05-2026'!$C$3:$C$102),0),10)=1,$B28="Triều Lên",INDEX('Thang 05-2026'!$A$3:$Q$102,MATCH(1,($A28='Thang 05-2026'!$A$3:$A$102)*($G28='Thang 05-2026'!$C$3:$C$102),0),11)=0),1,0))</f>
        <v>0</v>
      </c>
      <c r="E28" s="14">
        <f t="array" ref="E28">IF(AND(INDEX('Thang 05-2026'!$A$3:$Q$102,MATCH(1,($A28='Thang 05-2026'!$A$3:$A$102)*($G28='Thang 05-2026'!$C$3:$C$102),0),15)=1,$B28="Triều Xuống"),1,IF(AND(INDEX('Thang 05-2026'!$A$3:$Q$102,MATCH(1,($A28='Thang 05-2026'!$A$3:$A$102)*($G28='Thang 05-2026'!$C$3:$C$102),0),14)=1,$B28="Triều Lên",INDEX('Thang 05-2026'!$A$3:$Q$102,MATCH(1,($A28='Thang 05-2026'!$A$3:$A$102)*($G28='Thang 05-2026'!$C$3:$C$102),0),15)=0),1,0))</f>
        <v>0</v>
      </c>
      <c r="F28" s="14">
        <f t="shared" si="1"/>
        <v>0</v>
      </c>
      <c r="G28" s="14">
        <f>INDEX('Thang 05-2026'!$A$3:$C$102,MATCH(A28,'Thang 05-2026'!$A$3:$A$102,0),3)</f>
        <v>12</v>
      </c>
      <c r="H28" t="str">
        <f t="array" ref="H28">INDEX('TONG HOP DIA DIEM'!$A$2:$K$181,MATCH(1,($A28='TONG HOP DIA DIEM'!$A$2:$A$181)*($B28='TONG HOP DIA DIEM'!$B$2:$B$181),0),6)</f>
        <v>Cầu Đỏ - HCM_NM_CĐ - Triều Lên</v>
      </c>
      <c r="I28" t="str">
        <f t="array" ref="I28">INDEX('TONG HOP DIA DIEM'!$A$2:$K$181,MATCH(1,($A28='TONG HOP DIA DIEM'!$A$2:$A$181)*($B28='TONG HOP DIA DIEM'!$B$2:$B$181),0),7)</f>
        <v>Cầu Đỏ - Triều Lên</v>
      </c>
      <c r="J28">
        <f t="shared" si="2"/>
        <v>1</v>
      </c>
      <c r="K28">
        <f t="shared" si="3"/>
        <v>0</v>
      </c>
      <c r="L28">
        <f t="shared" si="4"/>
        <v>0</v>
      </c>
      <c r="M28">
        <f t="shared" si="5"/>
        <v>0</v>
      </c>
      <c r="N28">
        <f t="shared" si="6"/>
        <v>12</v>
      </c>
      <c r="O28" t="str">
        <f t="shared" si="7"/>
        <v/>
      </c>
      <c r="P28" t="str">
        <f t="shared" si="8"/>
        <v/>
      </c>
      <c r="Q28" t="str">
        <f t="shared" si="9"/>
        <v/>
      </c>
    </row>
    <row r="29" spans="1:17" x14ac:dyDescent="0.2">
      <c r="A29" s="14" t="s">
        <v>52</v>
      </c>
      <c r="B29" s="14" t="s">
        <v>118</v>
      </c>
      <c r="C29" s="14">
        <v>1</v>
      </c>
      <c r="D29" s="14">
        <f t="array" ref="D29">IF(AND(INDEX('Thang 05-2026'!$A$3:$Q$102,MATCH(1,($A29='Thang 05-2026'!$A$3:$A$102)*($G29='Thang 05-2026'!$C$3:$C$102),0),11)=1,$B29="Triều Xuống"),1,IF(AND(INDEX('Thang 05-2026'!$A$3:$Q$102,MATCH(1,($A29='Thang 05-2026'!$A$3:$A$102)*($G29='Thang 05-2026'!$C$3:$C$102),0),10)=1,$B29="Triều Lên",INDEX('Thang 05-2026'!$A$3:$Q$102,MATCH(1,($A29='Thang 05-2026'!$A$3:$A$102)*($G29='Thang 05-2026'!$C$3:$C$102),0),11)=0),1,0))</f>
        <v>0</v>
      </c>
      <c r="E29" s="14">
        <f t="array" ref="E29">IF(AND(INDEX('Thang 05-2026'!$A$3:$Q$102,MATCH(1,($A29='Thang 05-2026'!$A$3:$A$102)*($G29='Thang 05-2026'!$C$3:$C$102),0),15)=1,$B29="Triều Xuống"),1,IF(AND(INDEX('Thang 05-2026'!$A$3:$Q$102,MATCH(1,($A29='Thang 05-2026'!$A$3:$A$102)*($G29='Thang 05-2026'!$C$3:$C$102),0),14)=1,$B29="Triều Lên",INDEX('Thang 05-2026'!$A$3:$Q$102,MATCH(1,($A29='Thang 05-2026'!$A$3:$A$102)*($G29='Thang 05-2026'!$C$3:$C$102),0),15)=0),1,0))</f>
        <v>0</v>
      </c>
      <c r="F29" s="14">
        <f t="shared" si="1"/>
        <v>0</v>
      </c>
      <c r="G29" s="14">
        <f>INDEX('Thang 05-2026'!$A$3:$C$102,MATCH(A29,'Thang 05-2026'!$A$3:$A$102,0),3)</f>
        <v>12</v>
      </c>
      <c r="H29" t="str">
        <f t="array" ref="H29">INDEX('TONG HOP DIA DIEM'!$A$2:$K$181,MATCH(1,($A29='TONG HOP DIA DIEM'!$A$2:$A$181)*($B29='TONG HOP DIA DIEM'!$B$2:$B$181),0),6)</f>
        <v>Thị Nghè 2 - HCM_NM_TN2 - Triều Lên</v>
      </c>
      <c r="I29" t="str">
        <f t="array" ref="I29">INDEX('TONG HOP DIA DIEM'!$A$2:$K$181,MATCH(1,($A29='TONG HOP DIA DIEM'!$A$2:$A$181)*($B29='TONG HOP DIA DIEM'!$B$2:$B$181),0),7)</f>
        <v>Thị Nghè 2 - Triều Lên</v>
      </c>
      <c r="J29">
        <f t="shared" si="2"/>
        <v>1</v>
      </c>
      <c r="K29">
        <f t="shared" si="3"/>
        <v>0</v>
      </c>
      <c r="L29">
        <f t="shared" si="4"/>
        <v>0</v>
      </c>
      <c r="M29">
        <f t="shared" si="5"/>
        <v>0</v>
      </c>
      <c r="N29">
        <f t="shared" si="6"/>
        <v>12</v>
      </c>
      <c r="O29" t="str">
        <f t="shared" si="7"/>
        <v/>
      </c>
      <c r="P29" t="str">
        <f t="shared" si="8"/>
        <v/>
      </c>
      <c r="Q29" t="str">
        <f t="shared" si="9"/>
        <v/>
      </c>
    </row>
    <row r="30" spans="1:17" x14ac:dyDescent="0.2">
      <c r="A30" s="14" t="s">
        <v>53</v>
      </c>
      <c r="B30" s="14" t="s">
        <v>118</v>
      </c>
      <c r="C30" s="14">
        <v>1</v>
      </c>
      <c r="D30" s="14">
        <f t="array" ref="D30">IF(AND(INDEX('Thang 05-2026'!$A$3:$Q$102,MATCH(1,($A30='Thang 05-2026'!$A$3:$A$102)*($G30='Thang 05-2026'!$C$3:$C$102),0),11)=1,$B30="Triều Xuống"),1,IF(AND(INDEX('Thang 05-2026'!$A$3:$Q$102,MATCH(1,($A30='Thang 05-2026'!$A$3:$A$102)*($G30='Thang 05-2026'!$C$3:$C$102),0),10)=1,$B30="Triều Lên",INDEX('Thang 05-2026'!$A$3:$Q$102,MATCH(1,($A30='Thang 05-2026'!$A$3:$A$102)*($G30='Thang 05-2026'!$C$3:$C$102),0),11)=0),1,0))</f>
        <v>0</v>
      </c>
      <c r="E30" s="14">
        <f t="array" ref="E30">IF(AND(INDEX('Thang 05-2026'!$A$3:$Q$102,MATCH(1,($A30='Thang 05-2026'!$A$3:$A$102)*($G30='Thang 05-2026'!$C$3:$C$102),0),15)=1,$B30="Triều Xuống"),1,IF(AND(INDEX('Thang 05-2026'!$A$3:$Q$102,MATCH(1,($A30='Thang 05-2026'!$A$3:$A$102)*($G30='Thang 05-2026'!$C$3:$C$102),0),14)=1,$B30="Triều Lên",INDEX('Thang 05-2026'!$A$3:$Q$102,MATCH(1,($A30='Thang 05-2026'!$A$3:$A$102)*($G30='Thang 05-2026'!$C$3:$C$102),0),15)=0),1,0))</f>
        <v>0</v>
      </c>
      <c r="F30" s="14">
        <f t="shared" si="1"/>
        <v>0</v>
      </c>
      <c r="G30" s="14">
        <f>INDEX('Thang 05-2026'!$A$3:$C$102,MATCH(A30,'Thang 05-2026'!$A$3:$A$102,0),3)</f>
        <v>12</v>
      </c>
      <c r="H30" t="str">
        <f t="array" ref="H30">INDEX('TONG HOP DIA DIEM'!$A$2:$K$181,MATCH(1,($A30='TONG HOP DIA DIEM'!$A$2:$A$181)*($B30='TONG HOP DIA DIEM'!$B$2:$B$181),0),6)</f>
        <v>Bùi Đình Túy - HCM_NM_BĐT - Triều Lên</v>
      </c>
      <c r="I30" t="str">
        <f t="array" ref="I30">INDEX('TONG HOP DIA DIEM'!$A$2:$K$181,MATCH(1,($A30='TONG HOP DIA DIEM'!$A$2:$A$181)*($B30='TONG HOP DIA DIEM'!$B$2:$B$181),0),7)</f>
        <v>Bùi Đình Túy - Triều Lên</v>
      </c>
      <c r="J30">
        <f t="shared" si="2"/>
        <v>1</v>
      </c>
      <c r="K30">
        <f t="shared" si="3"/>
        <v>0</v>
      </c>
      <c r="L30">
        <f t="shared" si="4"/>
        <v>0</v>
      </c>
      <c r="M30">
        <f t="shared" si="5"/>
        <v>0</v>
      </c>
      <c r="N30">
        <f t="shared" si="6"/>
        <v>12</v>
      </c>
      <c r="O30" t="str">
        <f t="shared" si="7"/>
        <v/>
      </c>
      <c r="P30" t="str">
        <f t="shared" si="8"/>
        <v/>
      </c>
      <c r="Q30" t="str">
        <f t="shared" si="9"/>
        <v/>
      </c>
    </row>
    <row r="31" spans="1:17" x14ac:dyDescent="0.2">
      <c r="A31" s="14" t="s">
        <v>54</v>
      </c>
      <c r="B31" s="14" t="s">
        <v>118</v>
      </c>
      <c r="C31" s="14">
        <v>1</v>
      </c>
      <c r="D31" s="14">
        <f t="array" ref="D31">IF(AND(INDEX('Thang 05-2026'!$A$3:$Q$102,MATCH(1,($A31='Thang 05-2026'!$A$3:$A$102)*($G31='Thang 05-2026'!$C$3:$C$102),0),11)=1,$B31="Triều Xuống"),1,IF(AND(INDEX('Thang 05-2026'!$A$3:$Q$102,MATCH(1,($A31='Thang 05-2026'!$A$3:$A$102)*($G31='Thang 05-2026'!$C$3:$C$102),0),10)=1,$B31="Triều Lên",INDEX('Thang 05-2026'!$A$3:$Q$102,MATCH(1,($A31='Thang 05-2026'!$A$3:$A$102)*($G31='Thang 05-2026'!$C$3:$C$102),0),11)=0),1,0))</f>
        <v>0</v>
      </c>
      <c r="E31" s="14">
        <f t="array" ref="E31">IF(AND(INDEX('Thang 05-2026'!$A$3:$Q$102,MATCH(1,($A31='Thang 05-2026'!$A$3:$A$102)*($G31='Thang 05-2026'!$C$3:$C$102),0),15)=1,$B31="Triều Xuống"),1,IF(AND(INDEX('Thang 05-2026'!$A$3:$Q$102,MATCH(1,($A31='Thang 05-2026'!$A$3:$A$102)*($G31='Thang 05-2026'!$C$3:$C$102),0),14)=1,$B31="Triều Lên",INDEX('Thang 05-2026'!$A$3:$Q$102,MATCH(1,($A31='Thang 05-2026'!$A$3:$A$102)*($G31='Thang 05-2026'!$C$3:$C$102),0),15)=0),1,0))</f>
        <v>0</v>
      </c>
      <c r="F31" s="14">
        <f t="shared" si="1"/>
        <v>0</v>
      </c>
      <c r="G31" s="14">
        <f>INDEX('Thang 05-2026'!$A$3:$C$102,MATCH(A31,'Thang 05-2026'!$A$3:$A$102,0),3)</f>
        <v>12</v>
      </c>
      <c r="H31" t="str">
        <f t="array" ref="H31">INDEX('TONG HOP DIA DIEM'!$A$2:$K$181,MATCH(1,($A31='TONG HOP DIA DIEM'!$A$2:$A$181)*($B31='TONG HOP DIA DIEM'!$B$2:$B$181),0),6)</f>
        <v>Cầu Văn Thánh - HCM_NM_RVT - Triều Lên</v>
      </c>
      <c r="I31" t="str">
        <f t="array" ref="I31">INDEX('TONG HOP DIA DIEM'!$A$2:$K$181,MATCH(1,($A31='TONG HOP DIA DIEM'!$A$2:$A$181)*($B31='TONG HOP DIA DIEM'!$B$2:$B$181),0),7)</f>
        <v>Cầu Văn Thánh - Triều Lên</v>
      </c>
      <c r="J31">
        <f t="shared" si="2"/>
        <v>1</v>
      </c>
      <c r="K31">
        <f t="shared" si="3"/>
        <v>0</v>
      </c>
      <c r="L31">
        <f t="shared" si="4"/>
        <v>0</v>
      </c>
      <c r="M31">
        <f t="shared" si="5"/>
        <v>0</v>
      </c>
      <c r="N31">
        <f t="shared" si="6"/>
        <v>12</v>
      </c>
      <c r="O31" t="str">
        <f t="shared" si="7"/>
        <v/>
      </c>
      <c r="P31" t="str">
        <f t="shared" si="8"/>
        <v/>
      </c>
      <c r="Q31" t="str">
        <f t="shared" si="9"/>
        <v/>
      </c>
    </row>
    <row r="32" spans="1:17" x14ac:dyDescent="0.2">
      <c r="A32" s="14" t="s">
        <v>55</v>
      </c>
      <c r="B32" s="14" t="s">
        <v>118</v>
      </c>
      <c r="C32" s="14">
        <v>1</v>
      </c>
      <c r="D32" s="14">
        <f t="array" ref="D32">IF(AND(INDEX('Thang 05-2026'!$A$3:$Q$102,MATCH(1,($A32='Thang 05-2026'!$A$3:$A$102)*($G32='Thang 05-2026'!$C$3:$C$102),0),11)=1,$B32="Triều Xuống"),1,IF(AND(INDEX('Thang 05-2026'!$A$3:$Q$102,MATCH(1,($A32='Thang 05-2026'!$A$3:$A$102)*($G32='Thang 05-2026'!$C$3:$C$102),0),10)=1,$B32="Triều Lên",INDEX('Thang 05-2026'!$A$3:$Q$102,MATCH(1,($A32='Thang 05-2026'!$A$3:$A$102)*($G32='Thang 05-2026'!$C$3:$C$102),0),11)=0),1,0))</f>
        <v>0</v>
      </c>
      <c r="E32" s="14">
        <f t="array" ref="E32">IF(AND(INDEX('Thang 05-2026'!$A$3:$Q$102,MATCH(1,($A32='Thang 05-2026'!$A$3:$A$102)*($G32='Thang 05-2026'!$C$3:$C$102),0),15)=1,$B32="Triều Xuống"),1,IF(AND(INDEX('Thang 05-2026'!$A$3:$Q$102,MATCH(1,($A32='Thang 05-2026'!$A$3:$A$102)*($G32='Thang 05-2026'!$C$3:$C$102),0),14)=1,$B32="Triều Lên",INDEX('Thang 05-2026'!$A$3:$Q$102,MATCH(1,($A32='Thang 05-2026'!$A$3:$A$102)*($G32='Thang 05-2026'!$C$3:$C$102),0),15)=0),1,0))</f>
        <v>0</v>
      </c>
      <c r="F32" s="14">
        <f t="shared" si="1"/>
        <v>0</v>
      </c>
      <c r="G32" s="14">
        <f>INDEX('Thang 05-2026'!$A$3:$C$102,MATCH(A32,'Thang 05-2026'!$A$3:$A$102,0),3)</f>
        <v>12</v>
      </c>
      <c r="H32" t="str">
        <f t="array" ref="H32">INDEX('TONG HOP DIA DIEM'!$A$2:$K$181,MATCH(1,($A32='TONG HOP DIA DIEM'!$A$2:$A$181)*($B32='TONG HOP DIA DIEM'!$B$2:$B$181),0),6)</f>
        <v>Cầu Văn Thánh 2 - HCM_NM_RVT2 - Triều Lên</v>
      </c>
      <c r="I32" t="str">
        <f t="array" ref="I32">INDEX('TONG HOP DIA DIEM'!$A$2:$K$181,MATCH(1,($A32='TONG HOP DIA DIEM'!$A$2:$A$181)*($B32='TONG HOP DIA DIEM'!$B$2:$B$181),0),7)</f>
        <v>Cầu Văn Thánh 2 - Triều Lên</v>
      </c>
      <c r="J32">
        <f t="shared" si="2"/>
        <v>1</v>
      </c>
      <c r="K32">
        <f t="shared" si="3"/>
        <v>0</v>
      </c>
      <c r="L32">
        <f t="shared" si="4"/>
        <v>0</v>
      </c>
      <c r="M32">
        <f t="shared" si="5"/>
        <v>0</v>
      </c>
      <c r="N32">
        <f t="shared" si="6"/>
        <v>12</v>
      </c>
      <c r="O32" t="str">
        <f t="shared" si="7"/>
        <v/>
      </c>
      <c r="P32" t="str">
        <f t="shared" si="8"/>
        <v/>
      </c>
      <c r="Q32" t="str">
        <f t="shared" si="9"/>
        <v/>
      </c>
    </row>
    <row r="33" spans="1:17" x14ac:dyDescent="0.2">
      <c r="A33" s="14" t="s">
        <v>51</v>
      </c>
      <c r="B33" s="14" t="s">
        <v>121</v>
      </c>
      <c r="C33" s="14">
        <v>1</v>
      </c>
      <c r="D33" s="14">
        <f t="array" ref="D33">IF(AND(INDEX('Thang 05-2026'!$A$3:$Q$102,MATCH(1,($A33='Thang 05-2026'!$A$3:$A$102)*($G33='Thang 05-2026'!$C$3:$C$102),0),11)=1,$B33="Triều Xuống"),1,IF(AND(INDEX('Thang 05-2026'!$A$3:$Q$102,MATCH(1,($A33='Thang 05-2026'!$A$3:$A$102)*($G33='Thang 05-2026'!$C$3:$C$102),0),10)=1,$B33="Triều Lên",INDEX('Thang 05-2026'!$A$3:$Q$102,MATCH(1,($A33='Thang 05-2026'!$A$3:$A$102)*($G33='Thang 05-2026'!$C$3:$C$102),0),11)=0),1,0))</f>
        <v>1</v>
      </c>
      <c r="E33" s="14">
        <f t="array" ref="E33">IF(AND(INDEX('Thang 05-2026'!$A$3:$Q$102,MATCH(1,($A33='Thang 05-2026'!$A$3:$A$102)*($G33='Thang 05-2026'!$C$3:$C$102),0),15)=1,$B33="Triều Xuống"),1,IF(AND(INDEX('Thang 05-2026'!$A$3:$Q$102,MATCH(1,($A33='Thang 05-2026'!$A$3:$A$102)*($G33='Thang 05-2026'!$C$3:$C$102),0),14)=1,$B33="Triều Lên",INDEX('Thang 05-2026'!$A$3:$Q$102,MATCH(1,($A33='Thang 05-2026'!$A$3:$A$102)*($G33='Thang 05-2026'!$C$3:$C$102),0),15)=0),1,0))</f>
        <v>0</v>
      </c>
      <c r="F33" s="14">
        <f t="shared" si="1"/>
        <v>1</v>
      </c>
      <c r="G33" s="14">
        <f>INDEX('Thang 05-2026'!$A$3:$C$102,MATCH(A33,'Thang 05-2026'!$A$3:$A$102,0),3)</f>
        <v>12</v>
      </c>
      <c r="H33" t="str">
        <f t="array" ref="H33">INDEX('TONG HOP DIA DIEM'!$A$2:$K$181,MATCH(1,($A33='TONG HOP DIA DIEM'!$A$2:$A$181)*($B33='TONG HOP DIA DIEM'!$B$2:$B$181),0),6)</f>
        <v>Cầu Đỏ - HCM_NM_CĐ - Triều Xuống</v>
      </c>
      <c r="I33" t="str">
        <f t="array" ref="I33">INDEX('TONG HOP DIA DIEM'!$A$2:$K$181,MATCH(1,($A33='TONG HOP DIA DIEM'!$A$2:$A$181)*($B33='TONG HOP DIA DIEM'!$B$2:$B$181),0),7)</f>
        <v>Cầu Đỏ - Triều Xuống</v>
      </c>
      <c r="J33">
        <f t="shared" si="2"/>
        <v>1</v>
      </c>
      <c r="K33">
        <f t="shared" si="3"/>
        <v>1</v>
      </c>
      <c r="L33">
        <f t="shared" si="4"/>
        <v>0</v>
      </c>
      <c r="M33">
        <f t="shared" si="5"/>
        <v>1</v>
      </c>
      <c r="N33">
        <f t="shared" si="6"/>
        <v>12</v>
      </c>
      <c r="O33" t="str">
        <f t="shared" si="7"/>
        <v>Cầu Đỏ - Triều Xuống (QC - Mẫu lặp)</v>
      </c>
      <c r="P33" t="str">
        <f t="shared" si="8"/>
        <v/>
      </c>
      <c r="Q33" t="str">
        <f t="shared" si="9"/>
        <v/>
      </c>
    </row>
    <row r="34" spans="1:17" x14ac:dyDescent="0.2">
      <c r="A34" s="14" t="s">
        <v>52</v>
      </c>
      <c r="B34" s="14" t="s">
        <v>121</v>
      </c>
      <c r="C34" s="14">
        <v>1</v>
      </c>
      <c r="D34" s="14">
        <f t="array" ref="D34">IF(AND(INDEX('Thang 05-2026'!$A$3:$Q$102,MATCH(1,($A34='Thang 05-2026'!$A$3:$A$102)*($G34='Thang 05-2026'!$C$3:$C$102),0),11)=1,$B34="Triều Xuống"),1,IF(AND(INDEX('Thang 05-2026'!$A$3:$Q$102,MATCH(1,($A34='Thang 05-2026'!$A$3:$A$102)*($G34='Thang 05-2026'!$C$3:$C$102),0),10)=1,$B34="Triều Lên",INDEX('Thang 05-2026'!$A$3:$Q$102,MATCH(1,($A34='Thang 05-2026'!$A$3:$A$102)*($G34='Thang 05-2026'!$C$3:$C$102),0),11)=0),1,0))</f>
        <v>0</v>
      </c>
      <c r="E34" s="14">
        <f t="array" ref="E34">IF(AND(INDEX('Thang 05-2026'!$A$3:$Q$102,MATCH(1,($A34='Thang 05-2026'!$A$3:$A$102)*($G34='Thang 05-2026'!$C$3:$C$102),0),15)=1,$B34="Triều Xuống"),1,IF(AND(INDEX('Thang 05-2026'!$A$3:$Q$102,MATCH(1,($A34='Thang 05-2026'!$A$3:$A$102)*($G34='Thang 05-2026'!$C$3:$C$102),0),14)=1,$B34="Triều Lên",INDEX('Thang 05-2026'!$A$3:$Q$102,MATCH(1,($A34='Thang 05-2026'!$A$3:$A$102)*($G34='Thang 05-2026'!$C$3:$C$102),0),15)=0),1,0))</f>
        <v>0</v>
      </c>
      <c r="F34" s="14">
        <f t="shared" si="1"/>
        <v>0</v>
      </c>
      <c r="G34" s="14">
        <f>INDEX('Thang 05-2026'!$A$3:$C$102,MATCH(A34,'Thang 05-2026'!$A$3:$A$102,0),3)</f>
        <v>12</v>
      </c>
      <c r="H34" t="str">
        <f t="array" ref="H34">INDEX('TONG HOP DIA DIEM'!$A$2:$K$181,MATCH(1,($A34='TONG HOP DIA DIEM'!$A$2:$A$181)*($B34='TONG HOP DIA DIEM'!$B$2:$B$181),0),6)</f>
        <v>Thị Nghè 2 - HCM_NM_TN2 - Triều Xuống</v>
      </c>
      <c r="I34" t="str">
        <f t="array" ref="I34">INDEX('TONG HOP DIA DIEM'!$A$2:$K$181,MATCH(1,($A34='TONG HOP DIA DIEM'!$A$2:$A$181)*($B34='TONG HOP DIA DIEM'!$B$2:$B$181),0),7)</f>
        <v>Thị Nghè 2 - Triều Xuống</v>
      </c>
      <c r="J34">
        <f t="shared" si="2"/>
        <v>1</v>
      </c>
      <c r="K34">
        <f t="shared" si="3"/>
        <v>0</v>
      </c>
      <c r="L34">
        <f t="shared" si="4"/>
        <v>0</v>
      </c>
      <c r="M34">
        <f t="shared" si="5"/>
        <v>0</v>
      </c>
      <c r="N34">
        <f t="shared" si="6"/>
        <v>12</v>
      </c>
      <c r="O34" t="str">
        <f t="shared" si="7"/>
        <v/>
      </c>
      <c r="P34" t="str">
        <f t="shared" si="8"/>
        <v/>
      </c>
      <c r="Q34" t="str">
        <f t="shared" si="9"/>
        <v/>
      </c>
    </row>
    <row r="35" spans="1:17" x14ac:dyDescent="0.2">
      <c r="A35" s="14" t="s">
        <v>53</v>
      </c>
      <c r="B35" s="14" t="s">
        <v>121</v>
      </c>
      <c r="C35" s="14">
        <v>1</v>
      </c>
      <c r="D35" s="14">
        <f t="array" ref="D35">IF(AND(INDEX('Thang 05-2026'!$A$3:$Q$102,MATCH(1,($A35='Thang 05-2026'!$A$3:$A$102)*($G35='Thang 05-2026'!$C$3:$C$102),0),11)=1,$B35="Triều Xuống"),1,IF(AND(INDEX('Thang 05-2026'!$A$3:$Q$102,MATCH(1,($A35='Thang 05-2026'!$A$3:$A$102)*($G35='Thang 05-2026'!$C$3:$C$102),0),10)=1,$B35="Triều Lên",INDEX('Thang 05-2026'!$A$3:$Q$102,MATCH(1,($A35='Thang 05-2026'!$A$3:$A$102)*($G35='Thang 05-2026'!$C$3:$C$102),0),11)=0),1,0))</f>
        <v>0</v>
      </c>
      <c r="E35" s="14">
        <f t="array" ref="E35">IF(AND(INDEX('Thang 05-2026'!$A$3:$Q$102,MATCH(1,($A35='Thang 05-2026'!$A$3:$A$102)*($G35='Thang 05-2026'!$C$3:$C$102),0),15)=1,$B35="Triều Xuống"),1,IF(AND(INDEX('Thang 05-2026'!$A$3:$Q$102,MATCH(1,($A35='Thang 05-2026'!$A$3:$A$102)*($G35='Thang 05-2026'!$C$3:$C$102),0),14)=1,$B35="Triều Lên",INDEX('Thang 05-2026'!$A$3:$Q$102,MATCH(1,($A35='Thang 05-2026'!$A$3:$A$102)*($G35='Thang 05-2026'!$C$3:$C$102),0),15)=0),1,0))</f>
        <v>0</v>
      </c>
      <c r="F35" s="14">
        <f t="shared" si="1"/>
        <v>0</v>
      </c>
      <c r="G35" s="14">
        <f>INDEX('Thang 05-2026'!$A$3:$C$102,MATCH(A35,'Thang 05-2026'!$A$3:$A$102,0),3)</f>
        <v>12</v>
      </c>
      <c r="H35" t="str">
        <f t="array" ref="H35">INDEX('TONG HOP DIA DIEM'!$A$2:$K$181,MATCH(1,($A35='TONG HOP DIA DIEM'!$A$2:$A$181)*($B35='TONG HOP DIA DIEM'!$B$2:$B$181),0),6)</f>
        <v>Bùi Đình Túy - HCM_NM_BĐT - Triều Xuống</v>
      </c>
      <c r="I35" t="str">
        <f t="array" ref="I35">INDEX('TONG HOP DIA DIEM'!$A$2:$K$181,MATCH(1,($A35='TONG HOP DIA DIEM'!$A$2:$A$181)*($B35='TONG HOP DIA DIEM'!$B$2:$B$181),0),7)</f>
        <v>Bùi Đình Túy - Triều Xuống</v>
      </c>
      <c r="J35">
        <f t="shared" si="2"/>
        <v>1</v>
      </c>
      <c r="K35">
        <f t="shared" si="3"/>
        <v>0</v>
      </c>
      <c r="L35">
        <f t="shared" si="4"/>
        <v>0</v>
      </c>
      <c r="M35">
        <f t="shared" si="5"/>
        <v>0</v>
      </c>
      <c r="N35">
        <f t="shared" si="6"/>
        <v>12</v>
      </c>
      <c r="O35" t="str">
        <f t="shared" si="7"/>
        <v/>
      </c>
      <c r="P35" t="str">
        <f t="shared" si="8"/>
        <v/>
      </c>
      <c r="Q35" t="str">
        <f t="shared" si="9"/>
        <v/>
      </c>
    </row>
    <row r="36" spans="1:17" x14ac:dyDescent="0.2">
      <c r="A36" s="14" t="s">
        <v>54</v>
      </c>
      <c r="B36" s="14" t="s">
        <v>121</v>
      </c>
      <c r="C36" s="14">
        <v>1</v>
      </c>
      <c r="D36" s="14">
        <f t="array" ref="D36">IF(AND(INDEX('Thang 05-2026'!$A$3:$Q$102,MATCH(1,($A36='Thang 05-2026'!$A$3:$A$102)*($G36='Thang 05-2026'!$C$3:$C$102),0),11)=1,$B36="Triều Xuống"),1,IF(AND(INDEX('Thang 05-2026'!$A$3:$Q$102,MATCH(1,($A36='Thang 05-2026'!$A$3:$A$102)*($G36='Thang 05-2026'!$C$3:$C$102),0),10)=1,$B36="Triều Lên",INDEX('Thang 05-2026'!$A$3:$Q$102,MATCH(1,($A36='Thang 05-2026'!$A$3:$A$102)*($G36='Thang 05-2026'!$C$3:$C$102),0),11)=0),1,0))</f>
        <v>0</v>
      </c>
      <c r="E36" s="14">
        <f t="array" ref="E36">IF(AND(INDEX('Thang 05-2026'!$A$3:$Q$102,MATCH(1,($A36='Thang 05-2026'!$A$3:$A$102)*($G36='Thang 05-2026'!$C$3:$C$102),0),15)=1,$B36="Triều Xuống"),1,IF(AND(INDEX('Thang 05-2026'!$A$3:$Q$102,MATCH(1,($A36='Thang 05-2026'!$A$3:$A$102)*($G36='Thang 05-2026'!$C$3:$C$102),0),14)=1,$B36="Triều Lên",INDEX('Thang 05-2026'!$A$3:$Q$102,MATCH(1,($A36='Thang 05-2026'!$A$3:$A$102)*($G36='Thang 05-2026'!$C$3:$C$102),0),15)=0),1,0))</f>
        <v>0</v>
      </c>
      <c r="F36" s="14">
        <f t="shared" si="1"/>
        <v>0</v>
      </c>
      <c r="G36" s="14">
        <f>INDEX('Thang 05-2026'!$A$3:$C$102,MATCH(A36,'Thang 05-2026'!$A$3:$A$102,0),3)</f>
        <v>12</v>
      </c>
      <c r="H36" t="str">
        <f t="array" ref="H36">INDEX('TONG HOP DIA DIEM'!$A$2:$K$181,MATCH(1,($A36='TONG HOP DIA DIEM'!$A$2:$A$181)*($B36='TONG HOP DIA DIEM'!$B$2:$B$181),0),6)</f>
        <v>Cầu Văn Thánh - HCM_NM_RVT - Triều Xuống</v>
      </c>
      <c r="I36" t="str">
        <f t="array" ref="I36">INDEX('TONG HOP DIA DIEM'!$A$2:$K$181,MATCH(1,($A36='TONG HOP DIA DIEM'!$A$2:$A$181)*($B36='TONG HOP DIA DIEM'!$B$2:$B$181),0),7)</f>
        <v>Cầu Văn Thánh - Triều Xuống</v>
      </c>
      <c r="J36">
        <f t="shared" si="2"/>
        <v>1</v>
      </c>
      <c r="K36">
        <f t="shared" si="3"/>
        <v>0</v>
      </c>
      <c r="L36">
        <f t="shared" si="4"/>
        <v>0</v>
      </c>
      <c r="M36">
        <f t="shared" si="5"/>
        <v>0</v>
      </c>
      <c r="N36">
        <f t="shared" si="6"/>
        <v>12</v>
      </c>
      <c r="O36" t="str">
        <f t="shared" si="7"/>
        <v/>
      </c>
      <c r="P36" t="str">
        <f t="shared" si="8"/>
        <v/>
      </c>
      <c r="Q36" t="str">
        <f t="shared" si="9"/>
        <v/>
      </c>
    </row>
    <row r="37" spans="1:17" x14ac:dyDescent="0.2">
      <c r="A37" s="14" t="s">
        <v>55</v>
      </c>
      <c r="B37" s="14" t="s">
        <v>121</v>
      </c>
      <c r="C37" s="14">
        <v>1</v>
      </c>
      <c r="D37" s="14">
        <f t="array" ref="D37">IF(AND(INDEX('Thang 05-2026'!$A$3:$Q$102,MATCH(1,($A37='Thang 05-2026'!$A$3:$A$102)*($G37='Thang 05-2026'!$C$3:$C$102),0),11)=1,$B37="Triều Xuống"),1,IF(AND(INDEX('Thang 05-2026'!$A$3:$Q$102,MATCH(1,($A37='Thang 05-2026'!$A$3:$A$102)*($G37='Thang 05-2026'!$C$3:$C$102),0),10)=1,$B37="Triều Lên",INDEX('Thang 05-2026'!$A$3:$Q$102,MATCH(1,($A37='Thang 05-2026'!$A$3:$A$102)*($G37='Thang 05-2026'!$C$3:$C$102),0),11)=0),1,0))</f>
        <v>0</v>
      </c>
      <c r="E37" s="14">
        <f t="array" ref="E37">IF(AND(INDEX('Thang 05-2026'!$A$3:$Q$102,MATCH(1,($A37='Thang 05-2026'!$A$3:$A$102)*($G37='Thang 05-2026'!$C$3:$C$102),0),15)=1,$B37="Triều Xuống"),1,IF(AND(INDEX('Thang 05-2026'!$A$3:$Q$102,MATCH(1,($A37='Thang 05-2026'!$A$3:$A$102)*($G37='Thang 05-2026'!$C$3:$C$102),0),14)=1,$B37="Triều Lên",INDEX('Thang 05-2026'!$A$3:$Q$102,MATCH(1,($A37='Thang 05-2026'!$A$3:$A$102)*($G37='Thang 05-2026'!$C$3:$C$102),0),15)=0),1,0))</f>
        <v>0</v>
      </c>
      <c r="F37" s="14">
        <f t="shared" si="1"/>
        <v>0</v>
      </c>
      <c r="G37" s="14">
        <f>INDEX('Thang 05-2026'!$A$3:$C$102,MATCH(A37,'Thang 05-2026'!$A$3:$A$102,0),3)</f>
        <v>12</v>
      </c>
      <c r="H37" t="str">
        <f t="array" ref="H37">INDEX('TONG HOP DIA DIEM'!$A$2:$K$181,MATCH(1,($A37='TONG HOP DIA DIEM'!$A$2:$A$181)*($B37='TONG HOP DIA DIEM'!$B$2:$B$181),0),6)</f>
        <v>Cầu Văn Thánh 2 - HCM_NM_RVT2 - Triều Xuống</v>
      </c>
      <c r="I37" t="str">
        <f t="array" ref="I37">INDEX('TONG HOP DIA DIEM'!$A$2:$K$181,MATCH(1,($A37='TONG HOP DIA DIEM'!$A$2:$A$181)*($B37='TONG HOP DIA DIEM'!$B$2:$B$181),0),7)</f>
        <v>Cầu Văn Thánh 2 - Triều Xuống</v>
      </c>
      <c r="J37">
        <f t="shared" si="2"/>
        <v>1</v>
      </c>
      <c r="K37">
        <f t="shared" si="3"/>
        <v>0</v>
      </c>
      <c r="L37">
        <f t="shared" si="4"/>
        <v>0</v>
      </c>
      <c r="M37">
        <f t="shared" si="5"/>
        <v>0</v>
      </c>
      <c r="N37">
        <f t="shared" si="6"/>
        <v>12</v>
      </c>
      <c r="O37" t="str">
        <f t="shared" si="7"/>
        <v/>
      </c>
      <c r="P37" t="str">
        <f t="shared" si="8"/>
        <v/>
      </c>
      <c r="Q37" t="str">
        <f t="shared" si="9"/>
        <v/>
      </c>
    </row>
    <row r="38" spans="1:17" x14ac:dyDescent="0.2">
      <c r="A38" s="14" t="s">
        <v>56</v>
      </c>
      <c r="B38" s="14" t="s">
        <v>118</v>
      </c>
      <c r="C38" s="14">
        <v>1</v>
      </c>
      <c r="D38" s="14">
        <f t="array" ref="D38">IF(AND(INDEX('Thang 05-2026'!$A$3:$Q$102,MATCH(1,($A38='Thang 05-2026'!$A$3:$A$102)*($G38='Thang 05-2026'!$C$3:$C$102),0),11)=1,$B38="Triều Xuống"),1,IF(AND(INDEX('Thang 05-2026'!$A$3:$Q$102,MATCH(1,($A38='Thang 05-2026'!$A$3:$A$102)*($G38='Thang 05-2026'!$C$3:$C$102),0),10)=1,$B38="Triều Lên",INDEX('Thang 05-2026'!$A$3:$Q$102,MATCH(1,($A38='Thang 05-2026'!$A$3:$A$102)*($G38='Thang 05-2026'!$C$3:$C$102),0),11)=0),1,0))</f>
        <v>0</v>
      </c>
      <c r="E38" s="14">
        <f t="array" ref="E38">IF(AND(INDEX('Thang 05-2026'!$A$3:$Q$102,MATCH(1,($A38='Thang 05-2026'!$A$3:$A$102)*($G38='Thang 05-2026'!$C$3:$C$102),0),15)=1,$B38="Triều Xuống"),1,IF(AND(INDEX('Thang 05-2026'!$A$3:$Q$102,MATCH(1,($A38='Thang 05-2026'!$A$3:$A$102)*($G38='Thang 05-2026'!$C$3:$C$102),0),14)=1,$B38="Triều Lên",INDEX('Thang 05-2026'!$A$3:$Q$102,MATCH(1,($A38='Thang 05-2026'!$A$3:$A$102)*($G38='Thang 05-2026'!$C$3:$C$102),0),15)=0),1,0))</f>
        <v>0</v>
      </c>
      <c r="F38" s="14">
        <f t="shared" si="1"/>
        <v>0</v>
      </c>
      <c r="G38" s="14">
        <f>INDEX('Thang 05-2026'!$A$3:$C$102,MATCH(A38,'Thang 05-2026'!$A$3:$A$102,0),3)</f>
        <v>13</v>
      </c>
      <c r="H38" t="str">
        <f t="array" ref="H38">INDEX('TONG HOP DIA DIEM'!$A$2:$K$181,MATCH(1,($A38='TONG HOP DIA DIEM'!$A$2:$A$181)*($B38='TONG HOP DIA DIEM'!$B$2:$B$181),0),6)</f>
        <v>Cầu TL9 - HCM_NM_CTL9 - Triều Lên</v>
      </c>
      <c r="I38" t="str">
        <f t="array" ref="I38">INDEX('TONG HOP DIA DIEM'!$A$2:$K$181,MATCH(1,($A38='TONG HOP DIA DIEM'!$A$2:$A$181)*($B38='TONG HOP DIA DIEM'!$B$2:$B$181),0),7)</f>
        <v>Cầu TL9 - Triều Lên</v>
      </c>
      <c r="J38">
        <f t="shared" si="2"/>
        <v>1</v>
      </c>
      <c r="K38">
        <f t="shared" si="3"/>
        <v>0</v>
      </c>
      <c r="L38">
        <f t="shared" si="4"/>
        <v>0</v>
      </c>
      <c r="M38">
        <f t="shared" si="5"/>
        <v>0</v>
      </c>
      <c r="N38">
        <f t="shared" si="6"/>
        <v>13</v>
      </c>
      <c r="O38" t="str">
        <f t="shared" si="7"/>
        <v/>
      </c>
      <c r="P38" t="str">
        <f t="shared" si="8"/>
        <v/>
      </c>
      <c r="Q38" t="str">
        <f t="shared" si="9"/>
        <v/>
      </c>
    </row>
    <row r="39" spans="1:17" x14ac:dyDescent="0.2">
      <c r="A39" s="14" t="s">
        <v>58</v>
      </c>
      <c r="B39" s="14" t="s">
        <v>118</v>
      </c>
      <c r="C39" s="14">
        <v>1</v>
      </c>
      <c r="D39" s="14">
        <f t="array" ref="D39">IF(AND(INDEX('Thang 05-2026'!$A$3:$Q$102,MATCH(1,($A39='Thang 05-2026'!$A$3:$A$102)*($G39='Thang 05-2026'!$C$3:$C$102),0),11)=1,$B39="Triều Xuống"),1,IF(AND(INDEX('Thang 05-2026'!$A$3:$Q$102,MATCH(1,($A39='Thang 05-2026'!$A$3:$A$102)*($G39='Thang 05-2026'!$C$3:$C$102),0),10)=1,$B39="Triều Lên",INDEX('Thang 05-2026'!$A$3:$Q$102,MATCH(1,($A39='Thang 05-2026'!$A$3:$A$102)*($G39='Thang 05-2026'!$C$3:$C$102),0),11)=0),1,0))</f>
        <v>0</v>
      </c>
      <c r="E39" s="14">
        <f t="array" ref="E39">IF(AND(INDEX('Thang 05-2026'!$A$3:$Q$102,MATCH(1,($A39='Thang 05-2026'!$A$3:$A$102)*($G39='Thang 05-2026'!$C$3:$C$102),0),15)=1,$B39="Triều Xuống"),1,IF(AND(INDEX('Thang 05-2026'!$A$3:$Q$102,MATCH(1,($A39='Thang 05-2026'!$A$3:$A$102)*($G39='Thang 05-2026'!$C$3:$C$102),0),14)=1,$B39="Triều Lên",INDEX('Thang 05-2026'!$A$3:$Q$102,MATCH(1,($A39='Thang 05-2026'!$A$3:$A$102)*($G39='Thang 05-2026'!$C$3:$C$102),0),15)=0),1,0))</f>
        <v>0</v>
      </c>
      <c r="F39" s="14">
        <f t="shared" si="1"/>
        <v>0</v>
      </c>
      <c r="G39" s="14">
        <f>INDEX('Thang 05-2026'!$A$3:$C$102,MATCH(A39,'Thang 05-2026'!$A$3:$A$102,0),3)</f>
        <v>13</v>
      </c>
      <c r="H39" t="str">
        <f t="array" ref="H39">INDEX('TONG HOP DIA DIEM'!$A$2:$K$181,MATCH(1,($A39='TONG HOP DIA DIEM'!$A$2:$A$181)*($B39='TONG HOP DIA DIEM'!$B$2:$B$181),0),6)</f>
        <v>Xuân Thới Sơn - HCM_NM_XTS - Triều Lên</v>
      </c>
      <c r="I39" t="str">
        <f t="array" ref="I39">INDEX('TONG HOP DIA DIEM'!$A$2:$K$181,MATCH(1,($A39='TONG HOP DIA DIEM'!$A$2:$A$181)*($B39='TONG HOP DIA DIEM'!$B$2:$B$181),0),7)</f>
        <v>Xuân Thới Sơn - Triều Lên</v>
      </c>
      <c r="J39">
        <f t="shared" si="2"/>
        <v>1</v>
      </c>
      <c r="K39">
        <f t="shared" si="3"/>
        <v>0</v>
      </c>
      <c r="L39">
        <f t="shared" si="4"/>
        <v>0</v>
      </c>
      <c r="M39">
        <f t="shared" si="5"/>
        <v>0</v>
      </c>
      <c r="N39">
        <f t="shared" si="6"/>
        <v>13</v>
      </c>
      <c r="O39" t="str">
        <f t="shared" si="7"/>
        <v/>
      </c>
      <c r="P39" t="str">
        <f t="shared" si="8"/>
        <v/>
      </c>
      <c r="Q39" t="str">
        <f t="shared" si="9"/>
        <v/>
      </c>
    </row>
    <row r="40" spans="1:17" x14ac:dyDescent="0.2">
      <c r="A40" s="14" t="s">
        <v>59</v>
      </c>
      <c r="B40" s="14" t="s">
        <v>118</v>
      </c>
      <c r="C40" s="14">
        <v>1</v>
      </c>
      <c r="D40" s="14">
        <f t="array" ref="D40">IF(AND(INDEX('Thang 05-2026'!$A$3:$Q$102,MATCH(1,($A40='Thang 05-2026'!$A$3:$A$102)*($G40='Thang 05-2026'!$C$3:$C$102),0),11)=1,$B40="Triều Xuống"),1,IF(AND(INDEX('Thang 05-2026'!$A$3:$Q$102,MATCH(1,($A40='Thang 05-2026'!$A$3:$A$102)*($G40='Thang 05-2026'!$C$3:$C$102),0),10)=1,$B40="Triều Lên",INDEX('Thang 05-2026'!$A$3:$Q$102,MATCH(1,($A40='Thang 05-2026'!$A$3:$A$102)*($G40='Thang 05-2026'!$C$3:$C$102),0),11)=0),1,0))</f>
        <v>0</v>
      </c>
      <c r="E40" s="14">
        <f t="array" ref="E40">IF(AND(INDEX('Thang 05-2026'!$A$3:$Q$102,MATCH(1,($A40='Thang 05-2026'!$A$3:$A$102)*($G40='Thang 05-2026'!$C$3:$C$102),0),15)=1,$B40="Triều Xuống"),1,IF(AND(INDEX('Thang 05-2026'!$A$3:$Q$102,MATCH(1,($A40='Thang 05-2026'!$A$3:$A$102)*($G40='Thang 05-2026'!$C$3:$C$102),0),14)=1,$B40="Triều Lên",INDEX('Thang 05-2026'!$A$3:$Q$102,MATCH(1,($A40='Thang 05-2026'!$A$3:$A$102)*($G40='Thang 05-2026'!$C$3:$C$102),0),15)=0),1,0))</f>
        <v>0</v>
      </c>
      <c r="F40" s="14">
        <f t="shared" si="1"/>
        <v>0</v>
      </c>
      <c r="G40" s="14">
        <f>INDEX('Thang 05-2026'!$A$3:$C$102,MATCH(A40,'Thang 05-2026'!$A$3:$A$102,0),3)</f>
        <v>13</v>
      </c>
      <c r="H40" t="str">
        <f t="array" ref="H40">INDEX('TONG HOP DIA DIEM'!$A$2:$K$181,MATCH(1,($A40='TONG HOP DIA DIEM'!$A$2:$A$181)*($B40='TONG HOP DIA DIEM'!$B$2:$B$181),0),6)</f>
        <v>Cầu Lớn - HCM_NM_CLo - Triều Lên</v>
      </c>
      <c r="I40" t="str">
        <f t="array" ref="I40">INDEX('TONG HOP DIA DIEM'!$A$2:$K$181,MATCH(1,($A40='TONG HOP DIA DIEM'!$A$2:$A$181)*($B40='TONG HOP DIA DIEM'!$B$2:$B$181),0),7)</f>
        <v>Cầu Lớn - Triều Lên</v>
      </c>
      <c r="J40">
        <f t="shared" si="2"/>
        <v>1</v>
      </c>
      <c r="K40">
        <f t="shared" si="3"/>
        <v>0</v>
      </c>
      <c r="L40">
        <f t="shared" si="4"/>
        <v>0</v>
      </c>
      <c r="M40">
        <f t="shared" si="5"/>
        <v>0</v>
      </c>
      <c r="N40">
        <f t="shared" si="6"/>
        <v>13</v>
      </c>
      <c r="O40" t="str">
        <f t="shared" si="7"/>
        <v/>
      </c>
      <c r="P40" t="str">
        <f t="shared" si="8"/>
        <v/>
      </c>
      <c r="Q40" t="str">
        <f t="shared" si="9"/>
        <v/>
      </c>
    </row>
    <row r="41" spans="1:17" x14ac:dyDescent="0.2">
      <c r="A41" s="14" t="s">
        <v>60</v>
      </c>
      <c r="B41" s="14" t="s">
        <v>118</v>
      </c>
      <c r="C41" s="14">
        <v>1</v>
      </c>
      <c r="D41" s="14">
        <f t="array" ref="D41">IF(AND(INDEX('Thang 05-2026'!$A$3:$Q$102,MATCH(1,($A41='Thang 05-2026'!$A$3:$A$102)*($G41='Thang 05-2026'!$C$3:$C$102),0),11)=1,$B41="Triều Xuống"),1,IF(AND(INDEX('Thang 05-2026'!$A$3:$Q$102,MATCH(1,($A41='Thang 05-2026'!$A$3:$A$102)*($G41='Thang 05-2026'!$C$3:$C$102),0),10)=1,$B41="Triều Lên",INDEX('Thang 05-2026'!$A$3:$Q$102,MATCH(1,($A41='Thang 05-2026'!$A$3:$A$102)*($G41='Thang 05-2026'!$C$3:$C$102),0),11)=0),1,0))</f>
        <v>0</v>
      </c>
      <c r="E41" s="14">
        <f t="array" ref="E41">IF(AND(INDEX('Thang 05-2026'!$A$3:$Q$102,MATCH(1,($A41='Thang 05-2026'!$A$3:$A$102)*($G41='Thang 05-2026'!$C$3:$C$102),0),15)=1,$B41="Triều Xuống"),1,IF(AND(INDEX('Thang 05-2026'!$A$3:$Q$102,MATCH(1,($A41='Thang 05-2026'!$A$3:$A$102)*($G41='Thang 05-2026'!$C$3:$C$102),0),14)=1,$B41="Triều Lên",INDEX('Thang 05-2026'!$A$3:$Q$102,MATCH(1,($A41='Thang 05-2026'!$A$3:$A$102)*($G41='Thang 05-2026'!$C$3:$C$102),0),15)=0),1,0))</f>
        <v>0</v>
      </c>
      <c r="F41" s="14">
        <f t="shared" si="1"/>
        <v>0</v>
      </c>
      <c r="G41" s="14">
        <f>INDEX('Thang 05-2026'!$A$3:$C$102,MATCH(A41,'Thang 05-2026'!$A$3:$A$102,0),3)</f>
        <v>13</v>
      </c>
      <c r="H41" t="str">
        <f t="array" ref="H41">INDEX('TONG HOP DIA DIEM'!$A$2:$K$181,MATCH(1,($A41='TONG HOP DIA DIEM'!$A$2:$A$181)*($B41='TONG HOP DIA DIEM'!$B$2:$B$181),0),6)</f>
        <v>An Hạ - HCM_NM_AH - Triều Lên</v>
      </c>
      <c r="I41" t="str">
        <f t="array" ref="I41">INDEX('TONG HOP DIA DIEM'!$A$2:$K$181,MATCH(1,($A41='TONG HOP DIA DIEM'!$A$2:$A$181)*($B41='TONG HOP DIA DIEM'!$B$2:$B$181),0),7)</f>
        <v>An Hạ - Triều Lên</v>
      </c>
      <c r="J41">
        <f t="shared" si="2"/>
        <v>1</v>
      </c>
      <c r="K41">
        <f t="shared" si="3"/>
        <v>0</v>
      </c>
      <c r="L41">
        <f t="shared" si="4"/>
        <v>0</v>
      </c>
      <c r="M41">
        <f t="shared" si="5"/>
        <v>0</v>
      </c>
      <c r="N41">
        <f t="shared" si="6"/>
        <v>13</v>
      </c>
      <c r="O41" t="str">
        <f t="shared" si="7"/>
        <v/>
      </c>
      <c r="P41" t="str">
        <f t="shared" si="8"/>
        <v/>
      </c>
      <c r="Q41" t="str">
        <f t="shared" si="9"/>
        <v/>
      </c>
    </row>
    <row r="42" spans="1:17" x14ac:dyDescent="0.2">
      <c r="A42" s="14" t="s">
        <v>61</v>
      </c>
      <c r="B42" s="14" t="s">
        <v>118</v>
      </c>
      <c r="C42" s="14">
        <v>1</v>
      </c>
      <c r="D42" s="14">
        <f t="array" ref="D42">IF(AND(INDEX('Thang 05-2026'!$A$3:$Q$102,MATCH(1,($A42='Thang 05-2026'!$A$3:$A$102)*($G42='Thang 05-2026'!$C$3:$C$102),0),11)=1,$B42="Triều Xuống"),1,IF(AND(INDEX('Thang 05-2026'!$A$3:$Q$102,MATCH(1,($A42='Thang 05-2026'!$A$3:$A$102)*($G42='Thang 05-2026'!$C$3:$C$102),0),10)=1,$B42="Triều Lên",INDEX('Thang 05-2026'!$A$3:$Q$102,MATCH(1,($A42='Thang 05-2026'!$A$3:$A$102)*($G42='Thang 05-2026'!$C$3:$C$102),0),11)=0),1,0))</f>
        <v>0</v>
      </c>
      <c r="E42" s="14">
        <f t="array" ref="E42">IF(AND(INDEX('Thang 05-2026'!$A$3:$Q$102,MATCH(1,($A42='Thang 05-2026'!$A$3:$A$102)*($G42='Thang 05-2026'!$C$3:$C$102),0),15)=1,$B42="Triều Xuống"),1,IF(AND(INDEX('Thang 05-2026'!$A$3:$Q$102,MATCH(1,($A42='Thang 05-2026'!$A$3:$A$102)*($G42='Thang 05-2026'!$C$3:$C$102),0),14)=1,$B42="Triều Lên",INDEX('Thang 05-2026'!$A$3:$Q$102,MATCH(1,($A42='Thang 05-2026'!$A$3:$A$102)*($G42='Thang 05-2026'!$C$3:$C$102),0),15)=0),1,0))</f>
        <v>0</v>
      </c>
      <c r="F42" s="14">
        <f t="shared" si="1"/>
        <v>0</v>
      </c>
      <c r="G42" s="14">
        <f>INDEX('Thang 05-2026'!$A$3:$C$102,MATCH(A42,'Thang 05-2026'!$A$3:$A$102,0),3)</f>
        <v>13</v>
      </c>
      <c r="H42" t="str">
        <f t="array" ref="H42">INDEX('TONG HOP DIA DIEM'!$A$2:$K$181,MATCH(1,($A42='TONG HOP DIA DIEM'!$A$2:$A$181)*($B42='TONG HOP DIA DIEM'!$B$2:$B$181),0),6)</f>
        <v>Rau Răm - HCM_NM_RR - Triều Lên</v>
      </c>
      <c r="I42" t="str">
        <f t="array" ref="I42">INDEX('TONG HOP DIA DIEM'!$A$2:$K$181,MATCH(1,($A42='TONG HOP DIA DIEM'!$A$2:$A$181)*($B42='TONG HOP DIA DIEM'!$B$2:$B$181),0),7)</f>
        <v>Rau Răm - Triều Lên</v>
      </c>
      <c r="J42">
        <f t="shared" si="2"/>
        <v>1</v>
      </c>
      <c r="K42">
        <f t="shared" si="3"/>
        <v>0</v>
      </c>
      <c r="L42">
        <f t="shared" si="4"/>
        <v>0</v>
      </c>
      <c r="M42">
        <f t="shared" si="5"/>
        <v>0</v>
      </c>
      <c r="N42">
        <f t="shared" si="6"/>
        <v>13</v>
      </c>
      <c r="O42" t="str">
        <f t="shared" si="7"/>
        <v/>
      </c>
      <c r="P42" t="str">
        <f t="shared" si="8"/>
        <v/>
      </c>
      <c r="Q42" t="str">
        <f t="shared" si="9"/>
        <v/>
      </c>
    </row>
    <row r="43" spans="1:17" x14ac:dyDescent="0.2">
      <c r="A43" s="14" t="s">
        <v>56</v>
      </c>
      <c r="B43" s="14" t="s">
        <v>121</v>
      </c>
      <c r="C43" s="14">
        <v>1</v>
      </c>
      <c r="D43" s="14">
        <f t="array" ref="D43">IF(AND(INDEX('Thang 05-2026'!$A$3:$Q$102,MATCH(1,($A43='Thang 05-2026'!$A$3:$A$102)*($G43='Thang 05-2026'!$C$3:$C$102),0),11)=1,$B43="Triều Xuống"),1,IF(AND(INDEX('Thang 05-2026'!$A$3:$Q$102,MATCH(1,($A43='Thang 05-2026'!$A$3:$A$102)*($G43='Thang 05-2026'!$C$3:$C$102),0),10)=1,$B43="Triều Lên",INDEX('Thang 05-2026'!$A$3:$Q$102,MATCH(1,($A43='Thang 05-2026'!$A$3:$A$102)*($G43='Thang 05-2026'!$C$3:$C$102),0),11)=0),1,0))</f>
        <v>0</v>
      </c>
      <c r="E43" s="14">
        <f t="array" ref="E43">IF(AND(INDEX('Thang 05-2026'!$A$3:$Q$102,MATCH(1,($A43='Thang 05-2026'!$A$3:$A$102)*($G43='Thang 05-2026'!$C$3:$C$102),0),15)=1,$B43="Triều Xuống"),1,IF(AND(INDEX('Thang 05-2026'!$A$3:$Q$102,MATCH(1,($A43='Thang 05-2026'!$A$3:$A$102)*($G43='Thang 05-2026'!$C$3:$C$102),0),14)=1,$B43="Triều Lên",INDEX('Thang 05-2026'!$A$3:$Q$102,MATCH(1,($A43='Thang 05-2026'!$A$3:$A$102)*($G43='Thang 05-2026'!$C$3:$C$102),0),15)=0),1,0))</f>
        <v>0</v>
      </c>
      <c r="F43" s="14">
        <f t="shared" si="1"/>
        <v>0</v>
      </c>
      <c r="G43" s="14">
        <f>INDEX('Thang 05-2026'!$A$3:$C$102,MATCH(A43,'Thang 05-2026'!$A$3:$A$102,0),3)</f>
        <v>13</v>
      </c>
      <c r="H43" t="str">
        <f t="array" ref="H43">INDEX('TONG HOP DIA DIEM'!$A$2:$K$181,MATCH(1,($A43='TONG HOP DIA DIEM'!$A$2:$A$181)*($B43='TONG HOP DIA DIEM'!$B$2:$B$181),0),6)</f>
        <v>Cầu TL9 - HCM_NM_CTL9 - Triều Xuống</v>
      </c>
      <c r="I43" t="str">
        <f t="array" ref="I43">INDEX('TONG HOP DIA DIEM'!$A$2:$K$181,MATCH(1,($A43='TONG HOP DIA DIEM'!$A$2:$A$181)*($B43='TONG HOP DIA DIEM'!$B$2:$B$181),0),7)</f>
        <v>Cầu TL9 - Triều Xuống</v>
      </c>
      <c r="J43">
        <f t="shared" si="2"/>
        <v>1</v>
      </c>
      <c r="K43">
        <f t="shared" si="3"/>
        <v>0</v>
      </c>
      <c r="L43">
        <f t="shared" si="4"/>
        <v>0</v>
      </c>
      <c r="M43">
        <f t="shared" si="5"/>
        <v>0</v>
      </c>
      <c r="N43">
        <f t="shared" si="6"/>
        <v>13</v>
      </c>
      <c r="O43" t="str">
        <f t="shared" si="7"/>
        <v/>
      </c>
      <c r="P43" t="str">
        <f t="shared" si="8"/>
        <v/>
      </c>
      <c r="Q43" t="str">
        <f t="shared" si="9"/>
        <v/>
      </c>
    </row>
    <row r="44" spans="1:17" x14ac:dyDescent="0.2">
      <c r="A44" s="14" t="s">
        <v>58</v>
      </c>
      <c r="B44" s="14" t="s">
        <v>121</v>
      </c>
      <c r="C44" s="14">
        <v>1</v>
      </c>
      <c r="D44" s="14">
        <f t="array" ref="D44">IF(AND(INDEX('Thang 05-2026'!$A$3:$Q$102,MATCH(1,($A44='Thang 05-2026'!$A$3:$A$102)*($G44='Thang 05-2026'!$C$3:$C$102),0),11)=1,$B44="Triều Xuống"),1,IF(AND(INDEX('Thang 05-2026'!$A$3:$Q$102,MATCH(1,($A44='Thang 05-2026'!$A$3:$A$102)*($G44='Thang 05-2026'!$C$3:$C$102),0),10)=1,$B44="Triều Lên",INDEX('Thang 05-2026'!$A$3:$Q$102,MATCH(1,($A44='Thang 05-2026'!$A$3:$A$102)*($G44='Thang 05-2026'!$C$3:$C$102),0),11)=0),1,0))</f>
        <v>0</v>
      </c>
      <c r="E44" s="14">
        <f t="array" ref="E44">IF(AND(INDEX('Thang 05-2026'!$A$3:$Q$102,MATCH(1,($A44='Thang 05-2026'!$A$3:$A$102)*($G44='Thang 05-2026'!$C$3:$C$102),0),15)=1,$B44="Triều Xuống"),1,IF(AND(INDEX('Thang 05-2026'!$A$3:$Q$102,MATCH(1,($A44='Thang 05-2026'!$A$3:$A$102)*($G44='Thang 05-2026'!$C$3:$C$102),0),14)=1,$B44="Triều Lên",INDEX('Thang 05-2026'!$A$3:$Q$102,MATCH(1,($A44='Thang 05-2026'!$A$3:$A$102)*($G44='Thang 05-2026'!$C$3:$C$102),0),15)=0),1,0))</f>
        <v>0</v>
      </c>
      <c r="F44" s="14">
        <f t="shared" si="1"/>
        <v>0</v>
      </c>
      <c r="G44" s="14">
        <f>INDEX('Thang 05-2026'!$A$3:$C$102,MATCH(A44,'Thang 05-2026'!$A$3:$A$102,0),3)</f>
        <v>13</v>
      </c>
      <c r="H44" t="str">
        <f t="array" ref="H44">INDEX('TONG HOP DIA DIEM'!$A$2:$K$181,MATCH(1,($A44='TONG HOP DIA DIEM'!$A$2:$A$181)*($B44='TONG HOP DIA DIEM'!$B$2:$B$181),0),6)</f>
        <v>Xuân Thới Sơn - HCM_NM_XTS - Triều Xuống</v>
      </c>
      <c r="I44" t="str">
        <f t="array" ref="I44">INDEX('TONG HOP DIA DIEM'!$A$2:$K$181,MATCH(1,($A44='TONG HOP DIA DIEM'!$A$2:$A$181)*($B44='TONG HOP DIA DIEM'!$B$2:$B$181),0),7)</f>
        <v>Xuân Thới Sơn - Triều Xuống</v>
      </c>
      <c r="J44">
        <f t="shared" si="2"/>
        <v>1</v>
      </c>
      <c r="K44">
        <f t="shared" si="3"/>
        <v>0</v>
      </c>
      <c r="L44">
        <f t="shared" si="4"/>
        <v>0</v>
      </c>
      <c r="M44">
        <f t="shared" si="5"/>
        <v>0</v>
      </c>
      <c r="N44">
        <f t="shared" si="6"/>
        <v>13</v>
      </c>
      <c r="O44" t="str">
        <f t="shared" si="7"/>
        <v/>
      </c>
      <c r="P44" t="str">
        <f t="shared" si="8"/>
        <v/>
      </c>
      <c r="Q44" t="str">
        <f t="shared" si="9"/>
        <v/>
      </c>
    </row>
    <row r="45" spans="1:17" x14ac:dyDescent="0.2">
      <c r="A45" s="14" t="s">
        <v>59</v>
      </c>
      <c r="B45" s="14" t="s">
        <v>121</v>
      </c>
      <c r="C45" s="14">
        <v>1</v>
      </c>
      <c r="D45" s="14">
        <f t="array" ref="D45">IF(AND(INDEX('Thang 05-2026'!$A$3:$Q$102,MATCH(1,($A45='Thang 05-2026'!$A$3:$A$102)*($G45='Thang 05-2026'!$C$3:$C$102),0),11)=1,$B45="Triều Xuống"),1,IF(AND(INDEX('Thang 05-2026'!$A$3:$Q$102,MATCH(1,($A45='Thang 05-2026'!$A$3:$A$102)*($G45='Thang 05-2026'!$C$3:$C$102),0),10)=1,$B45="Triều Lên",INDEX('Thang 05-2026'!$A$3:$Q$102,MATCH(1,($A45='Thang 05-2026'!$A$3:$A$102)*($G45='Thang 05-2026'!$C$3:$C$102),0),11)=0),1,0))</f>
        <v>0</v>
      </c>
      <c r="E45" s="14">
        <f t="array" ref="E45">IF(AND(INDEX('Thang 05-2026'!$A$3:$Q$102,MATCH(1,($A45='Thang 05-2026'!$A$3:$A$102)*($G45='Thang 05-2026'!$C$3:$C$102),0),15)=1,$B45="Triều Xuống"),1,IF(AND(INDEX('Thang 05-2026'!$A$3:$Q$102,MATCH(1,($A45='Thang 05-2026'!$A$3:$A$102)*($G45='Thang 05-2026'!$C$3:$C$102),0),14)=1,$B45="Triều Lên",INDEX('Thang 05-2026'!$A$3:$Q$102,MATCH(1,($A45='Thang 05-2026'!$A$3:$A$102)*($G45='Thang 05-2026'!$C$3:$C$102),0),15)=0),1,0))</f>
        <v>0</v>
      </c>
      <c r="F45" s="14">
        <f t="shared" si="1"/>
        <v>0</v>
      </c>
      <c r="G45" s="14">
        <f>INDEX('Thang 05-2026'!$A$3:$C$102,MATCH(A45,'Thang 05-2026'!$A$3:$A$102,0),3)</f>
        <v>13</v>
      </c>
      <c r="H45" t="str">
        <f t="array" ref="H45">INDEX('TONG HOP DIA DIEM'!$A$2:$K$181,MATCH(1,($A45='TONG HOP DIA DIEM'!$A$2:$A$181)*($B45='TONG HOP DIA DIEM'!$B$2:$B$181),0),6)</f>
        <v>Cầu Lớn - HCM_NM_CLo - Triều Xuống</v>
      </c>
      <c r="I45" t="str">
        <f t="array" ref="I45">INDEX('TONG HOP DIA DIEM'!$A$2:$K$181,MATCH(1,($A45='TONG HOP DIA DIEM'!$A$2:$A$181)*($B45='TONG HOP DIA DIEM'!$B$2:$B$181),0),7)</f>
        <v>Cầu Lớn - Triều Xuống</v>
      </c>
      <c r="J45">
        <f t="shared" si="2"/>
        <v>1</v>
      </c>
      <c r="K45">
        <f t="shared" si="3"/>
        <v>0</v>
      </c>
      <c r="L45">
        <f t="shared" si="4"/>
        <v>0</v>
      </c>
      <c r="M45">
        <f t="shared" si="5"/>
        <v>0</v>
      </c>
      <c r="N45">
        <f t="shared" si="6"/>
        <v>13</v>
      </c>
      <c r="O45" t="str">
        <f t="shared" si="7"/>
        <v/>
      </c>
      <c r="P45" t="str">
        <f t="shared" si="8"/>
        <v/>
      </c>
      <c r="Q45" t="str">
        <f t="shared" si="9"/>
        <v/>
      </c>
    </row>
    <row r="46" spans="1:17" x14ac:dyDescent="0.2">
      <c r="A46" s="14" t="s">
        <v>60</v>
      </c>
      <c r="B46" s="14" t="s">
        <v>121</v>
      </c>
      <c r="C46" s="14">
        <v>1</v>
      </c>
      <c r="D46" s="14">
        <f t="array" ref="D46">IF(AND(INDEX('Thang 05-2026'!$A$3:$Q$102,MATCH(1,($A46='Thang 05-2026'!$A$3:$A$102)*($G46='Thang 05-2026'!$C$3:$C$102),0),11)=1,$B46="Triều Xuống"),1,IF(AND(INDEX('Thang 05-2026'!$A$3:$Q$102,MATCH(1,($A46='Thang 05-2026'!$A$3:$A$102)*($G46='Thang 05-2026'!$C$3:$C$102),0),10)=1,$B46="Triều Lên",INDEX('Thang 05-2026'!$A$3:$Q$102,MATCH(1,($A46='Thang 05-2026'!$A$3:$A$102)*($G46='Thang 05-2026'!$C$3:$C$102),0),11)=0),1,0))</f>
        <v>0</v>
      </c>
      <c r="E46" s="14">
        <f t="array" ref="E46">IF(AND(INDEX('Thang 05-2026'!$A$3:$Q$102,MATCH(1,($A46='Thang 05-2026'!$A$3:$A$102)*($G46='Thang 05-2026'!$C$3:$C$102),0),15)=1,$B46="Triều Xuống"),1,IF(AND(INDEX('Thang 05-2026'!$A$3:$Q$102,MATCH(1,($A46='Thang 05-2026'!$A$3:$A$102)*($G46='Thang 05-2026'!$C$3:$C$102),0),14)=1,$B46="Triều Lên",INDEX('Thang 05-2026'!$A$3:$Q$102,MATCH(1,($A46='Thang 05-2026'!$A$3:$A$102)*($G46='Thang 05-2026'!$C$3:$C$102),0),15)=0),1,0))</f>
        <v>0</v>
      </c>
      <c r="F46" s="14">
        <f t="shared" si="1"/>
        <v>0</v>
      </c>
      <c r="G46" s="14">
        <f>INDEX('Thang 05-2026'!$A$3:$C$102,MATCH(A46,'Thang 05-2026'!$A$3:$A$102,0),3)</f>
        <v>13</v>
      </c>
      <c r="H46" t="str">
        <f t="array" ref="H46">INDEX('TONG HOP DIA DIEM'!$A$2:$K$181,MATCH(1,($A46='TONG HOP DIA DIEM'!$A$2:$A$181)*($B46='TONG HOP DIA DIEM'!$B$2:$B$181),0),6)</f>
        <v>An Hạ - HCM_NM_AH - Triều Xuống</v>
      </c>
      <c r="I46" t="str">
        <f t="array" ref="I46">INDEX('TONG HOP DIA DIEM'!$A$2:$K$181,MATCH(1,($A46='TONG HOP DIA DIEM'!$A$2:$A$181)*($B46='TONG HOP DIA DIEM'!$B$2:$B$181),0),7)</f>
        <v>An Hạ - Triều Xuống</v>
      </c>
      <c r="J46">
        <f t="shared" si="2"/>
        <v>1</v>
      </c>
      <c r="K46">
        <f t="shared" si="3"/>
        <v>0</v>
      </c>
      <c r="L46">
        <f t="shared" si="4"/>
        <v>0</v>
      </c>
      <c r="M46">
        <f t="shared" si="5"/>
        <v>0</v>
      </c>
      <c r="N46">
        <f t="shared" si="6"/>
        <v>13</v>
      </c>
      <c r="O46" t="str">
        <f t="shared" si="7"/>
        <v/>
      </c>
      <c r="P46" t="str">
        <f t="shared" si="8"/>
        <v/>
      </c>
      <c r="Q46" t="str">
        <f t="shared" si="9"/>
        <v/>
      </c>
    </row>
    <row r="47" spans="1:17" x14ac:dyDescent="0.2">
      <c r="A47" s="14" t="s">
        <v>61</v>
      </c>
      <c r="B47" s="14" t="s">
        <v>121</v>
      </c>
      <c r="C47" s="14">
        <v>1</v>
      </c>
      <c r="D47" s="14">
        <f t="array" ref="D47">IF(AND(INDEX('Thang 05-2026'!$A$3:$Q$102,MATCH(1,($A47='Thang 05-2026'!$A$3:$A$102)*($G47='Thang 05-2026'!$C$3:$C$102),0),11)=1,$B47="Triều Xuống"),1,IF(AND(INDEX('Thang 05-2026'!$A$3:$Q$102,MATCH(1,($A47='Thang 05-2026'!$A$3:$A$102)*($G47='Thang 05-2026'!$C$3:$C$102),0),10)=1,$B47="Triều Lên",INDEX('Thang 05-2026'!$A$3:$Q$102,MATCH(1,($A47='Thang 05-2026'!$A$3:$A$102)*($G47='Thang 05-2026'!$C$3:$C$102),0),11)=0),1,0))</f>
        <v>1</v>
      </c>
      <c r="E47" s="14">
        <f t="array" ref="E47">IF(AND(INDEX('Thang 05-2026'!$A$3:$Q$102,MATCH(1,($A47='Thang 05-2026'!$A$3:$A$102)*($G47='Thang 05-2026'!$C$3:$C$102),0),15)=1,$B47="Triều Xuống"),1,IF(AND(INDEX('Thang 05-2026'!$A$3:$Q$102,MATCH(1,($A47='Thang 05-2026'!$A$3:$A$102)*($G47='Thang 05-2026'!$C$3:$C$102),0),14)=1,$B47="Triều Lên",INDEX('Thang 05-2026'!$A$3:$Q$102,MATCH(1,($A47='Thang 05-2026'!$A$3:$A$102)*($G47='Thang 05-2026'!$C$3:$C$102),0),15)=0),1,0))</f>
        <v>0</v>
      </c>
      <c r="F47" s="14">
        <f t="shared" si="1"/>
        <v>1</v>
      </c>
      <c r="G47" s="14">
        <f>INDEX('Thang 05-2026'!$A$3:$C$102,MATCH(A47,'Thang 05-2026'!$A$3:$A$102,0),3)</f>
        <v>13</v>
      </c>
      <c r="H47" t="str">
        <f t="array" ref="H47">INDEX('TONG HOP DIA DIEM'!$A$2:$K$181,MATCH(1,($A47='TONG HOP DIA DIEM'!$A$2:$A$181)*($B47='TONG HOP DIA DIEM'!$B$2:$B$181),0),6)</f>
        <v>Rau Răm - HCM_NM_RR - Triều Xuống</v>
      </c>
      <c r="I47" t="str">
        <f t="array" ref="I47">INDEX('TONG HOP DIA DIEM'!$A$2:$K$181,MATCH(1,($A47='TONG HOP DIA DIEM'!$A$2:$A$181)*($B47='TONG HOP DIA DIEM'!$B$2:$B$181),0),7)</f>
        <v>Rau Răm - Triều Xuống</v>
      </c>
      <c r="J47">
        <f t="shared" si="2"/>
        <v>1</v>
      </c>
      <c r="K47">
        <f t="shared" si="3"/>
        <v>1</v>
      </c>
      <c r="L47">
        <f t="shared" si="4"/>
        <v>0</v>
      </c>
      <c r="M47">
        <f t="shared" si="5"/>
        <v>1</v>
      </c>
      <c r="N47">
        <f t="shared" si="6"/>
        <v>13</v>
      </c>
      <c r="O47" t="str">
        <f t="shared" si="7"/>
        <v>Rau Răm - Triều Xuống (QC - Mẫu lặp)</v>
      </c>
      <c r="P47" t="str">
        <f t="shared" si="8"/>
        <v/>
      </c>
      <c r="Q47" t="str">
        <f t="shared" si="9"/>
        <v/>
      </c>
    </row>
    <row r="48" spans="1:17" x14ac:dyDescent="0.2">
      <c r="A48" s="14" t="s">
        <v>62</v>
      </c>
      <c r="B48" s="14" t="s">
        <v>118</v>
      </c>
      <c r="C48" s="14">
        <v>1</v>
      </c>
      <c r="D48" s="14">
        <f t="array" ref="D48">IF(AND(INDEX('Thang 05-2026'!$A$3:$Q$102,MATCH(1,($A48='Thang 05-2026'!$A$3:$A$102)*($G48='Thang 05-2026'!$C$3:$C$102),0),11)=1,$B48="Triều Xuống"),1,IF(AND(INDEX('Thang 05-2026'!$A$3:$Q$102,MATCH(1,($A48='Thang 05-2026'!$A$3:$A$102)*($G48='Thang 05-2026'!$C$3:$C$102),0),10)=1,$B48="Triều Lên",INDEX('Thang 05-2026'!$A$3:$Q$102,MATCH(1,($A48='Thang 05-2026'!$A$3:$A$102)*($G48='Thang 05-2026'!$C$3:$C$102),0),11)=0),1,0))</f>
        <v>0</v>
      </c>
      <c r="E48" s="14">
        <f t="array" ref="E48">IF(AND(INDEX('Thang 05-2026'!$A$3:$Q$102,MATCH(1,($A48='Thang 05-2026'!$A$3:$A$102)*($G48='Thang 05-2026'!$C$3:$C$102),0),15)=1,$B48="Triều Xuống"),1,IF(AND(INDEX('Thang 05-2026'!$A$3:$Q$102,MATCH(1,($A48='Thang 05-2026'!$A$3:$A$102)*($G48='Thang 05-2026'!$C$3:$C$102),0),14)=1,$B48="Triều Lên",INDEX('Thang 05-2026'!$A$3:$Q$102,MATCH(1,($A48='Thang 05-2026'!$A$3:$A$102)*($G48='Thang 05-2026'!$C$3:$C$102),0),15)=0),1,0))</f>
        <v>1</v>
      </c>
      <c r="F48" s="14">
        <f t="shared" si="1"/>
        <v>2</v>
      </c>
      <c r="G48" s="14">
        <f>INDEX('Thang 05-2026'!$A$3:$C$102,MATCH(A48,'Thang 05-2026'!$A$3:$A$102,0),3)</f>
        <v>14</v>
      </c>
      <c r="H48" t="str">
        <f t="array" ref="H48">INDEX('TONG HOP DIA DIEM'!$A$2:$K$181,MATCH(1,($A48='TONG HOP DIA DIEM'!$A$2:$A$181)*($B48='TONG HOP DIA DIEM'!$B$2:$B$181),0),6)</f>
        <v>Cống Vàm Thuật - HCM_NM_VT - Triều Lên</v>
      </c>
      <c r="I48" t="str">
        <f t="array" ref="I48">INDEX('TONG HOP DIA DIEM'!$A$2:$K$181,MATCH(1,($A48='TONG HOP DIA DIEM'!$A$2:$A$181)*($B48='TONG HOP DIA DIEM'!$B$2:$B$181),0),7)</f>
        <v>Cống Vàm Thuật - Triều Lên</v>
      </c>
      <c r="J48">
        <f t="shared" si="2"/>
        <v>1</v>
      </c>
      <c r="K48">
        <f t="shared" si="3"/>
        <v>0</v>
      </c>
      <c r="L48">
        <f t="shared" si="4"/>
        <v>1</v>
      </c>
      <c r="M48">
        <f t="shared" si="5"/>
        <v>2</v>
      </c>
      <c r="N48">
        <f t="shared" si="6"/>
        <v>14</v>
      </c>
      <c r="O48" t="str">
        <f t="shared" si="7"/>
        <v/>
      </c>
      <c r="P48" t="str">
        <f t="shared" si="8"/>
        <v>Cống Vàm Thuật - Triều Lên (QC - Mẫu trắng)</v>
      </c>
      <c r="Q48" t="str">
        <f t="shared" si="9"/>
        <v>Cống Vàm Thuật - Triều Lên (QC - Mẫu lặp)</v>
      </c>
    </row>
    <row r="49" spans="1:17" x14ac:dyDescent="0.2">
      <c r="A49" s="14" t="s">
        <v>64</v>
      </c>
      <c r="B49" s="14" t="s">
        <v>118</v>
      </c>
      <c r="C49" s="14">
        <v>1</v>
      </c>
      <c r="D49" s="14">
        <f t="array" ref="D49">IF(AND(INDEX('Thang 05-2026'!$A$3:$Q$102,MATCH(1,($A49='Thang 05-2026'!$A$3:$A$102)*($G49='Thang 05-2026'!$C$3:$C$102),0),11)=1,$B49="Triều Xuống"),1,IF(AND(INDEX('Thang 05-2026'!$A$3:$Q$102,MATCH(1,($A49='Thang 05-2026'!$A$3:$A$102)*($G49='Thang 05-2026'!$C$3:$C$102),0),10)=1,$B49="Triều Lên",INDEX('Thang 05-2026'!$A$3:$Q$102,MATCH(1,($A49='Thang 05-2026'!$A$3:$A$102)*($G49='Thang 05-2026'!$C$3:$C$102),0),11)=0),1,0))</f>
        <v>0</v>
      </c>
      <c r="E49" s="14">
        <f t="array" ref="E49">IF(AND(INDEX('Thang 05-2026'!$A$3:$Q$102,MATCH(1,($A49='Thang 05-2026'!$A$3:$A$102)*($G49='Thang 05-2026'!$C$3:$C$102),0),15)=1,$B49="Triều Xuống"),1,IF(AND(INDEX('Thang 05-2026'!$A$3:$Q$102,MATCH(1,($A49='Thang 05-2026'!$A$3:$A$102)*($G49='Thang 05-2026'!$C$3:$C$102),0),14)=1,$B49="Triều Lên",INDEX('Thang 05-2026'!$A$3:$Q$102,MATCH(1,($A49='Thang 05-2026'!$A$3:$A$102)*($G49='Thang 05-2026'!$C$3:$C$102),0),15)=0),1,0))</f>
        <v>0</v>
      </c>
      <c r="F49" s="14">
        <f t="shared" si="1"/>
        <v>0</v>
      </c>
      <c r="G49" s="14">
        <f>INDEX('Thang 05-2026'!$A$3:$C$102,MATCH(A49,'Thang 05-2026'!$A$3:$A$102,0),3)</f>
        <v>14</v>
      </c>
      <c r="H49" t="str">
        <f t="array" ref="H49">INDEX('TONG HOP DIA DIEM'!$A$2:$K$181,MATCH(1,($A49='TONG HOP DIA DIEM'!$A$2:$A$181)*($B49='TONG HOP DIA DIEM'!$B$2:$B$181),0),6)</f>
        <v>An Lộc - HCM_NM_AL - Triều Lên</v>
      </c>
      <c r="I49" t="str">
        <f t="array" ref="I49">INDEX('TONG HOP DIA DIEM'!$A$2:$K$181,MATCH(1,($A49='TONG HOP DIA DIEM'!$A$2:$A$181)*($B49='TONG HOP DIA DIEM'!$B$2:$B$181),0),7)</f>
        <v>An Lộc - Triều Lên</v>
      </c>
      <c r="J49">
        <f t="shared" si="2"/>
        <v>1</v>
      </c>
      <c r="K49">
        <f t="shared" si="3"/>
        <v>0</v>
      </c>
      <c r="L49">
        <f t="shared" si="4"/>
        <v>0</v>
      </c>
      <c r="M49">
        <f t="shared" si="5"/>
        <v>0</v>
      </c>
      <c r="N49">
        <f t="shared" si="6"/>
        <v>14</v>
      </c>
      <c r="O49" t="str">
        <f t="shared" si="7"/>
        <v/>
      </c>
      <c r="P49" t="str">
        <f t="shared" si="8"/>
        <v/>
      </c>
      <c r="Q49" t="str">
        <f t="shared" si="9"/>
        <v/>
      </c>
    </row>
    <row r="50" spans="1:17" x14ac:dyDescent="0.2">
      <c r="A50" s="14" t="s">
        <v>65</v>
      </c>
      <c r="B50" s="14" t="s">
        <v>118</v>
      </c>
      <c r="C50" s="14">
        <v>1</v>
      </c>
      <c r="D50" s="14">
        <f t="array" ref="D50">IF(AND(INDEX('Thang 05-2026'!$A$3:$Q$102,MATCH(1,($A50='Thang 05-2026'!$A$3:$A$102)*($G50='Thang 05-2026'!$C$3:$C$102),0),11)=1,$B50="Triều Xuống"),1,IF(AND(INDEX('Thang 05-2026'!$A$3:$Q$102,MATCH(1,($A50='Thang 05-2026'!$A$3:$A$102)*($G50='Thang 05-2026'!$C$3:$C$102),0),10)=1,$B50="Triều Lên",INDEX('Thang 05-2026'!$A$3:$Q$102,MATCH(1,($A50='Thang 05-2026'!$A$3:$A$102)*($G50='Thang 05-2026'!$C$3:$C$102),0),11)=0),1,0))</f>
        <v>0</v>
      </c>
      <c r="E50" s="14">
        <f t="array" ref="E50">IF(AND(INDEX('Thang 05-2026'!$A$3:$Q$102,MATCH(1,($A50='Thang 05-2026'!$A$3:$A$102)*($G50='Thang 05-2026'!$C$3:$C$102),0),15)=1,$B50="Triều Xuống"),1,IF(AND(INDEX('Thang 05-2026'!$A$3:$Q$102,MATCH(1,($A50='Thang 05-2026'!$A$3:$A$102)*($G50='Thang 05-2026'!$C$3:$C$102),0),14)=1,$B50="Triều Lên",INDEX('Thang 05-2026'!$A$3:$Q$102,MATCH(1,($A50='Thang 05-2026'!$A$3:$A$102)*($G50='Thang 05-2026'!$C$3:$C$102),0),15)=0),1,0))</f>
        <v>0</v>
      </c>
      <c r="F50" s="14">
        <f t="shared" si="1"/>
        <v>0</v>
      </c>
      <c r="G50" s="14">
        <f>INDEX('Thang 05-2026'!$A$3:$C$102,MATCH(A50,'Thang 05-2026'!$A$3:$A$102,0),3)</f>
        <v>14</v>
      </c>
      <c r="H50" t="str">
        <f t="array" ref="H50">INDEX('TONG HOP DIA DIEM'!$A$2:$K$181,MATCH(1,($A50='TONG HOP DIA DIEM'!$A$2:$A$181)*($B50='TONG HOP DIA DIEM'!$B$2:$B$181),0),6)</f>
        <v>Bến Cát - HCM_NM_BCa - Triều Lên</v>
      </c>
      <c r="I50" t="str">
        <f t="array" ref="I50">INDEX('TONG HOP DIA DIEM'!$A$2:$K$181,MATCH(1,($A50='TONG HOP DIA DIEM'!$A$2:$A$181)*($B50='TONG HOP DIA DIEM'!$B$2:$B$181),0),7)</f>
        <v>Bến Cát - Triều Lên</v>
      </c>
      <c r="J50">
        <f t="shared" si="2"/>
        <v>1</v>
      </c>
      <c r="K50">
        <f t="shared" si="3"/>
        <v>0</v>
      </c>
      <c r="L50">
        <f t="shared" si="4"/>
        <v>0</v>
      </c>
      <c r="M50">
        <f t="shared" si="5"/>
        <v>0</v>
      </c>
      <c r="N50">
        <f t="shared" si="6"/>
        <v>14</v>
      </c>
      <c r="O50" t="str">
        <f t="shared" si="7"/>
        <v/>
      </c>
      <c r="P50" t="str">
        <f t="shared" si="8"/>
        <v/>
      </c>
      <c r="Q50" t="str">
        <f t="shared" si="9"/>
        <v/>
      </c>
    </row>
    <row r="51" spans="1:17" x14ac:dyDescent="0.2">
      <c r="A51" s="14" t="s">
        <v>66</v>
      </c>
      <c r="B51" s="14" t="s">
        <v>118</v>
      </c>
      <c r="C51" s="14">
        <v>1</v>
      </c>
      <c r="D51" s="14">
        <f t="array" ref="D51">IF(AND(INDEX('Thang 05-2026'!$A$3:$Q$102,MATCH(1,($A51='Thang 05-2026'!$A$3:$A$102)*($G51='Thang 05-2026'!$C$3:$C$102),0),11)=1,$B51="Triều Xuống"),1,IF(AND(INDEX('Thang 05-2026'!$A$3:$Q$102,MATCH(1,($A51='Thang 05-2026'!$A$3:$A$102)*($G51='Thang 05-2026'!$C$3:$C$102),0),10)=1,$B51="Triều Lên",INDEX('Thang 05-2026'!$A$3:$Q$102,MATCH(1,($A51='Thang 05-2026'!$A$3:$A$102)*($G51='Thang 05-2026'!$C$3:$C$102),0),11)=0),1,0))</f>
        <v>0</v>
      </c>
      <c r="E51" s="14">
        <f t="array" ref="E51">IF(AND(INDEX('Thang 05-2026'!$A$3:$Q$102,MATCH(1,($A51='Thang 05-2026'!$A$3:$A$102)*($G51='Thang 05-2026'!$C$3:$C$102),0),15)=1,$B51="Triều Xuống"),1,IF(AND(INDEX('Thang 05-2026'!$A$3:$Q$102,MATCH(1,($A51='Thang 05-2026'!$A$3:$A$102)*($G51='Thang 05-2026'!$C$3:$C$102),0),14)=1,$B51="Triều Lên",INDEX('Thang 05-2026'!$A$3:$Q$102,MATCH(1,($A51='Thang 05-2026'!$A$3:$A$102)*($G51='Thang 05-2026'!$C$3:$C$102),0),15)=0),1,0))</f>
        <v>0</v>
      </c>
      <c r="F51" s="14">
        <f t="shared" si="1"/>
        <v>0</v>
      </c>
      <c r="G51" s="14">
        <f>INDEX('Thang 05-2026'!$A$3:$C$102,MATCH(A51,'Thang 05-2026'!$A$3:$A$102,0),3)</f>
        <v>14</v>
      </c>
      <c r="H51" t="str">
        <f t="array" ref="H51">INDEX('TONG HOP DIA DIEM'!$A$2:$K$181,MATCH(1,($A51='TONG HOP DIA DIEM'!$A$2:$A$181)*($B51='TONG HOP DIA DIEM'!$B$2:$B$181),0),6)</f>
        <v>Trường Đai - HCM_NM_TĐ - Triều Lên</v>
      </c>
      <c r="I51" t="str">
        <f t="array" ref="I51">INDEX('TONG HOP DIA DIEM'!$A$2:$K$181,MATCH(1,($A51='TONG HOP DIA DIEM'!$A$2:$A$181)*($B51='TONG HOP DIA DIEM'!$B$2:$B$181),0),7)</f>
        <v>Trường Đai - Triều Lên</v>
      </c>
      <c r="J51">
        <f t="shared" si="2"/>
        <v>1</v>
      </c>
      <c r="K51">
        <f t="shared" si="3"/>
        <v>0</v>
      </c>
      <c r="L51">
        <f t="shared" si="4"/>
        <v>0</v>
      </c>
      <c r="M51">
        <f t="shared" si="5"/>
        <v>0</v>
      </c>
      <c r="N51">
        <f t="shared" si="6"/>
        <v>14</v>
      </c>
      <c r="O51" t="str">
        <f t="shared" si="7"/>
        <v/>
      </c>
      <c r="P51" t="str">
        <f t="shared" si="8"/>
        <v/>
      </c>
      <c r="Q51" t="str">
        <f t="shared" si="9"/>
        <v/>
      </c>
    </row>
    <row r="52" spans="1:17" x14ac:dyDescent="0.2">
      <c r="A52" s="14" t="s">
        <v>62</v>
      </c>
      <c r="B52" s="14" t="s">
        <v>121</v>
      </c>
      <c r="C52" s="14">
        <v>1</v>
      </c>
      <c r="D52" s="14">
        <f t="array" ref="D52">IF(AND(INDEX('Thang 05-2026'!$A$3:$Q$102,MATCH(1,($A52='Thang 05-2026'!$A$3:$A$102)*($G52='Thang 05-2026'!$C$3:$C$102),0),11)=1,$B52="Triều Xuống"),1,IF(AND(INDEX('Thang 05-2026'!$A$3:$Q$102,MATCH(1,($A52='Thang 05-2026'!$A$3:$A$102)*($G52='Thang 05-2026'!$C$3:$C$102),0),10)=1,$B52="Triều Lên",INDEX('Thang 05-2026'!$A$3:$Q$102,MATCH(1,($A52='Thang 05-2026'!$A$3:$A$102)*($G52='Thang 05-2026'!$C$3:$C$102),0),11)=0),1,0))</f>
        <v>1</v>
      </c>
      <c r="E52" s="14">
        <f t="array" ref="E52">IF(AND(INDEX('Thang 05-2026'!$A$3:$Q$102,MATCH(1,($A52='Thang 05-2026'!$A$3:$A$102)*($G52='Thang 05-2026'!$C$3:$C$102),0),15)=1,$B52="Triều Xuống"),1,IF(AND(INDEX('Thang 05-2026'!$A$3:$Q$102,MATCH(1,($A52='Thang 05-2026'!$A$3:$A$102)*($G52='Thang 05-2026'!$C$3:$C$102),0),14)=1,$B52="Triều Lên",INDEX('Thang 05-2026'!$A$3:$Q$102,MATCH(1,($A52='Thang 05-2026'!$A$3:$A$102)*($G52='Thang 05-2026'!$C$3:$C$102),0),15)=0),1,0))</f>
        <v>0</v>
      </c>
      <c r="F52" s="14">
        <f t="shared" si="1"/>
        <v>1</v>
      </c>
      <c r="G52" s="14">
        <f>INDEX('Thang 05-2026'!$A$3:$C$102,MATCH(A52,'Thang 05-2026'!$A$3:$A$102,0),3)</f>
        <v>14</v>
      </c>
      <c r="H52" t="str">
        <f t="array" ref="H52">INDEX('TONG HOP DIA DIEM'!$A$2:$K$181,MATCH(1,($A52='TONG HOP DIA DIEM'!$A$2:$A$181)*($B52='TONG HOP DIA DIEM'!$B$2:$B$181),0),6)</f>
        <v>Cống Vàm Thuật - HCM_NM_VT - Triều Xuống</v>
      </c>
      <c r="I52" t="str">
        <f t="array" ref="I52">INDEX('TONG HOP DIA DIEM'!$A$2:$K$181,MATCH(1,($A52='TONG HOP DIA DIEM'!$A$2:$A$181)*($B52='TONG HOP DIA DIEM'!$B$2:$B$181),0),7)</f>
        <v>Cống Vàm Thuật - Triều Xuống</v>
      </c>
      <c r="J52">
        <f t="shared" si="2"/>
        <v>1</v>
      </c>
      <c r="K52">
        <f t="shared" si="3"/>
        <v>1</v>
      </c>
      <c r="L52">
        <f t="shared" si="4"/>
        <v>0</v>
      </c>
      <c r="M52">
        <f t="shared" si="5"/>
        <v>1</v>
      </c>
      <c r="N52">
        <f t="shared" si="6"/>
        <v>14</v>
      </c>
      <c r="O52" t="str">
        <f t="shared" si="7"/>
        <v>Cống Vàm Thuật - Triều Xuống (QC - Mẫu lặp)</v>
      </c>
      <c r="P52" t="str">
        <f t="shared" si="8"/>
        <v/>
      </c>
      <c r="Q52" t="str">
        <f t="shared" si="9"/>
        <v/>
      </c>
    </row>
    <row r="53" spans="1:17" x14ac:dyDescent="0.2">
      <c r="A53" s="14" t="s">
        <v>64</v>
      </c>
      <c r="B53" s="14" t="s">
        <v>121</v>
      </c>
      <c r="C53" s="14">
        <v>1</v>
      </c>
      <c r="D53" s="14">
        <f t="array" ref="D53">IF(AND(INDEX('Thang 05-2026'!$A$3:$Q$102,MATCH(1,($A53='Thang 05-2026'!$A$3:$A$102)*($G53='Thang 05-2026'!$C$3:$C$102),0),11)=1,$B53="Triều Xuống"),1,IF(AND(INDEX('Thang 05-2026'!$A$3:$Q$102,MATCH(1,($A53='Thang 05-2026'!$A$3:$A$102)*($G53='Thang 05-2026'!$C$3:$C$102),0),10)=1,$B53="Triều Lên",INDEX('Thang 05-2026'!$A$3:$Q$102,MATCH(1,($A53='Thang 05-2026'!$A$3:$A$102)*($G53='Thang 05-2026'!$C$3:$C$102),0),11)=0),1,0))</f>
        <v>0</v>
      </c>
      <c r="E53" s="14">
        <f t="array" ref="E53">IF(AND(INDEX('Thang 05-2026'!$A$3:$Q$102,MATCH(1,($A53='Thang 05-2026'!$A$3:$A$102)*($G53='Thang 05-2026'!$C$3:$C$102),0),15)=1,$B53="Triều Xuống"),1,IF(AND(INDEX('Thang 05-2026'!$A$3:$Q$102,MATCH(1,($A53='Thang 05-2026'!$A$3:$A$102)*($G53='Thang 05-2026'!$C$3:$C$102),0),14)=1,$B53="Triều Lên",INDEX('Thang 05-2026'!$A$3:$Q$102,MATCH(1,($A53='Thang 05-2026'!$A$3:$A$102)*($G53='Thang 05-2026'!$C$3:$C$102),0),15)=0),1,0))</f>
        <v>0</v>
      </c>
      <c r="F53" s="14">
        <f t="shared" si="1"/>
        <v>0</v>
      </c>
      <c r="G53" s="14">
        <f>INDEX('Thang 05-2026'!$A$3:$C$102,MATCH(A53,'Thang 05-2026'!$A$3:$A$102,0),3)</f>
        <v>14</v>
      </c>
      <c r="H53" t="str">
        <f t="array" ref="H53">INDEX('TONG HOP DIA DIEM'!$A$2:$K$181,MATCH(1,($A53='TONG HOP DIA DIEM'!$A$2:$A$181)*($B53='TONG HOP DIA DIEM'!$B$2:$B$181),0),6)</f>
        <v>An Lộc - HCM_NM_AL - Triều Xuống</v>
      </c>
      <c r="I53" t="str">
        <f t="array" ref="I53">INDEX('TONG HOP DIA DIEM'!$A$2:$K$181,MATCH(1,($A53='TONG HOP DIA DIEM'!$A$2:$A$181)*($B53='TONG HOP DIA DIEM'!$B$2:$B$181),0),7)</f>
        <v>An Lộc - Triều Xuống</v>
      </c>
      <c r="J53">
        <f t="shared" si="2"/>
        <v>1</v>
      </c>
      <c r="K53">
        <f t="shared" si="3"/>
        <v>0</v>
      </c>
      <c r="L53">
        <f t="shared" si="4"/>
        <v>0</v>
      </c>
      <c r="M53">
        <f t="shared" si="5"/>
        <v>0</v>
      </c>
      <c r="N53">
        <f t="shared" si="6"/>
        <v>14</v>
      </c>
      <c r="O53" t="str">
        <f t="shared" si="7"/>
        <v/>
      </c>
      <c r="P53" t="str">
        <f t="shared" si="8"/>
        <v/>
      </c>
      <c r="Q53" t="str">
        <f t="shared" si="9"/>
        <v/>
      </c>
    </row>
    <row r="54" spans="1:17" x14ac:dyDescent="0.2">
      <c r="A54" s="14" t="s">
        <v>65</v>
      </c>
      <c r="B54" s="14" t="s">
        <v>121</v>
      </c>
      <c r="C54" s="14">
        <v>1</v>
      </c>
      <c r="D54" s="14">
        <f t="array" ref="D54">IF(AND(INDEX('Thang 05-2026'!$A$3:$Q$102,MATCH(1,($A54='Thang 05-2026'!$A$3:$A$102)*($G54='Thang 05-2026'!$C$3:$C$102),0),11)=1,$B54="Triều Xuống"),1,IF(AND(INDEX('Thang 05-2026'!$A$3:$Q$102,MATCH(1,($A54='Thang 05-2026'!$A$3:$A$102)*($G54='Thang 05-2026'!$C$3:$C$102),0),10)=1,$B54="Triều Lên",INDEX('Thang 05-2026'!$A$3:$Q$102,MATCH(1,($A54='Thang 05-2026'!$A$3:$A$102)*($G54='Thang 05-2026'!$C$3:$C$102),0),11)=0),1,0))</f>
        <v>0</v>
      </c>
      <c r="E54" s="14">
        <f t="array" ref="E54">IF(AND(INDEX('Thang 05-2026'!$A$3:$Q$102,MATCH(1,($A54='Thang 05-2026'!$A$3:$A$102)*($G54='Thang 05-2026'!$C$3:$C$102),0),15)=1,$B54="Triều Xuống"),1,IF(AND(INDEX('Thang 05-2026'!$A$3:$Q$102,MATCH(1,($A54='Thang 05-2026'!$A$3:$A$102)*($G54='Thang 05-2026'!$C$3:$C$102),0),14)=1,$B54="Triều Lên",INDEX('Thang 05-2026'!$A$3:$Q$102,MATCH(1,($A54='Thang 05-2026'!$A$3:$A$102)*($G54='Thang 05-2026'!$C$3:$C$102),0),15)=0),1,0))</f>
        <v>0</v>
      </c>
      <c r="F54" s="14">
        <f t="shared" si="1"/>
        <v>0</v>
      </c>
      <c r="G54" s="14">
        <f>INDEX('Thang 05-2026'!$A$3:$C$102,MATCH(A54,'Thang 05-2026'!$A$3:$A$102,0),3)</f>
        <v>14</v>
      </c>
      <c r="H54" t="str">
        <f t="array" ref="H54">INDEX('TONG HOP DIA DIEM'!$A$2:$K$181,MATCH(1,($A54='TONG HOP DIA DIEM'!$A$2:$A$181)*($B54='TONG HOP DIA DIEM'!$B$2:$B$181),0),6)</f>
        <v>Bến Cát - HCM_NM_BCa - Triều Xuống</v>
      </c>
      <c r="I54" t="str">
        <f t="array" ref="I54">INDEX('TONG HOP DIA DIEM'!$A$2:$K$181,MATCH(1,($A54='TONG HOP DIA DIEM'!$A$2:$A$181)*($B54='TONG HOP DIA DIEM'!$B$2:$B$181),0),7)</f>
        <v>Bến Cát - Triều Xuống</v>
      </c>
      <c r="J54">
        <f t="shared" si="2"/>
        <v>1</v>
      </c>
      <c r="K54">
        <f t="shared" si="3"/>
        <v>0</v>
      </c>
      <c r="L54">
        <f t="shared" si="4"/>
        <v>0</v>
      </c>
      <c r="M54">
        <f t="shared" si="5"/>
        <v>0</v>
      </c>
      <c r="N54">
        <f t="shared" si="6"/>
        <v>14</v>
      </c>
      <c r="O54" t="str">
        <f t="shared" si="7"/>
        <v/>
      </c>
      <c r="P54" t="str">
        <f t="shared" si="8"/>
        <v/>
      </c>
      <c r="Q54" t="str">
        <f t="shared" si="9"/>
        <v/>
      </c>
    </row>
    <row r="55" spans="1:17" x14ac:dyDescent="0.2">
      <c r="A55" s="14" t="s">
        <v>66</v>
      </c>
      <c r="B55" s="14" t="s">
        <v>121</v>
      </c>
      <c r="C55" s="14">
        <v>1</v>
      </c>
      <c r="D55" s="14">
        <f t="array" ref="D55">IF(AND(INDEX('Thang 05-2026'!$A$3:$Q$102,MATCH(1,($A55='Thang 05-2026'!$A$3:$A$102)*($G55='Thang 05-2026'!$C$3:$C$102),0),11)=1,$B55="Triều Xuống"),1,IF(AND(INDEX('Thang 05-2026'!$A$3:$Q$102,MATCH(1,($A55='Thang 05-2026'!$A$3:$A$102)*($G55='Thang 05-2026'!$C$3:$C$102),0),10)=1,$B55="Triều Lên",INDEX('Thang 05-2026'!$A$3:$Q$102,MATCH(1,($A55='Thang 05-2026'!$A$3:$A$102)*($G55='Thang 05-2026'!$C$3:$C$102),0),11)=0),1,0))</f>
        <v>0</v>
      </c>
      <c r="E55" s="14">
        <f t="array" ref="E55">IF(AND(INDEX('Thang 05-2026'!$A$3:$Q$102,MATCH(1,($A55='Thang 05-2026'!$A$3:$A$102)*($G55='Thang 05-2026'!$C$3:$C$102),0),15)=1,$B55="Triều Xuống"),1,IF(AND(INDEX('Thang 05-2026'!$A$3:$Q$102,MATCH(1,($A55='Thang 05-2026'!$A$3:$A$102)*($G55='Thang 05-2026'!$C$3:$C$102),0),14)=1,$B55="Triều Lên",INDEX('Thang 05-2026'!$A$3:$Q$102,MATCH(1,($A55='Thang 05-2026'!$A$3:$A$102)*($G55='Thang 05-2026'!$C$3:$C$102),0),15)=0),1,0))</f>
        <v>0</v>
      </c>
      <c r="F55" s="14">
        <f t="shared" si="1"/>
        <v>0</v>
      </c>
      <c r="G55" s="14">
        <f>INDEX('Thang 05-2026'!$A$3:$C$102,MATCH(A55,'Thang 05-2026'!$A$3:$A$102,0),3)</f>
        <v>14</v>
      </c>
      <c r="H55" t="str">
        <f t="array" ref="H55">INDEX('TONG HOP DIA DIEM'!$A$2:$K$181,MATCH(1,($A55='TONG HOP DIA DIEM'!$A$2:$A$181)*($B55='TONG HOP DIA DIEM'!$B$2:$B$181),0),6)</f>
        <v>Trường Đai - HCM_NM_TĐ - Triều Xuống</v>
      </c>
      <c r="I55" t="str">
        <f t="array" ref="I55">INDEX('TONG HOP DIA DIEM'!$A$2:$K$181,MATCH(1,($A55='TONG HOP DIA DIEM'!$A$2:$A$181)*($B55='TONG HOP DIA DIEM'!$B$2:$B$181),0),7)</f>
        <v>Trường Đai - Triều Xuống</v>
      </c>
      <c r="J55">
        <f t="shared" si="2"/>
        <v>1</v>
      </c>
      <c r="K55">
        <f t="shared" si="3"/>
        <v>0</v>
      </c>
      <c r="L55">
        <f t="shared" si="4"/>
        <v>0</v>
      </c>
      <c r="M55">
        <f t="shared" si="5"/>
        <v>0</v>
      </c>
      <c r="N55">
        <f t="shared" si="6"/>
        <v>14</v>
      </c>
      <c r="O55" t="str">
        <f t="shared" si="7"/>
        <v/>
      </c>
      <c r="P55" t="str">
        <f t="shared" si="8"/>
        <v/>
      </c>
      <c r="Q55" t="str">
        <f t="shared" si="9"/>
        <v/>
      </c>
    </row>
    <row r="56" spans="1:17" x14ac:dyDescent="0.2">
      <c r="A56" s="14" t="s">
        <v>67</v>
      </c>
      <c r="B56" s="14" t="s">
        <v>118</v>
      </c>
      <c r="C56" s="14">
        <v>1</v>
      </c>
      <c r="D56" s="14">
        <f t="array" ref="D56">IF(AND(INDEX('Thang 05-2026'!$A$3:$Q$102,MATCH(1,($A56='Thang 05-2026'!$A$3:$A$102)*($G56='Thang 05-2026'!$C$3:$C$102),0),11)=1,$B56="Triều Xuống"),1,IF(AND(INDEX('Thang 05-2026'!$A$3:$Q$102,MATCH(1,($A56='Thang 05-2026'!$A$3:$A$102)*($G56='Thang 05-2026'!$C$3:$C$102),0),10)=1,$B56="Triều Lên",INDEX('Thang 05-2026'!$A$3:$Q$102,MATCH(1,($A56='Thang 05-2026'!$A$3:$A$102)*($G56='Thang 05-2026'!$C$3:$C$102),0),11)=0),1,0))</f>
        <v>0</v>
      </c>
      <c r="E56" s="14">
        <f t="array" ref="E56">IF(AND(INDEX('Thang 05-2026'!$A$3:$Q$102,MATCH(1,($A56='Thang 05-2026'!$A$3:$A$102)*($G56='Thang 05-2026'!$C$3:$C$102),0),15)=1,$B56="Triều Xuống"),1,IF(AND(INDEX('Thang 05-2026'!$A$3:$Q$102,MATCH(1,($A56='Thang 05-2026'!$A$3:$A$102)*($G56='Thang 05-2026'!$C$3:$C$102),0),14)=1,$B56="Triều Lên",INDEX('Thang 05-2026'!$A$3:$Q$102,MATCH(1,($A56='Thang 05-2026'!$A$3:$A$102)*($G56='Thang 05-2026'!$C$3:$C$102),0),15)=0),1,0))</f>
        <v>1</v>
      </c>
      <c r="F56" s="14">
        <f t="shared" si="1"/>
        <v>2</v>
      </c>
      <c r="G56" s="14">
        <f>INDEX('Thang 05-2026'!$A$3:$C$102,MATCH(A56,'Thang 05-2026'!$A$3:$A$102,0),3)</f>
        <v>15</v>
      </c>
      <c r="H56" t="str">
        <f t="array" ref="H56">INDEX('TONG HOP DIA DIEM'!$A$2:$K$181,MATCH(1,($A56='TONG HOP DIA DIEM'!$A$2:$A$181)*($B56='TONG HOP DIA DIEM'!$B$2:$B$181),0),6)</f>
        <v>Chợ Cầu - HCM_NM_CC - Triều Lên</v>
      </c>
      <c r="I56" t="str">
        <f t="array" ref="I56">INDEX('TONG HOP DIA DIEM'!$A$2:$K$181,MATCH(1,($A56='TONG HOP DIA DIEM'!$A$2:$A$181)*($B56='TONG HOP DIA DIEM'!$B$2:$B$181),0),7)</f>
        <v>Chợ Cầu - Triều Lên</v>
      </c>
      <c r="J56">
        <f t="shared" si="2"/>
        <v>1</v>
      </c>
      <c r="K56">
        <f t="shared" si="3"/>
        <v>0</v>
      </c>
      <c r="L56">
        <f t="shared" si="4"/>
        <v>1</v>
      </c>
      <c r="M56">
        <f t="shared" si="5"/>
        <v>2</v>
      </c>
      <c r="N56">
        <f t="shared" si="6"/>
        <v>15</v>
      </c>
      <c r="O56" t="str">
        <f t="shared" si="7"/>
        <v/>
      </c>
      <c r="P56" t="str">
        <f t="shared" si="8"/>
        <v>Chợ Cầu - Triều Lên (QC - Mẫu trắng)</v>
      </c>
      <c r="Q56" t="str">
        <f t="shared" si="9"/>
        <v>Chợ Cầu - Triều Lên (QC - Mẫu lặp)</v>
      </c>
    </row>
    <row r="57" spans="1:17" x14ac:dyDescent="0.2">
      <c r="A57" s="14" t="s">
        <v>69</v>
      </c>
      <c r="B57" s="14" t="s">
        <v>118</v>
      </c>
      <c r="C57" s="14">
        <v>1</v>
      </c>
      <c r="D57" s="14">
        <f t="array" ref="D57">IF(AND(INDEX('Thang 05-2026'!$A$3:$Q$102,MATCH(1,($A57='Thang 05-2026'!$A$3:$A$102)*($G57='Thang 05-2026'!$C$3:$C$102),0),11)=1,$B57="Triều Xuống"),1,IF(AND(INDEX('Thang 05-2026'!$A$3:$Q$102,MATCH(1,($A57='Thang 05-2026'!$A$3:$A$102)*($G57='Thang 05-2026'!$C$3:$C$102),0),10)=1,$B57="Triều Lên",INDEX('Thang 05-2026'!$A$3:$Q$102,MATCH(1,($A57='Thang 05-2026'!$A$3:$A$102)*($G57='Thang 05-2026'!$C$3:$C$102),0),11)=0),1,0))</f>
        <v>0</v>
      </c>
      <c r="E57" s="14">
        <f t="array" ref="E57">IF(AND(INDEX('Thang 05-2026'!$A$3:$Q$102,MATCH(1,($A57='Thang 05-2026'!$A$3:$A$102)*($G57='Thang 05-2026'!$C$3:$C$102),0),15)=1,$B57="Triều Xuống"),1,IF(AND(INDEX('Thang 05-2026'!$A$3:$Q$102,MATCH(1,($A57='Thang 05-2026'!$A$3:$A$102)*($G57='Thang 05-2026'!$C$3:$C$102),0),14)=1,$B57="Triều Lên",INDEX('Thang 05-2026'!$A$3:$Q$102,MATCH(1,($A57='Thang 05-2026'!$A$3:$A$102)*($G57='Thang 05-2026'!$C$3:$C$102),0),15)=0),1,0))</f>
        <v>0</v>
      </c>
      <c r="F57" s="14">
        <f t="shared" si="1"/>
        <v>0</v>
      </c>
      <c r="G57" s="14">
        <f>INDEX('Thang 05-2026'!$A$3:$C$102,MATCH(A57,'Thang 05-2026'!$A$3:$A$102,0),3)</f>
        <v>15</v>
      </c>
      <c r="H57" t="str">
        <f t="array" ref="H57">INDEX('TONG HOP DIA DIEM'!$A$2:$K$181,MATCH(1,($A57='TONG HOP DIA DIEM'!$A$2:$A$181)*($B57='TONG HOP DIA DIEM'!$B$2:$B$181),0),6)</f>
        <v>Tham Lương - HCM_NM_TL - Triều Lên</v>
      </c>
      <c r="I57" t="str">
        <f t="array" ref="I57">INDEX('TONG HOP DIA DIEM'!$A$2:$K$181,MATCH(1,($A57='TONG HOP DIA DIEM'!$A$2:$A$181)*($B57='TONG HOP DIA DIEM'!$B$2:$B$181),0),7)</f>
        <v>Tham Lương - Triều Lên</v>
      </c>
      <c r="J57">
        <f t="shared" si="2"/>
        <v>1</v>
      </c>
      <c r="K57">
        <f t="shared" si="3"/>
        <v>0</v>
      </c>
      <c r="L57">
        <f t="shared" si="4"/>
        <v>0</v>
      </c>
      <c r="M57">
        <f t="shared" si="5"/>
        <v>0</v>
      </c>
      <c r="N57">
        <f t="shared" si="6"/>
        <v>15</v>
      </c>
      <c r="O57" t="str">
        <f t="shared" si="7"/>
        <v/>
      </c>
      <c r="P57" t="str">
        <f t="shared" si="8"/>
        <v/>
      </c>
      <c r="Q57" t="str">
        <f t="shared" si="9"/>
        <v/>
      </c>
    </row>
    <row r="58" spans="1:17" x14ac:dyDescent="0.2">
      <c r="A58" s="14" t="s">
        <v>70</v>
      </c>
      <c r="B58" s="14" t="s">
        <v>118</v>
      </c>
      <c r="C58" s="14">
        <v>1</v>
      </c>
      <c r="D58" s="14">
        <f t="array" ref="D58">IF(AND(INDEX('Thang 05-2026'!$A$3:$Q$102,MATCH(1,($A58='Thang 05-2026'!$A$3:$A$102)*($G58='Thang 05-2026'!$C$3:$C$102),0),11)=1,$B58="Triều Xuống"),1,IF(AND(INDEX('Thang 05-2026'!$A$3:$Q$102,MATCH(1,($A58='Thang 05-2026'!$A$3:$A$102)*($G58='Thang 05-2026'!$C$3:$C$102),0),10)=1,$B58="Triều Lên",INDEX('Thang 05-2026'!$A$3:$Q$102,MATCH(1,($A58='Thang 05-2026'!$A$3:$A$102)*($G58='Thang 05-2026'!$C$3:$C$102),0),11)=0),1,0))</f>
        <v>0</v>
      </c>
      <c r="E58" s="14">
        <f t="array" ref="E58">IF(AND(INDEX('Thang 05-2026'!$A$3:$Q$102,MATCH(1,($A58='Thang 05-2026'!$A$3:$A$102)*($G58='Thang 05-2026'!$C$3:$C$102),0),15)=1,$B58="Triều Xuống"),1,IF(AND(INDEX('Thang 05-2026'!$A$3:$Q$102,MATCH(1,($A58='Thang 05-2026'!$A$3:$A$102)*($G58='Thang 05-2026'!$C$3:$C$102),0),14)=1,$B58="Triều Lên",INDEX('Thang 05-2026'!$A$3:$Q$102,MATCH(1,($A58='Thang 05-2026'!$A$3:$A$102)*($G58='Thang 05-2026'!$C$3:$C$102),0),15)=0),1,0))</f>
        <v>0</v>
      </c>
      <c r="F58" s="14">
        <f t="shared" si="1"/>
        <v>0</v>
      </c>
      <c r="G58" s="14">
        <f>INDEX('Thang 05-2026'!$A$3:$C$102,MATCH(A58,'Thang 05-2026'!$A$3:$A$102,0),3)</f>
        <v>15</v>
      </c>
      <c r="H58" t="str">
        <f t="array" ref="H58">INDEX('TONG HOP DIA DIEM'!$A$2:$K$181,MATCH(1,($A58='TONG HOP DIA DIEM'!$A$2:$A$181)*($B58='TONG HOP DIA DIEM'!$B$2:$B$181),0),6)</f>
        <v>Cầu Bưng - HCM_NM_CB - Triều Lên</v>
      </c>
      <c r="I58" t="str">
        <f t="array" ref="I58">INDEX('TONG HOP DIA DIEM'!$A$2:$K$181,MATCH(1,($A58='TONG HOP DIA DIEM'!$A$2:$A$181)*($B58='TONG HOP DIA DIEM'!$B$2:$B$181),0),7)</f>
        <v>Cầu Bưng - Triều Lên</v>
      </c>
      <c r="J58">
        <f t="shared" si="2"/>
        <v>1</v>
      </c>
      <c r="K58">
        <f t="shared" si="3"/>
        <v>0</v>
      </c>
      <c r="L58">
        <f t="shared" si="4"/>
        <v>0</v>
      </c>
      <c r="M58">
        <f t="shared" si="5"/>
        <v>0</v>
      </c>
      <c r="N58">
        <f t="shared" si="6"/>
        <v>15</v>
      </c>
      <c r="O58" t="str">
        <f t="shared" si="7"/>
        <v/>
      </c>
      <c r="P58" t="str">
        <f t="shared" si="8"/>
        <v/>
      </c>
      <c r="Q58" t="str">
        <f t="shared" si="9"/>
        <v/>
      </c>
    </row>
    <row r="59" spans="1:17" x14ac:dyDescent="0.2">
      <c r="A59" s="14" t="s">
        <v>71</v>
      </c>
      <c r="B59" s="14" t="s">
        <v>118</v>
      </c>
      <c r="C59" s="14">
        <v>1</v>
      </c>
      <c r="D59" s="14">
        <f t="array" ref="D59">IF(AND(INDEX('Thang 05-2026'!$A$3:$Q$102,MATCH(1,($A59='Thang 05-2026'!$A$3:$A$102)*($G59='Thang 05-2026'!$C$3:$C$102),0),11)=1,$B59="Triều Xuống"),1,IF(AND(INDEX('Thang 05-2026'!$A$3:$Q$102,MATCH(1,($A59='Thang 05-2026'!$A$3:$A$102)*($G59='Thang 05-2026'!$C$3:$C$102),0),10)=1,$B59="Triều Lên",INDEX('Thang 05-2026'!$A$3:$Q$102,MATCH(1,($A59='Thang 05-2026'!$A$3:$A$102)*($G59='Thang 05-2026'!$C$3:$C$102),0),11)=0),1,0))</f>
        <v>1</v>
      </c>
      <c r="E59" s="14">
        <f t="array" ref="E59">IF(AND(INDEX('Thang 05-2026'!$A$3:$Q$102,MATCH(1,($A59='Thang 05-2026'!$A$3:$A$102)*($G59='Thang 05-2026'!$C$3:$C$102),0),15)=1,$B59="Triều Xuống"),1,IF(AND(INDEX('Thang 05-2026'!$A$3:$Q$102,MATCH(1,($A59='Thang 05-2026'!$A$3:$A$102)*($G59='Thang 05-2026'!$C$3:$C$102),0),14)=1,$B59="Triều Lên",INDEX('Thang 05-2026'!$A$3:$Q$102,MATCH(1,($A59='Thang 05-2026'!$A$3:$A$102)*($G59='Thang 05-2026'!$C$3:$C$102),0),15)=0),1,0))</f>
        <v>0</v>
      </c>
      <c r="F59" s="14">
        <f t="shared" si="1"/>
        <v>1</v>
      </c>
      <c r="G59" s="14">
        <f>INDEX('Thang 05-2026'!$A$3:$C$102,MATCH(A59,'Thang 05-2026'!$A$3:$A$102,0),3)</f>
        <v>15</v>
      </c>
      <c r="H59" t="str">
        <f t="array" ref="H59">INDEX('TONG HOP DIA DIEM'!$A$2:$K$181,MATCH(1,($A59='TONG HOP DIA DIEM'!$A$2:$A$181)*($B59='TONG HOP DIA DIEM'!$B$2:$B$181),0),6)</f>
        <v>CN1 - HCM_NM_CN1 - Triều Lên</v>
      </c>
      <c r="I59" t="str">
        <f t="array" ref="I59">INDEX('TONG HOP DIA DIEM'!$A$2:$K$181,MATCH(1,($A59='TONG HOP DIA DIEM'!$A$2:$A$181)*($B59='TONG HOP DIA DIEM'!$B$2:$B$181),0),7)</f>
        <v>CN1 - Triều Lên</v>
      </c>
      <c r="J59">
        <f t="shared" si="2"/>
        <v>1</v>
      </c>
      <c r="K59">
        <f t="shared" si="3"/>
        <v>1</v>
      </c>
      <c r="L59">
        <f t="shared" si="4"/>
        <v>0</v>
      </c>
      <c r="M59">
        <f t="shared" si="5"/>
        <v>1</v>
      </c>
      <c r="N59">
        <f t="shared" si="6"/>
        <v>15</v>
      </c>
      <c r="O59" t="str">
        <f t="shared" si="7"/>
        <v>CN1 - Triều Lên (QC - Mẫu lặp)</v>
      </c>
      <c r="P59" t="str">
        <f t="shared" si="8"/>
        <v/>
      </c>
      <c r="Q59" t="str">
        <f t="shared" si="9"/>
        <v/>
      </c>
    </row>
    <row r="60" spans="1:17" x14ac:dyDescent="0.2">
      <c r="A60" s="14" t="s">
        <v>67</v>
      </c>
      <c r="B60" s="14" t="s">
        <v>121</v>
      </c>
      <c r="C60" s="14">
        <v>1</v>
      </c>
      <c r="D60" s="14">
        <f t="array" ref="D60">IF(AND(INDEX('Thang 05-2026'!$A$3:$Q$102,MATCH(1,($A60='Thang 05-2026'!$A$3:$A$102)*($G60='Thang 05-2026'!$C$3:$C$102),0),11)=1,$B60="Triều Xuống"),1,IF(AND(INDEX('Thang 05-2026'!$A$3:$Q$102,MATCH(1,($A60='Thang 05-2026'!$A$3:$A$102)*($G60='Thang 05-2026'!$C$3:$C$102),0),10)=1,$B60="Triều Lên",INDEX('Thang 05-2026'!$A$3:$Q$102,MATCH(1,($A60='Thang 05-2026'!$A$3:$A$102)*($G60='Thang 05-2026'!$C$3:$C$102),0),11)=0),1,0))</f>
        <v>0</v>
      </c>
      <c r="E60" s="14">
        <f t="array" ref="E60">IF(AND(INDEX('Thang 05-2026'!$A$3:$Q$102,MATCH(1,($A60='Thang 05-2026'!$A$3:$A$102)*($G60='Thang 05-2026'!$C$3:$C$102),0),15)=1,$B60="Triều Xuống"),1,IF(AND(INDEX('Thang 05-2026'!$A$3:$Q$102,MATCH(1,($A60='Thang 05-2026'!$A$3:$A$102)*($G60='Thang 05-2026'!$C$3:$C$102),0),14)=1,$B60="Triều Lên",INDEX('Thang 05-2026'!$A$3:$Q$102,MATCH(1,($A60='Thang 05-2026'!$A$3:$A$102)*($G60='Thang 05-2026'!$C$3:$C$102),0),15)=0),1,0))</f>
        <v>0</v>
      </c>
      <c r="F60" s="14">
        <f t="shared" si="1"/>
        <v>0</v>
      </c>
      <c r="G60" s="14">
        <f>INDEX('Thang 05-2026'!$A$3:$C$102,MATCH(A60,'Thang 05-2026'!$A$3:$A$102,0),3)</f>
        <v>15</v>
      </c>
      <c r="H60" t="str">
        <f t="array" ref="H60">INDEX('TONG HOP DIA DIEM'!$A$2:$K$181,MATCH(1,($A60='TONG HOP DIA DIEM'!$A$2:$A$181)*($B60='TONG HOP DIA DIEM'!$B$2:$B$181),0),6)</f>
        <v>Chợ Cầu - HCM_NM_CC - Triều Xuống</v>
      </c>
      <c r="I60" t="str">
        <f t="array" ref="I60">INDEX('TONG HOP DIA DIEM'!$A$2:$K$181,MATCH(1,($A60='TONG HOP DIA DIEM'!$A$2:$A$181)*($B60='TONG HOP DIA DIEM'!$B$2:$B$181),0),7)</f>
        <v>Chợ Cầu - Triều Xuống</v>
      </c>
      <c r="J60">
        <f t="shared" si="2"/>
        <v>1</v>
      </c>
      <c r="K60">
        <f t="shared" si="3"/>
        <v>0</v>
      </c>
      <c r="L60">
        <f t="shared" si="4"/>
        <v>0</v>
      </c>
      <c r="M60">
        <f t="shared" si="5"/>
        <v>0</v>
      </c>
      <c r="N60">
        <f t="shared" si="6"/>
        <v>15</v>
      </c>
      <c r="O60" t="str">
        <f t="shared" si="7"/>
        <v/>
      </c>
      <c r="P60" t="str">
        <f t="shared" si="8"/>
        <v/>
      </c>
      <c r="Q60" t="str">
        <f t="shared" si="9"/>
        <v/>
      </c>
    </row>
    <row r="61" spans="1:17" x14ac:dyDescent="0.2">
      <c r="A61" s="14" t="s">
        <v>69</v>
      </c>
      <c r="B61" s="14" t="s">
        <v>121</v>
      </c>
      <c r="C61" s="14">
        <v>1</v>
      </c>
      <c r="D61" s="14">
        <f t="array" ref="D61">IF(AND(INDEX('Thang 05-2026'!$A$3:$Q$102,MATCH(1,($A61='Thang 05-2026'!$A$3:$A$102)*($G61='Thang 05-2026'!$C$3:$C$102),0),11)=1,$B61="Triều Xuống"),1,IF(AND(INDEX('Thang 05-2026'!$A$3:$Q$102,MATCH(1,($A61='Thang 05-2026'!$A$3:$A$102)*($G61='Thang 05-2026'!$C$3:$C$102),0),10)=1,$B61="Triều Lên",INDEX('Thang 05-2026'!$A$3:$Q$102,MATCH(1,($A61='Thang 05-2026'!$A$3:$A$102)*($G61='Thang 05-2026'!$C$3:$C$102),0),11)=0),1,0))</f>
        <v>0</v>
      </c>
      <c r="E61" s="14">
        <f t="array" ref="E61">IF(AND(INDEX('Thang 05-2026'!$A$3:$Q$102,MATCH(1,($A61='Thang 05-2026'!$A$3:$A$102)*($G61='Thang 05-2026'!$C$3:$C$102),0),15)=1,$B61="Triều Xuống"),1,IF(AND(INDEX('Thang 05-2026'!$A$3:$Q$102,MATCH(1,($A61='Thang 05-2026'!$A$3:$A$102)*($G61='Thang 05-2026'!$C$3:$C$102),0),14)=1,$B61="Triều Lên",INDEX('Thang 05-2026'!$A$3:$Q$102,MATCH(1,($A61='Thang 05-2026'!$A$3:$A$102)*($G61='Thang 05-2026'!$C$3:$C$102),0),15)=0),1,0))</f>
        <v>0</v>
      </c>
      <c r="F61" s="14">
        <f t="shared" si="1"/>
        <v>0</v>
      </c>
      <c r="G61" s="14">
        <f>INDEX('Thang 05-2026'!$A$3:$C$102,MATCH(A61,'Thang 05-2026'!$A$3:$A$102,0),3)</f>
        <v>15</v>
      </c>
      <c r="H61" t="str">
        <f t="array" ref="H61">INDEX('TONG HOP DIA DIEM'!$A$2:$K$181,MATCH(1,($A61='TONG HOP DIA DIEM'!$A$2:$A$181)*($B61='TONG HOP DIA DIEM'!$B$2:$B$181),0),6)</f>
        <v>Tham Lương - HCM_NM_TL - Triều Xuống</v>
      </c>
      <c r="I61" t="str">
        <f t="array" ref="I61">INDEX('TONG HOP DIA DIEM'!$A$2:$K$181,MATCH(1,($A61='TONG HOP DIA DIEM'!$A$2:$A$181)*($B61='TONG HOP DIA DIEM'!$B$2:$B$181),0),7)</f>
        <v>Tham Lương - Triều Xuống</v>
      </c>
      <c r="J61">
        <f t="shared" si="2"/>
        <v>1</v>
      </c>
      <c r="K61">
        <f t="shared" si="3"/>
        <v>0</v>
      </c>
      <c r="L61">
        <f t="shared" si="4"/>
        <v>0</v>
      </c>
      <c r="M61">
        <f t="shared" si="5"/>
        <v>0</v>
      </c>
      <c r="N61">
        <f t="shared" si="6"/>
        <v>15</v>
      </c>
      <c r="O61" t="str">
        <f t="shared" si="7"/>
        <v/>
      </c>
      <c r="P61" t="str">
        <f t="shared" si="8"/>
        <v/>
      </c>
      <c r="Q61" t="str">
        <f t="shared" si="9"/>
        <v/>
      </c>
    </row>
    <row r="62" spans="1:17" x14ac:dyDescent="0.2">
      <c r="A62" s="14" t="s">
        <v>70</v>
      </c>
      <c r="B62" s="14" t="s">
        <v>121</v>
      </c>
      <c r="C62" s="14">
        <v>1</v>
      </c>
      <c r="D62" s="14">
        <f t="array" ref="D62">IF(AND(INDEX('Thang 05-2026'!$A$3:$Q$102,MATCH(1,($A62='Thang 05-2026'!$A$3:$A$102)*($G62='Thang 05-2026'!$C$3:$C$102),0),11)=1,$B62="Triều Xuống"),1,IF(AND(INDEX('Thang 05-2026'!$A$3:$Q$102,MATCH(1,($A62='Thang 05-2026'!$A$3:$A$102)*($G62='Thang 05-2026'!$C$3:$C$102),0),10)=1,$B62="Triều Lên",INDEX('Thang 05-2026'!$A$3:$Q$102,MATCH(1,($A62='Thang 05-2026'!$A$3:$A$102)*($G62='Thang 05-2026'!$C$3:$C$102),0),11)=0),1,0))</f>
        <v>0</v>
      </c>
      <c r="E62" s="14">
        <f t="array" ref="E62">IF(AND(INDEX('Thang 05-2026'!$A$3:$Q$102,MATCH(1,($A62='Thang 05-2026'!$A$3:$A$102)*($G62='Thang 05-2026'!$C$3:$C$102),0),15)=1,$B62="Triều Xuống"),1,IF(AND(INDEX('Thang 05-2026'!$A$3:$Q$102,MATCH(1,($A62='Thang 05-2026'!$A$3:$A$102)*($G62='Thang 05-2026'!$C$3:$C$102),0),14)=1,$B62="Triều Lên",INDEX('Thang 05-2026'!$A$3:$Q$102,MATCH(1,($A62='Thang 05-2026'!$A$3:$A$102)*($G62='Thang 05-2026'!$C$3:$C$102),0),15)=0),1,0))</f>
        <v>0</v>
      </c>
      <c r="F62" s="14">
        <f t="shared" si="1"/>
        <v>0</v>
      </c>
      <c r="G62" s="14">
        <f>INDEX('Thang 05-2026'!$A$3:$C$102,MATCH(A62,'Thang 05-2026'!$A$3:$A$102,0),3)</f>
        <v>15</v>
      </c>
      <c r="H62" t="str">
        <f t="array" ref="H62">INDEX('TONG HOP DIA DIEM'!$A$2:$K$181,MATCH(1,($A62='TONG HOP DIA DIEM'!$A$2:$A$181)*($B62='TONG HOP DIA DIEM'!$B$2:$B$181),0),6)</f>
        <v>Cầu Bưng - HCM_NM_CB - Triều Xuống</v>
      </c>
      <c r="I62" t="str">
        <f t="array" ref="I62">INDEX('TONG HOP DIA DIEM'!$A$2:$K$181,MATCH(1,($A62='TONG HOP DIA DIEM'!$A$2:$A$181)*($B62='TONG HOP DIA DIEM'!$B$2:$B$181),0),7)</f>
        <v>Cầu Bưng - Triều Xuống</v>
      </c>
      <c r="J62">
        <f t="shared" si="2"/>
        <v>1</v>
      </c>
      <c r="K62">
        <f t="shared" si="3"/>
        <v>0</v>
      </c>
      <c r="L62">
        <f t="shared" si="4"/>
        <v>0</v>
      </c>
      <c r="M62">
        <f t="shared" si="5"/>
        <v>0</v>
      </c>
      <c r="N62">
        <f t="shared" si="6"/>
        <v>15</v>
      </c>
      <c r="O62" t="str">
        <f t="shared" si="7"/>
        <v/>
      </c>
      <c r="P62" t="str">
        <f t="shared" si="8"/>
        <v/>
      </c>
      <c r="Q62" t="str">
        <f t="shared" si="9"/>
        <v/>
      </c>
    </row>
    <row r="63" spans="1:17" x14ac:dyDescent="0.2">
      <c r="A63" s="14" t="s">
        <v>71</v>
      </c>
      <c r="B63" s="14" t="s">
        <v>121</v>
      </c>
      <c r="C63" s="14">
        <v>1</v>
      </c>
      <c r="D63" s="14">
        <f t="array" ref="D63">IF(AND(INDEX('Thang 05-2026'!$A$3:$Q$102,MATCH(1,($A63='Thang 05-2026'!$A$3:$A$102)*($G63='Thang 05-2026'!$C$3:$C$102),0),11)=1,$B63="Triều Xuống"),1,IF(AND(INDEX('Thang 05-2026'!$A$3:$Q$102,MATCH(1,($A63='Thang 05-2026'!$A$3:$A$102)*($G63='Thang 05-2026'!$C$3:$C$102),0),10)=1,$B63="Triều Lên",INDEX('Thang 05-2026'!$A$3:$Q$102,MATCH(1,($A63='Thang 05-2026'!$A$3:$A$102)*($G63='Thang 05-2026'!$C$3:$C$102),0),11)=0),1,0))</f>
        <v>0</v>
      </c>
      <c r="E63" s="14">
        <f t="array" ref="E63">IF(AND(INDEX('Thang 05-2026'!$A$3:$Q$102,MATCH(1,($A63='Thang 05-2026'!$A$3:$A$102)*($G63='Thang 05-2026'!$C$3:$C$102),0),15)=1,$B63="Triều Xuống"),1,IF(AND(INDEX('Thang 05-2026'!$A$3:$Q$102,MATCH(1,($A63='Thang 05-2026'!$A$3:$A$102)*($G63='Thang 05-2026'!$C$3:$C$102),0),14)=1,$B63="Triều Lên",INDEX('Thang 05-2026'!$A$3:$Q$102,MATCH(1,($A63='Thang 05-2026'!$A$3:$A$102)*($G63='Thang 05-2026'!$C$3:$C$102),0),15)=0),1,0))</f>
        <v>0</v>
      </c>
      <c r="F63" s="14">
        <f t="shared" si="1"/>
        <v>0</v>
      </c>
      <c r="G63" s="14">
        <f>INDEX('Thang 05-2026'!$A$3:$C$102,MATCH(A63,'Thang 05-2026'!$A$3:$A$102,0),3)</f>
        <v>15</v>
      </c>
      <c r="H63" t="str">
        <f t="array" ref="H63">INDEX('TONG HOP DIA DIEM'!$A$2:$K$181,MATCH(1,($A63='TONG HOP DIA DIEM'!$A$2:$A$181)*($B63='TONG HOP DIA DIEM'!$B$2:$B$181),0),6)</f>
        <v>CN1 - HCM_NM_CN1 - Triều Xuống</v>
      </c>
      <c r="I63" t="str">
        <f t="array" ref="I63">INDEX('TONG HOP DIA DIEM'!$A$2:$K$181,MATCH(1,($A63='TONG HOP DIA DIEM'!$A$2:$A$181)*($B63='TONG HOP DIA DIEM'!$B$2:$B$181),0),7)</f>
        <v>CN1 - Triều Xuống</v>
      </c>
      <c r="J63">
        <f t="shared" si="2"/>
        <v>1</v>
      </c>
      <c r="K63">
        <f t="shared" si="3"/>
        <v>0</v>
      </c>
      <c r="L63">
        <f t="shared" si="4"/>
        <v>0</v>
      </c>
      <c r="M63">
        <f t="shared" si="5"/>
        <v>0</v>
      </c>
      <c r="N63">
        <f t="shared" si="6"/>
        <v>15</v>
      </c>
      <c r="O63" t="str">
        <f t="shared" si="7"/>
        <v/>
      </c>
      <c r="P63" t="str">
        <f t="shared" si="8"/>
        <v/>
      </c>
      <c r="Q63" t="str">
        <f t="shared" si="9"/>
        <v/>
      </c>
    </row>
    <row r="64" spans="1:17" x14ac:dyDescent="0.2">
      <c r="A64" s="14" t="s">
        <v>129</v>
      </c>
      <c r="B64" s="15" t="s">
        <v>304</v>
      </c>
      <c r="C64" s="14">
        <v>1</v>
      </c>
      <c r="D64" s="14">
        <f t="array" ref="D64">IF(AND(INDEX('Thang 05-2026'!$A$3:$Q$102,MATCH(1,($A64='Thang 05-2026'!$A$3:$A$102)*($G64='Thang 05-2026'!$C$3:$C$102),0),11)=1,$B64="Triều Xuống"),1,IF(AND(INDEX('Thang 05-2026'!$A$3:$Q$102,MATCH(1,($A64='Thang 05-2026'!$A$3:$A$102)*($G64='Thang 05-2026'!$C$3:$C$102),0),10)=1,$B64="Triều Lên",INDEX('Thang 05-2026'!$A$3:$Q$102,MATCH(1,($A64='Thang 05-2026'!$A$3:$A$102)*($G64='Thang 05-2026'!$C$3:$C$102),0),11)=0),1,0))</f>
        <v>0</v>
      </c>
      <c r="E64" s="14">
        <f t="array" ref="E64">IF(AND(INDEX('Thang 05-2026'!$A$3:$Q$102,MATCH(1,($A64='Thang 05-2026'!$A$3:$A$102)*($G64='Thang 05-2026'!$C$3:$C$102),0),15)=1,$B64="Triều Xuống"),1,IF(AND(INDEX('Thang 05-2026'!$A$3:$Q$102,MATCH(1,($A64='Thang 05-2026'!$A$3:$A$102)*($G64='Thang 05-2026'!$C$3:$C$102),0),14)=1,$B64="Triều Lên",INDEX('Thang 05-2026'!$A$3:$Q$102,MATCH(1,($A64='Thang 05-2026'!$A$3:$A$102)*($G64='Thang 05-2026'!$C$3:$C$102),0),15)=0),1,0))</f>
        <v>0</v>
      </c>
      <c r="F64" s="14">
        <f t="shared" si="1"/>
        <v>0</v>
      </c>
      <c r="G64" s="14">
        <f>INDEX('Thang 05-2026'!$A$3:$C$102,MATCH(A64,'Thang 05-2026'!$A$3:$A$102,0),3)</f>
        <v>19</v>
      </c>
      <c r="H64" t="str">
        <f t="array" ref="H64">INDEX('TONG HOP DIA DIEM'!$A$2:$K$181,MATCH(1,($A64='TONG HOP DIA DIEM'!$A$2:$A$181)*($B64='TONG HOP DIA DIEM'!$B$2:$B$181),0),6)</f>
        <v>GCNM2 - HCM_NM_GCNM2 - 01</v>
      </c>
      <c r="I64" t="str">
        <f t="array" ref="I64">INDEX('TONG HOP DIA DIEM'!$A$2:$K$181,MATCH(1,($A64='TONG HOP DIA DIEM'!$A$2:$A$181)*($B64='TONG HOP DIA DIEM'!$B$2:$B$181),0),7)</f>
        <v>GCNM2 - 01</v>
      </c>
      <c r="J64">
        <f t="shared" si="2"/>
        <v>1</v>
      </c>
      <c r="K64">
        <f t="shared" si="3"/>
        <v>0</v>
      </c>
      <c r="L64">
        <f t="shared" si="4"/>
        <v>0</v>
      </c>
      <c r="M64">
        <f t="shared" si="5"/>
        <v>0</v>
      </c>
      <c r="N64">
        <f t="shared" si="6"/>
        <v>19</v>
      </c>
      <c r="O64" t="str">
        <f t="shared" si="7"/>
        <v/>
      </c>
      <c r="P64" t="str">
        <f t="shared" si="8"/>
        <v/>
      </c>
      <c r="Q64" t="str">
        <f t="shared" si="9"/>
        <v/>
      </c>
    </row>
    <row r="65" spans="1:17" x14ac:dyDescent="0.2">
      <c r="A65" s="14" t="s">
        <v>130</v>
      </c>
      <c r="B65" s="15" t="s">
        <v>304</v>
      </c>
      <c r="C65" s="14">
        <v>1</v>
      </c>
      <c r="D65" s="14">
        <f t="array" ref="D65">IF(AND(INDEX('Thang 05-2026'!$A$3:$Q$102,MATCH(1,($A65='Thang 05-2026'!$A$3:$A$102)*($G65='Thang 05-2026'!$C$3:$C$102),0),11)=1,$B65="Triều Xuống"),1,IF(AND(INDEX('Thang 05-2026'!$A$3:$Q$102,MATCH(1,($A65='Thang 05-2026'!$A$3:$A$102)*($G65='Thang 05-2026'!$C$3:$C$102),0),10)=1,$B65="Triều Lên",INDEX('Thang 05-2026'!$A$3:$Q$102,MATCH(1,($A65='Thang 05-2026'!$A$3:$A$102)*($G65='Thang 05-2026'!$C$3:$C$102),0),11)=0),1,0))</f>
        <v>0</v>
      </c>
      <c r="E65" s="14">
        <f t="array" ref="E65">IF(AND(INDEX('Thang 05-2026'!$A$3:$Q$102,MATCH(1,($A65='Thang 05-2026'!$A$3:$A$102)*($G65='Thang 05-2026'!$C$3:$C$102),0),15)=1,$B65="Triều Xuống"),1,IF(AND(INDEX('Thang 05-2026'!$A$3:$Q$102,MATCH(1,($A65='Thang 05-2026'!$A$3:$A$102)*($G65='Thang 05-2026'!$C$3:$C$102),0),14)=1,$B65="Triều Lên",INDEX('Thang 05-2026'!$A$3:$Q$102,MATCH(1,($A65='Thang 05-2026'!$A$3:$A$102)*($G65='Thang 05-2026'!$C$3:$C$102),0),15)=0),1,0))</f>
        <v>0</v>
      </c>
      <c r="F65" s="14">
        <f t="shared" si="1"/>
        <v>0</v>
      </c>
      <c r="G65" s="14">
        <f>INDEX('Thang 05-2026'!$A$3:$C$102,MATCH(A65,'Thang 05-2026'!$A$3:$A$102,0),3)</f>
        <v>19</v>
      </c>
      <c r="H65" t="str">
        <f t="array" ref="H65">INDEX('TONG HOP DIA DIEM'!$A$2:$K$181,MATCH(1,($A65='TONG HOP DIA DIEM'!$A$2:$A$181)*($B65='TONG HOP DIA DIEM'!$B$2:$B$181),0),6)</f>
        <v>GCNM3 - HCM_NM_GCNM3 - 01</v>
      </c>
      <c r="I65" t="str">
        <f t="array" ref="I65">INDEX('TONG HOP DIA DIEM'!$A$2:$K$181,MATCH(1,($A65='TONG HOP DIA DIEM'!$A$2:$A$181)*($B65='TONG HOP DIA DIEM'!$B$2:$B$181),0),7)</f>
        <v>GCNM3 - 01</v>
      </c>
      <c r="J65">
        <f t="shared" si="2"/>
        <v>1</v>
      </c>
      <c r="K65">
        <f t="shared" si="3"/>
        <v>0</v>
      </c>
      <c r="L65">
        <f t="shared" si="4"/>
        <v>0</v>
      </c>
      <c r="M65">
        <f t="shared" si="5"/>
        <v>0</v>
      </c>
      <c r="N65">
        <f t="shared" si="6"/>
        <v>19</v>
      </c>
      <c r="O65" t="str">
        <f t="shared" si="7"/>
        <v/>
      </c>
      <c r="P65" t="str">
        <f t="shared" si="8"/>
        <v/>
      </c>
      <c r="Q65" t="str">
        <f t="shared" si="9"/>
        <v/>
      </c>
    </row>
    <row r="66" spans="1:17" x14ac:dyDescent="0.2">
      <c r="A66" s="14" t="s">
        <v>73</v>
      </c>
      <c r="B66" s="14" t="s">
        <v>118</v>
      </c>
      <c r="C66" s="14">
        <v>1</v>
      </c>
      <c r="D66" s="14">
        <f t="array" ref="D66">IF(AND(INDEX('Thang 05-2026'!$A$3:$Q$102,MATCH(1,($A66='Thang 05-2026'!$A$3:$A$102)*($G66='Thang 05-2026'!$C$3:$C$102),0),11)=1,$B66="Triều Xuống"),1,IF(AND(INDEX('Thang 05-2026'!$A$3:$Q$102,MATCH(1,($A66='Thang 05-2026'!$A$3:$A$102)*($G66='Thang 05-2026'!$C$3:$C$102),0),10)=1,$B66="Triều Lên",INDEX('Thang 05-2026'!$A$3:$Q$102,MATCH(1,($A66='Thang 05-2026'!$A$3:$A$102)*($G66='Thang 05-2026'!$C$3:$C$102),0),11)=0),1,0))</f>
        <v>0</v>
      </c>
      <c r="E66" s="14">
        <f t="array" ref="E66">IF(AND(INDEX('Thang 05-2026'!$A$3:$Q$102,MATCH(1,($A66='Thang 05-2026'!$A$3:$A$102)*($G66='Thang 05-2026'!$C$3:$C$102),0),15)=1,$B66="Triều Xuống"),1,IF(AND(INDEX('Thang 05-2026'!$A$3:$Q$102,MATCH(1,($A66='Thang 05-2026'!$A$3:$A$102)*($G66='Thang 05-2026'!$C$3:$C$102),0),14)=1,$B66="Triều Lên",INDEX('Thang 05-2026'!$A$3:$Q$102,MATCH(1,($A66='Thang 05-2026'!$A$3:$A$102)*($G66='Thang 05-2026'!$C$3:$C$102),0),15)=0),1,0))</f>
        <v>0</v>
      </c>
      <c r="F66" s="14">
        <f t="shared" si="1"/>
        <v>0</v>
      </c>
      <c r="G66" s="14">
        <f>INDEX('Thang 05-2026'!$A$3:$C$102,MATCH(A66,'Thang 05-2026'!$A$3:$A$102,0),3)</f>
        <v>19</v>
      </c>
      <c r="H66" t="str">
        <f t="array" ref="H66">INDEX('TONG HOP DIA DIEM'!$A$2:$K$181,MATCH(1,($A66='TONG HOP DIA DIEM'!$A$2:$A$181)*($B66='TONG HOP DIA DIEM'!$B$2:$B$181),0),6)</f>
        <v>Cầu Bình Thuận - HCM_NM_BT2 - Triều Lên</v>
      </c>
      <c r="I66" t="str">
        <f t="array" ref="I66">INDEX('TONG HOP DIA DIEM'!$A$2:$K$181,MATCH(1,($A66='TONG HOP DIA DIEM'!$A$2:$A$181)*($B66='TONG HOP DIA DIEM'!$B$2:$B$181),0),7)</f>
        <v>Cầu Bình Thuận - Triều Lên</v>
      </c>
      <c r="J66">
        <f t="shared" si="2"/>
        <v>1</v>
      </c>
      <c r="K66">
        <f t="shared" si="3"/>
        <v>0</v>
      </c>
      <c r="L66">
        <f t="shared" si="4"/>
        <v>0</v>
      </c>
      <c r="M66">
        <f t="shared" si="5"/>
        <v>0</v>
      </c>
      <c r="N66">
        <f t="shared" si="6"/>
        <v>19</v>
      </c>
      <c r="O66" t="str">
        <f t="shared" si="7"/>
        <v/>
      </c>
      <c r="P66" t="str">
        <f t="shared" si="8"/>
        <v/>
      </c>
      <c r="Q66" t="str">
        <f t="shared" si="9"/>
        <v/>
      </c>
    </row>
    <row r="67" spans="1:17" x14ac:dyDescent="0.2">
      <c r="A67" s="14" t="s">
        <v>74</v>
      </c>
      <c r="B67" s="14" t="s">
        <v>118</v>
      </c>
      <c r="C67" s="14">
        <v>1</v>
      </c>
      <c r="D67" s="14">
        <f t="array" ref="D67">IF(AND(INDEX('Thang 05-2026'!$A$3:$Q$102,MATCH(1,($A67='Thang 05-2026'!$A$3:$A$102)*($G67='Thang 05-2026'!$C$3:$C$102),0),11)=1,$B67="Triều Xuống"),1,IF(AND(INDEX('Thang 05-2026'!$A$3:$Q$102,MATCH(1,($A67='Thang 05-2026'!$A$3:$A$102)*($G67='Thang 05-2026'!$C$3:$C$102),0),10)=1,$B67="Triều Lên",INDEX('Thang 05-2026'!$A$3:$Q$102,MATCH(1,($A67='Thang 05-2026'!$A$3:$A$102)*($G67='Thang 05-2026'!$C$3:$C$102),0),11)=0),1,0))</f>
        <v>0</v>
      </c>
      <c r="E67" s="14">
        <f t="array" ref="E67">IF(AND(INDEX('Thang 05-2026'!$A$3:$Q$102,MATCH(1,($A67='Thang 05-2026'!$A$3:$A$102)*($G67='Thang 05-2026'!$C$3:$C$102),0),15)=1,$B67="Triều Xuống"),1,IF(AND(INDEX('Thang 05-2026'!$A$3:$Q$102,MATCH(1,($A67='Thang 05-2026'!$A$3:$A$102)*($G67='Thang 05-2026'!$C$3:$C$102),0),14)=1,$B67="Triều Lên",INDEX('Thang 05-2026'!$A$3:$Q$102,MATCH(1,($A67='Thang 05-2026'!$A$3:$A$102)*($G67='Thang 05-2026'!$C$3:$C$102),0),15)=0),1,0))</f>
        <v>0</v>
      </c>
      <c r="F67" s="14">
        <f t="shared" ref="F67:F119" si="10">D67+E67+IF(E67&gt;0,1,0)</f>
        <v>0</v>
      </c>
      <c r="G67" s="14">
        <f>INDEX('Thang 05-2026'!$A$3:$C$102,MATCH(A67,'Thang 05-2026'!$A$3:$A$102,0),3)</f>
        <v>19</v>
      </c>
      <c r="H67" t="str">
        <f t="array" ref="H67">INDEX('TONG HOP DIA DIEM'!$A$2:$K$181,MATCH(1,($A67='TONG HOP DIA DIEM'!$A$2:$A$181)*($B67='TONG HOP DIA DIEM'!$B$2:$B$181),0),6)</f>
        <v>Nước Đen - HCM_NM_NĐ - Triều Lên</v>
      </c>
      <c r="I67" t="str">
        <f t="array" ref="I67">INDEX('TONG HOP DIA DIEM'!$A$2:$K$181,MATCH(1,($A67='TONG HOP DIA DIEM'!$A$2:$A$181)*($B67='TONG HOP DIA DIEM'!$B$2:$B$181),0),7)</f>
        <v>Nước Đen - Triều Lên</v>
      </c>
      <c r="J67">
        <f t="shared" ref="J67:J119" si="11">C67</f>
        <v>1</v>
      </c>
      <c r="K67">
        <f t="shared" ref="K67:K119" si="12">D67</f>
        <v>0</v>
      </c>
      <c r="L67">
        <f t="shared" ref="L67:L119" si="13">E67</f>
        <v>0</v>
      </c>
      <c r="M67">
        <f t="shared" ref="M67:M119" si="14">F67</f>
        <v>0</v>
      </c>
      <c r="N67">
        <f t="shared" ref="N67:N119" si="15">G67</f>
        <v>19</v>
      </c>
      <c r="O67" t="str">
        <f t="shared" ref="O67:O119" si="16">IF(K67=1,I67&amp;" (QC - Mẫu lặp)","")</f>
        <v/>
      </c>
      <c r="P67" t="str">
        <f t="shared" ref="P67:P119" si="17">IF(L67=1,I67&amp;" (QC - Mẫu trắng)","")</f>
        <v/>
      </c>
      <c r="Q67" t="str">
        <f t="shared" ref="Q67:Q119" si="18">IF(L67=1,I67&amp;" (QC - Mẫu lặp)","")</f>
        <v/>
      </c>
    </row>
    <row r="68" spans="1:17" x14ac:dyDescent="0.2">
      <c r="A68" s="14" t="s">
        <v>75</v>
      </c>
      <c r="B68" s="14" t="s">
        <v>118</v>
      </c>
      <c r="C68" s="14">
        <v>1</v>
      </c>
      <c r="D68" s="14">
        <f t="array" ref="D68">IF(AND(INDEX('Thang 05-2026'!$A$3:$Q$102,MATCH(1,($A68='Thang 05-2026'!$A$3:$A$102)*($G68='Thang 05-2026'!$C$3:$C$102),0),11)=1,$B68="Triều Xuống"),1,IF(AND(INDEX('Thang 05-2026'!$A$3:$Q$102,MATCH(1,($A68='Thang 05-2026'!$A$3:$A$102)*($G68='Thang 05-2026'!$C$3:$C$102),0),10)=1,$B68="Triều Lên",INDEX('Thang 05-2026'!$A$3:$Q$102,MATCH(1,($A68='Thang 05-2026'!$A$3:$A$102)*($G68='Thang 05-2026'!$C$3:$C$102),0),11)=0),1,0))</f>
        <v>0</v>
      </c>
      <c r="E68" s="14">
        <f t="array" ref="E68">IF(AND(INDEX('Thang 05-2026'!$A$3:$Q$102,MATCH(1,($A68='Thang 05-2026'!$A$3:$A$102)*($G68='Thang 05-2026'!$C$3:$C$102),0),15)=1,$B68="Triều Xuống"),1,IF(AND(INDEX('Thang 05-2026'!$A$3:$Q$102,MATCH(1,($A68='Thang 05-2026'!$A$3:$A$102)*($G68='Thang 05-2026'!$C$3:$C$102),0),14)=1,$B68="Triều Lên",INDEX('Thang 05-2026'!$A$3:$Q$102,MATCH(1,($A68='Thang 05-2026'!$A$3:$A$102)*($G68='Thang 05-2026'!$C$3:$C$102),0),15)=0),1,0))</f>
        <v>0</v>
      </c>
      <c r="F68" s="14">
        <f t="shared" si="10"/>
        <v>0</v>
      </c>
      <c r="G68" s="14">
        <f>INDEX('Thang 05-2026'!$A$3:$C$102,MATCH(A68,'Thang 05-2026'!$A$3:$A$102,0),3)</f>
        <v>19</v>
      </c>
      <c r="H68" t="str">
        <f t="array" ref="H68">INDEX('TONG HOP DIA DIEM'!$A$2:$K$181,MATCH(1,($A68='TONG HOP DIA DIEM'!$A$2:$A$181)*($B68='TONG HOP DIA DIEM'!$B$2:$B$181),0),6)</f>
        <v>Cầu Sông Chùa - HCM_NM_CSC - Triều Lên</v>
      </c>
      <c r="I68" t="str">
        <f t="array" ref="I68">INDEX('TONG HOP DIA DIEM'!$A$2:$K$181,MATCH(1,($A68='TONG HOP DIA DIEM'!$A$2:$A$181)*($B68='TONG HOP DIA DIEM'!$B$2:$B$181),0),7)</f>
        <v>Cầu Sông Chùa - Triều Lên</v>
      </c>
      <c r="J68">
        <f t="shared" si="11"/>
        <v>1</v>
      </c>
      <c r="K68">
        <f t="shared" si="12"/>
        <v>0</v>
      </c>
      <c r="L68">
        <f t="shared" si="13"/>
        <v>0</v>
      </c>
      <c r="M68">
        <f t="shared" si="14"/>
        <v>0</v>
      </c>
      <c r="N68">
        <f t="shared" si="15"/>
        <v>19</v>
      </c>
      <c r="O68" t="str">
        <f t="shared" si="16"/>
        <v/>
      </c>
      <c r="P68" t="str">
        <f t="shared" si="17"/>
        <v/>
      </c>
      <c r="Q68" t="str">
        <f t="shared" si="18"/>
        <v/>
      </c>
    </row>
    <row r="69" spans="1:17" x14ac:dyDescent="0.2">
      <c r="A69" s="14" t="s">
        <v>129</v>
      </c>
      <c r="B69" s="15" t="s">
        <v>377</v>
      </c>
      <c r="C69" s="14">
        <v>1</v>
      </c>
      <c r="D69" s="14">
        <f t="array" ref="D69">IF(AND(INDEX('Thang 05-2026'!$A$3:$Q$102,MATCH(1,($A69='Thang 05-2026'!$A$3:$A$102)*($G69='Thang 05-2026'!$C$3:$C$102),0),11)=1,$B69="Triều Xuống"),1,IF(AND(INDEX('Thang 05-2026'!$A$3:$Q$102,MATCH(1,($A69='Thang 05-2026'!$A$3:$A$102)*($G69='Thang 05-2026'!$C$3:$C$102),0),10)=1,$B69="Triều Lên",INDEX('Thang 05-2026'!$A$3:$Q$102,MATCH(1,($A69='Thang 05-2026'!$A$3:$A$102)*($G69='Thang 05-2026'!$C$3:$C$102),0),11)=0),1,0))</f>
        <v>0</v>
      </c>
      <c r="E69" s="14">
        <f t="array" ref="E69">IF(AND(INDEX('Thang 05-2026'!$A$3:$Q$102,MATCH(1,($A69='Thang 05-2026'!$A$3:$A$102)*($G69='Thang 05-2026'!$C$3:$C$102),0),15)=1,$B69="Triều Xuống"),1,IF(AND(INDEX('Thang 05-2026'!$A$3:$Q$102,MATCH(1,($A69='Thang 05-2026'!$A$3:$A$102)*($G69='Thang 05-2026'!$C$3:$C$102),0),14)=1,$B69="Triều Lên",INDEX('Thang 05-2026'!$A$3:$Q$102,MATCH(1,($A69='Thang 05-2026'!$A$3:$A$102)*($G69='Thang 05-2026'!$C$3:$C$102),0),15)=0),1,0))</f>
        <v>0</v>
      </c>
      <c r="F69" s="14">
        <f t="shared" si="10"/>
        <v>0</v>
      </c>
      <c r="G69" s="14">
        <f>INDEX('Thang 05-2026'!$A$3:$C$102,MATCH(A69,'Thang 05-2026'!$A$3:$A$102,0),3)</f>
        <v>19</v>
      </c>
      <c r="H69" t="str">
        <f t="array" ref="H69">INDEX('TONG HOP DIA DIEM'!$A$2:$K$181,MATCH(1,($A69='TONG HOP DIA DIEM'!$A$2:$A$181)*($B69='TONG HOP DIA DIEM'!$B$2:$B$181),0),6)</f>
        <v>GCNM2 - HCM_NM_GCNM2 - 02</v>
      </c>
      <c r="I69" t="str">
        <f t="array" ref="I69">INDEX('TONG HOP DIA DIEM'!$A$2:$K$181,MATCH(1,($A69='TONG HOP DIA DIEM'!$A$2:$A$181)*($B69='TONG HOP DIA DIEM'!$B$2:$B$181),0),7)</f>
        <v>GCNM2 - 02</v>
      </c>
      <c r="J69">
        <f t="shared" si="11"/>
        <v>1</v>
      </c>
      <c r="K69">
        <f t="shared" si="12"/>
        <v>0</v>
      </c>
      <c r="L69">
        <f t="shared" si="13"/>
        <v>0</v>
      </c>
      <c r="M69">
        <f t="shared" si="14"/>
        <v>0</v>
      </c>
      <c r="N69">
        <f t="shared" si="15"/>
        <v>19</v>
      </c>
      <c r="O69" t="str">
        <f t="shared" si="16"/>
        <v/>
      </c>
      <c r="P69" t="str">
        <f t="shared" si="17"/>
        <v/>
      </c>
      <c r="Q69" t="str">
        <f t="shared" si="18"/>
        <v/>
      </c>
    </row>
    <row r="70" spans="1:17" x14ac:dyDescent="0.2">
      <c r="A70" s="14" t="s">
        <v>130</v>
      </c>
      <c r="B70" s="15" t="s">
        <v>377</v>
      </c>
      <c r="C70" s="14">
        <v>1</v>
      </c>
      <c r="D70" s="14">
        <f t="array" ref="D70">IF(AND(INDEX('Thang 05-2026'!$A$3:$Q$102,MATCH(1,($A70='Thang 05-2026'!$A$3:$A$102)*($G70='Thang 05-2026'!$C$3:$C$102),0),11)=1,$B70="Triều Xuống"),1,IF(AND(INDEX('Thang 05-2026'!$A$3:$Q$102,MATCH(1,($A70='Thang 05-2026'!$A$3:$A$102)*($G70='Thang 05-2026'!$C$3:$C$102),0),10)=1,$B70="Triều Lên",INDEX('Thang 05-2026'!$A$3:$Q$102,MATCH(1,($A70='Thang 05-2026'!$A$3:$A$102)*($G70='Thang 05-2026'!$C$3:$C$102),0),11)=0),1,0))</f>
        <v>0</v>
      </c>
      <c r="E70" s="14">
        <f t="array" ref="E70">IF(AND(INDEX('Thang 05-2026'!$A$3:$Q$102,MATCH(1,($A70='Thang 05-2026'!$A$3:$A$102)*($G70='Thang 05-2026'!$C$3:$C$102),0),15)=1,$B70="Triều Xuống"),1,IF(AND(INDEX('Thang 05-2026'!$A$3:$Q$102,MATCH(1,($A70='Thang 05-2026'!$A$3:$A$102)*($G70='Thang 05-2026'!$C$3:$C$102),0),14)=1,$B70="Triều Lên",INDEX('Thang 05-2026'!$A$3:$Q$102,MATCH(1,($A70='Thang 05-2026'!$A$3:$A$102)*($G70='Thang 05-2026'!$C$3:$C$102),0),15)=0),1,0))</f>
        <v>0</v>
      </c>
      <c r="F70" s="14">
        <f t="shared" si="10"/>
        <v>0</v>
      </c>
      <c r="G70" s="14">
        <f>INDEX('Thang 05-2026'!$A$3:$C$102,MATCH(A70,'Thang 05-2026'!$A$3:$A$102,0),3)</f>
        <v>19</v>
      </c>
      <c r="H70" t="str">
        <f t="array" ref="H70">INDEX('TONG HOP DIA DIEM'!$A$2:$K$181,MATCH(1,($A70='TONG HOP DIA DIEM'!$A$2:$A$181)*($B70='TONG HOP DIA DIEM'!$B$2:$B$181),0),6)</f>
        <v>GCNM3 - HCM_NM_GCNM3 - 02</v>
      </c>
      <c r="I70" t="str">
        <f t="array" ref="I70">INDEX('TONG HOP DIA DIEM'!$A$2:$K$181,MATCH(1,($A70='TONG HOP DIA DIEM'!$A$2:$A$181)*($B70='TONG HOP DIA DIEM'!$B$2:$B$181),0),7)</f>
        <v>GCNM3 - 02</v>
      </c>
      <c r="J70">
        <f t="shared" si="11"/>
        <v>1</v>
      </c>
      <c r="K70">
        <f t="shared" si="12"/>
        <v>0</v>
      </c>
      <c r="L70">
        <f t="shared" si="13"/>
        <v>0</v>
      </c>
      <c r="M70">
        <f t="shared" si="14"/>
        <v>0</v>
      </c>
      <c r="N70">
        <f t="shared" si="15"/>
        <v>19</v>
      </c>
      <c r="O70" t="str">
        <f t="shared" si="16"/>
        <v/>
      </c>
      <c r="P70" t="str">
        <f t="shared" si="17"/>
        <v/>
      </c>
      <c r="Q70" t="str">
        <f t="shared" si="18"/>
        <v/>
      </c>
    </row>
    <row r="71" spans="1:17" x14ac:dyDescent="0.2">
      <c r="A71" s="14" t="s">
        <v>73</v>
      </c>
      <c r="B71" s="14" t="s">
        <v>121</v>
      </c>
      <c r="C71" s="14">
        <v>1</v>
      </c>
      <c r="D71" s="14">
        <f t="array" ref="D71">IF(AND(INDEX('Thang 05-2026'!$A$3:$Q$102,MATCH(1,($A71='Thang 05-2026'!$A$3:$A$102)*($G71='Thang 05-2026'!$C$3:$C$102),0),11)=1,$B71="Triều Xuống"),1,IF(AND(INDEX('Thang 05-2026'!$A$3:$Q$102,MATCH(1,($A71='Thang 05-2026'!$A$3:$A$102)*($G71='Thang 05-2026'!$C$3:$C$102),0),10)=1,$B71="Triều Lên",INDEX('Thang 05-2026'!$A$3:$Q$102,MATCH(1,($A71='Thang 05-2026'!$A$3:$A$102)*($G71='Thang 05-2026'!$C$3:$C$102),0),11)=0),1,0))</f>
        <v>0</v>
      </c>
      <c r="E71" s="14">
        <f t="array" ref="E71">IF(AND(INDEX('Thang 05-2026'!$A$3:$Q$102,MATCH(1,($A71='Thang 05-2026'!$A$3:$A$102)*($G71='Thang 05-2026'!$C$3:$C$102),0),15)=1,$B71="Triều Xuống"),1,IF(AND(INDEX('Thang 05-2026'!$A$3:$Q$102,MATCH(1,($A71='Thang 05-2026'!$A$3:$A$102)*($G71='Thang 05-2026'!$C$3:$C$102),0),14)=1,$B71="Triều Lên",INDEX('Thang 05-2026'!$A$3:$Q$102,MATCH(1,($A71='Thang 05-2026'!$A$3:$A$102)*($G71='Thang 05-2026'!$C$3:$C$102),0),15)=0),1,0))</f>
        <v>0</v>
      </c>
      <c r="F71" s="14">
        <f t="shared" si="10"/>
        <v>0</v>
      </c>
      <c r="G71" s="14">
        <f>INDEX('Thang 05-2026'!$A$3:$C$102,MATCH(A71,'Thang 05-2026'!$A$3:$A$102,0),3)</f>
        <v>19</v>
      </c>
      <c r="H71" t="str">
        <f t="array" ref="H71">INDEX('TONG HOP DIA DIEM'!$A$2:$K$181,MATCH(1,($A71='TONG HOP DIA DIEM'!$A$2:$A$181)*($B71='TONG HOP DIA DIEM'!$B$2:$B$181),0),6)</f>
        <v>Cầu Bình Thuận - HCM_NM_BT2 - Triều Xuống</v>
      </c>
      <c r="I71" t="str">
        <f t="array" ref="I71">INDEX('TONG HOP DIA DIEM'!$A$2:$K$181,MATCH(1,($A71='TONG HOP DIA DIEM'!$A$2:$A$181)*($B71='TONG HOP DIA DIEM'!$B$2:$B$181),0),7)</f>
        <v>Cầu Bình Thuận - Triều Xuống</v>
      </c>
      <c r="J71">
        <f t="shared" si="11"/>
        <v>1</v>
      </c>
      <c r="K71">
        <f t="shared" si="12"/>
        <v>0</v>
      </c>
      <c r="L71">
        <f t="shared" si="13"/>
        <v>0</v>
      </c>
      <c r="M71">
        <f t="shared" si="14"/>
        <v>0</v>
      </c>
      <c r="N71">
        <f t="shared" si="15"/>
        <v>19</v>
      </c>
      <c r="O71" t="str">
        <f t="shared" si="16"/>
        <v/>
      </c>
      <c r="P71" t="str">
        <f t="shared" si="17"/>
        <v/>
      </c>
      <c r="Q71" t="str">
        <f t="shared" si="18"/>
        <v/>
      </c>
    </row>
    <row r="72" spans="1:17" x14ac:dyDescent="0.2">
      <c r="A72" s="14" t="s">
        <v>74</v>
      </c>
      <c r="B72" s="14" t="s">
        <v>121</v>
      </c>
      <c r="C72" s="14">
        <v>1</v>
      </c>
      <c r="D72" s="14">
        <f t="array" ref="D72">IF(AND(INDEX('Thang 05-2026'!$A$3:$Q$102,MATCH(1,($A72='Thang 05-2026'!$A$3:$A$102)*($G72='Thang 05-2026'!$C$3:$C$102),0),11)=1,$B72="Triều Xuống"),1,IF(AND(INDEX('Thang 05-2026'!$A$3:$Q$102,MATCH(1,($A72='Thang 05-2026'!$A$3:$A$102)*($G72='Thang 05-2026'!$C$3:$C$102),0),10)=1,$B72="Triều Lên",INDEX('Thang 05-2026'!$A$3:$Q$102,MATCH(1,($A72='Thang 05-2026'!$A$3:$A$102)*($G72='Thang 05-2026'!$C$3:$C$102),0),11)=0),1,0))</f>
        <v>0</v>
      </c>
      <c r="E72" s="14">
        <f t="array" ref="E72">IF(AND(INDEX('Thang 05-2026'!$A$3:$Q$102,MATCH(1,($A72='Thang 05-2026'!$A$3:$A$102)*($G72='Thang 05-2026'!$C$3:$C$102),0),15)=1,$B72="Triều Xuống"),1,IF(AND(INDEX('Thang 05-2026'!$A$3:$Q$102,MATCH(1,($A72='Thang 05-2026'!$A$3:$A$102)*($G72='Thang 05-2026'!$C$3:$C$102),0),14)=1,$B72="Triều Lên",INDEX('Thang 05-2026'!$A$3:$Q$102,MATCH(1,($A72='Thang 05-2026'!$A$3:$A$102)*($G72='Thang 05-2026'!$C$3:$C$102),0),15)=0),1,0))</f>
        <v>0</v>
      </c>
      <c r="F72" s="14">
        <f t="shared" si="10"/>
        <v>0</v>
      </c>
      <c r="G72" s="14">
        <f>INDEX('Thang 05-2026'!$A$3:$C$102,MATCH(A72,'Thang 05-2026'!$A$3:$A$102,0),3)</f>
        <v>19</v>
      </c>
      <c r="H72" t="str">
        <f t="array" ref="H72">INDEX('TONG HOP DIA DIEM'!$A$2:$K$181,MATCH(1,($A72='TONG HOP DIA DIEM'!$A$2:$A$181)*($B72='TONG HOP DIA DIEM'!$B$2:$B$181),0),6)</f>
        <v>Nước Đen - HCM_NM_NĐ - Triều Xuống</v>
      </c>
      <c r="I72" t="str">
        <f t="array" ref="I72">INDEX('TONG HOP DIA DIEM'!$A$2:$K$181,MATCH(1,($A72='TONG HOP DIA DIEM'!$A$2:$A$181)*($B72='TONG HOP DIA DIEM'!$B$2:$B$181),0),7)</f>
        <v>Nước Đen - Triều Xuống</v>
      </c>
      <c r="J72">
        <f t="shared" si="11"/>
        <v>1</v>
      </c>
      <c r="K72">
        <f t="shared" si="12"/>
        <v>0</v>
      </c>
      <c r="L72">
        <f t="shared" si="13"/>
        <v>0</v>
      </c>
      <c r="M72">
        <f t="shared" si="14"/>
        <v>0</v>
      </c>
      <c r="N72">
        <f t="shared" si="15"/>
        <v>19</v>
      </c>
      <c r="O72" t="str">
        <f t="shared" si="16"/>
        <v/>
      </c>
      <c r="P72" t="str">
        <f t="shared" si="17"/>
        <v/>
      </c>
      <c r="Q72" t="str">
        <f t="shared" si="18"/>
        <v/>
      </c>
    </row>
    <row r="73" spans="1:17" x14ac:dyDescent="0.2">
      <c r="A73" s="14" t="s">
        <v>75</v>
      </c>
      <c r="B73" s="14" t="s">
        <v>121</v>
      </c>
      <c r="C73" s="14">
        <v>1</v>
      </c>
      <c r="D73" s="14">
        <f t="array" ref="D73">IF(AND(INDEX('Thang 05-2026'!$A$3:$Q$102,MATCH(1,($A73='Thang 05-2026'!$A$3:$A$102)*($G73='Thang 05-2026'!$C$3:$C$102),0),11)=1,$B73="Triều Xuống"),1,IF(AND(INDEX('Thang 05-2026'!$A$3:$Q$102,MATCH(1,($A73='Thang 05-2026'!$A$3:$A$102)*($G73='Thang 05-2026'!$C$3:$C$102),0),10)=1,$B73="Triều Lên",INDEX('Thang 05-2026'!$A$3:$Q$102,MATCH(1,($A73='Thang 05-2026'!$A$3:$A$102)*($G73='Thang 05-2026'!$C$3:$C$102),0),11)=0),1,0))</f>
        <v>0</v>
      </c>
      <c r="E73" s="14">
        <f t="array" ref="E73">IF(AND(INDEX('Thang 05-2026'!$A$3:$Q$102,MATCH(1,($A73='Thang 05-2026'!$A$3:$A$102)*($G73='Thang 05-2026'!$C$3:$C$102),0),15)=1,$B73="Triều Xuống"),1,IF(AND(INDEX('Thang 05-2026'!$A$3:$Q$102,MATCH(1,($A73='Thang 05-2026'!$A$3:$A$102)*($G73='Thang 05-2026'!$C$3:$C$102),0),14)=1,$B73="Triều Lên",INDEX('Thang 05-2026'!$A$3:$Q$102,MATCH(1,($A73='Thang 05-2026'!$A$3:$A$102)*($G73='Thang 05-2026'!$C$3:$C$102),0),15)=0),1,0))</f>
        <v>0</v>
      </c>
      <c r="F73" s="14">
        <f t="shared" si="10"/>
        <v>0</v>
      </c>
      <c r="G73" s="14">
        <f>INDEX('Thang 05-2026'!$A$3:$C$102,MATCH(A73,'Thang 05-2026'!$A$3:$A$102,0),3)</f>
        <v>19</v>
      </c>
      <c r="H73" t="str">
        <f t="array" ref="H73">INDEX('TONG HOP DIA DIEM'!$A$2:$K$181,MATCH(1,($A73='TONG HOP DIA DIEM'!$A$2:$A$181)*($B73='TONG HOP DIA DIEM'!$B$2:$B$181),0),6)</f>
        <v>Cầu Sông Chùa - HCM_NM_CSC - Triều Xuống</v>
      </c>
      <c r="I73" t="str">
        <f t="array" ref="I73">INDEX('TONG HOP DIA DIEM'!$A$2:$K$181,MATCH(1,($A73='TONG HOP DIA DIEM'!$A$2:$A$181)*($B73='TONG HOP DIA DIEM'!$B$2:$B$181),0),7)</f>
        <v>Cầu Sông Chùa - Triều Xuống</v>
      </c>
      <c r="J73">
        <f t="shared" si="11"/>
        <v>1</v>
      </c>
      <c r="K73">
        <f t="shared" si="12"/>
        <v>0</v>
      </c>
      <c r="L73">
        <f t="shared" si="13"/>
        <v>0</v>
      </c>
      <c r="M73">
        <f t="shared" si="14"/>
        <v>0</v>
      </c>
      <c r="N73">
        <f t="shared" si="15"/>
        <v>19</v>
      </c>
      <c r="O73" t="str">
        <f t="shared" si="16"/>
        <v/>
      </c>
      <c r="P73" t="str">
        <f t="shared" si="17"/>
        <v/>
      </c>
      <c r="Q73" t="str">
        <f t="shared" si="18"/>
        <v/>
      </c>
    </row>
    <row r="74" spans="1:17" x14ac:dyDescent="0.2">
      <c r="A74" s="14" t="s">
        <v>76</v>
      </c>
      <c r="B74" s="14" t="s">
        <v>118</v>
      </c>
      <c r="C74" s="14">
        <v>1</v>
      </c>
      <c r="D74" s="14">
        <f t="array" ref="D74">IF(AND(INDEX('Thang 05-2026'!$A$3:$Q$102,MATCH(1,($A74='Thang 05-2026'!$A$3:$A$102)*($G74='Thang 05-2026'!$C$3:$C$102),0),11)=1,$B74="Triều Xuống"),1,IF(AND(INDEX('Thang 05-2026'!$A$3:$Q$102,MATCH(1,($A74='Thang 05-2026'!$A$3:$A$102)*($G74='Thang 05-2026'!$C$3:$C$102),0),10)=1,$B74="Triều Lên",INDEX('Thang 05-2026'!$A$3:$Q$102,MATCH(1,($A74='Thang 05-2026'!$A$3:$A$102)*($G74='Thang 05-2026'!$C$3:$C$102),0),11)=0),1,0))</f>
        <v>0</v>
      </c>
      <c r="E74" s="14">
        <f t="array" ref="E74">IF(AND(INDEX('Thang 05-2026'!$A$3:$Q$102,MATCH(1,($A74='Thang 05-2026'!$A$3:$A$102)*($G74='Thang 05-2026'!$C$3:$C$102),0),15)=1,$B74="Triều Xuống"),1,IF(AND(INDEX('Thang 05-2026'!$A$3:$Q$102,MATCH(1,($A74='Thang 05-2026'!$A$3:$A$102)*($G74='Thang 05-2026'!$C$3:$C$102),0),14)=1,$B74="Triều Lên",INDEX('Thang 05-2026'!$A$3:$Q$102,MATCH(1,($A74='Thang 05-2026'!$A$3:$A$102)*($G74='Thang 05-2026'!$C$3:$C$102),0),15)=0),1,0))</f>
        <v>0</v>
      </c>
      <c r="F74" s="14">
        <f t="shared" si="10"/>
        <v>0</v>
      </c>
      <c r="G74" s="14">
        <f>INDEX('Thang 05-2026'!$A$3:$C$102,MATCH(A74,'Thang 05-2026'!$A$3:$A$102,0),3)</f>
        <v>20</v>
      </c>
      <c r="H74" t="str">
        <f t="array" ref="H74">INDEX('TONG HOP DIA DIEM'!$A$2:$K$181,MATCH(1,($A74='TONG HOP DIA DIEM'!$A$2:$A$181)*($B74='TONG HOP DIA DIEM'!$B$2:$B$181),0),6)</f>
        <v>Cầu Bà Tri - HCM_NM_CBT - Triều Lên</v>
      </c>
      <c r="I74" t="str">
        <f t="array" ref="I74">INDEX('TONG HOP DIA DIEM'!$A$2:$K$181,MATCH(1,($A74='TONG HOP DIA DIEM'!$A$2:$A$181)*($B74='TONG HOP DIA DIEM'!$B$2:$B$181),0),7)</f>
        <v>Cầu Bà Tri - Triều Lên</v>
      </c>
      <c r="J74">
        <f t="shared" si="11"/>
        <v>1</v>
      </c>
      <c r="K74">
        <f t="shared" si="12"/>
        <v>0</v>
      </c>
      <c r="L74">
        <f t="shared" si="13"/>
        <v>0</v>
      </c>
      <c r="M74">
        <f t="shared" si="14"/>
        <v>0</v>
      </c>
      <c r="N74">
        <f t="shared" si="15"/>
        <v>20</v>
      </c>
      <c r="O74" t="str">
        <f t="shared" si="16"/>
        <v/>
      </c>
      <c r="P74" t="str">
        <f t="shared" si="17"/>
        <v/>
      </c>
      <c r="Q74" t="str">
        <f t="shared" si="18"/>
        <v/>
      </c>
    </row>
    <row r="75" spans="1:17" x14ac:dyDescent="0.2">
      <c r="A75" s="14" t="s">
        <v>78</v>
      </c>
      <c r="B75" s="14" t="s">
        <v>118</v>
      </c>
      <c r="C75" s="14">
        <v>1</v>
      </c>
      <c r="D75" s="14">
        <f t="array" ref="D75">IF(AND(INDEX('Thang 05-2026'!$A$3:$Q$102,MATCH(1,($A75='Thang 05-2026'!$A$3:$A$102)*($G75='Thang 05-2026'!$C$3:$C$102),0),11)=1,$B75="Triều Xuống"),1,IF(AND(INDEX('Thang 05-2026'!$A$3:$Q$102,MATCH(1,($A75='Thang 05-2026'!$A$3:$A$102)*($G75='Thang 05-2026'!$C$3:$C$102),0),10)=1,$B75="Triều Lên",INDEX('Thang 05-2026'!$A$3:$Q$102,MATCH(1,($A75='Thang 05-2026'!$A$3:$A$102)*($G75='Thang 05-2026'!$C$3:$C$102),0),11)=0),1,0))</f>
        <v>0</v>
      </c>
      <c r="E75" s="14">
        <f t="array" ref="E75">IF(AND(INDEX('Thang 05-2026'!$A$3:$Q$102,MATCH(1,($A75='Thang 05-2026'!$A$3:$A$102)*($G75='Thang 05-2026'!$C$3:$C$102),0),15)=1,$B75="Triều Xuống"),1,IF(AND(INDEX('Thang 05-2026'!$A$3:$Q$102,MATCH(1,($A75='Thang 05-2026'!$A$3:$A$102)*($G75='Thang 05-2026'!$C$3:$C$102),0),14)=1,$B75="Triều Lên",INDEX('Thang 05-2026'!$A$3:$Q$102,MATCH(1,($A75='Thang 05-2026'!$A$3:$A$102)*($G75='Thang 05-2026'!$C$3:$C$102),0),15)=0),1,0))</f>
        <v>0</v>
      </c>
      <c r="F75" s="14">
        <f t="shared" si="10"/>
        <v>0</v>
      </c>
      <c r="G75" s="14">
        <f>INDEX('Thang 05-2026'!$A$3:$C$102,MATCH(A75,'Thang 05-2026'!$A$3:$A$102,0),3)</f>
        <v>20</v>
      </c>
      <c r="H75" t="str">
        <f t="array" ref="H75">INDEX('TONG HOP DIA DIEM'!$A$2:$K$181,MATCH(1,($A75='TONG HOP DIA DIEM'!$A$2:$A$181)*($B75='TONG HOP DIA DIEM'!$B$2:$B$181),0),6)</f>
        <v>Tân Tạo - HCM_NM_TTa - Triều Lên</v>
      </c>
      <c r="I75" t="str">
        <f t="array" ref="I75">INDEX('TONG HOP DIA DIEM'!$A$2:$K$181,MATCH(1,($A75='TONG HOP DIA DIEM'!$A$2:$A$181)*($B75='TONG HOP DIA DIEM'!$B$2:$B$181),0),7)</f>
        <v>Tân Tạo - Triều Lên</v>
      </c>
      <c r="J75">
        <f t="shared" si="11"/>
        <v>1</v>
      </c>
      <c r="K75">
        <f t="shared" si="12"/>
        <v>0</v>
      </c>
      <c r="L75">
        <f t="shared" si="13"/>
        <v>0</v>
      </c>
      <c r="M75">
        <f t="shared" si="14"/>
        <v>0</v>
      </c>
      <c r="N75">
        <f t="shared" si="15"/>
        <v>20</v>
      </c>
      <c r="O75" t="str">
        <f t="shared" si="16"/>
        <v/>
      </c>
      <c r="P75" t="str">
        <f t="shared" si="17"/>
        <v/>
      </c>
      <c r="Q75" t="str">
        <f t="shared" si="18"/>
        <v/>
      </c>
    </row>
    <row r="76" spans="1:17" x14ac:dyDescent="0.2">
      <c r="A76" s="14" t="s">
        <v>79</v>
      </c>
      <c r="B76" s="14" t="s">
        <v>118</v>
      </c>
      <c r="C76" s="14">
        <v>1</v>
      </c>
      <c r="D76" s="14">
        <f t="array" ref="D76">IF(AND(INDEX('Thang 05-2026'!$A$3:$Q$102,MATCH(1,($A76='Thang 05-2026'!$A$3:$A$102)*($G76='Thang 05-2026'!$C$3:$C$102),0),11)=1,$B76="Triều Xuống"),1,IF(AND(INDEX('Thang 05-2026'!$A$3:$Q$102,MATCH(1,($A76='Thang 05-2026'!$A$3:$A$102)*($G76='Thang 05-2026'!$C$3:$C$102),0),10)=1,$B76="Triều Lên",INDEX('Thang 05-2026'!$A$3:$Q$102,MATCH(1,($A76='Thang 05-2026'!$A$3:$A$102)*($G76='Thang 05-2026'!$C$3:$C$102),0),11)=0),1,0))</f>
        <v>0</v>
      </c>
      <c r="E76" s="14">
        <f t="array" ref="E76">IF(AND(INDEX('Thang 05-2026'!$A$3:$Q$102,MATCH(1,($A76='Thang 05-2026'!$A$3:$A$102)*($G76='Thang 05-2026'!$C$3:$C$102),0),15)=1,$B76="Triều Xuống"),1,IF(AND(INDEX('Thang 05-2026'!$A$3:$Q$102,MATCH(1,($A76='Thang 05-2026'!$A$3:$A$102)*($G76='Thang 05-2026'!$C$3:$C$102),0),14)=1,$B76="Triều Lên",INDEX('Thang 05-2026'!$A$3:$Q$102,MATCH(1,($A76='Thang 05-2026'!$A$3:$A$102)*($G76='Thang 05-2026'!$C$3:$C$102),0),15)=0),1,0))</f>
        <v>0</v>
      </c>
      <c r="F76" s="14">
        <f t="shared" si="10"/>
        <v>0</v>
      </c>
      <c r="G76" s="14">
        <f>INDEX('Thang 05-2026'!$A$3:$C$102,MATCH(A76,'Thang 05-2026'!$A$3:$A$102,0),3)</f>
        <v>20</v>
      </c>
      <c r="H76" t="str">
        <f t="array" ref="H76">INDEX('TONG HOP DIA DIEM'!$A$2:$K$181,MATCH(1,($A76='TONG HOP DIA DIEM'!$A$2:$A$181)*($B76='TONG HOP DIA DIEM'!$B$2:$B$181),0),6)</f>
        <v>Kênh C - HCM_NM_KC - Triều Lên</v>
      </c>
      <c r="I76" t="str">
        <f t="array" ref="I76">INDEX('TONG HOP DIA DIEM'!$A$2:$K$181,MATCH(1,($A76='TONG HOP DIA DIEM'!$A$2:$A$181)*($B76='TONG HOP DIA DIEM'!$B$2:$B$181),0),7)</f>
        <v>Kênh C - Triều Lên</v>
      </c>
      <c r="J76">
        <f t="shared" si="11"/>
        <v>1</v>
      </c>
      <c r="K76">
        <f t="shared" si="12"/>
        <v>0</v>
      </c>
      <c r="L76">
        <f t="shared" si="13"/>
        <v>0</v>
      </c>
      <c r="M76">
        <f t="shared" si="14"/>
        <v>0</v>
      </c>
      <c r="N76">
        <f t="shared" si="15"/>
        <v>20</v>
      </c>
      <c r="O76" t="str">
        <f t="shared" si="16"/>
        <v/>
      </c>
      <c r="P76" t="str">
        <f t="shared" si="17"/>
        <v/>
      </c>
      <c r="Q76" t="str">
        <f t="shared" si="18"/>
        <v/>
      </c>
    </row>
    <row r="77" spans="1:17" x14ac:dyDescent="0.2">
      <c r="A77" s="14" t="s">
        <v>80</v>
      </c>
      <c r="B77" s="14" t="s">
        <v>118</v>
      </c>
      <c r="C77" s="14">
        <v>1</v>
      </c>
      <c r="D77" s="14">
        <f t="array" ref="D77">IF(AND(INDEX('Thang 05-2026'!$A$3:$Q$102,MATCH(1,($A77='Thang 05-2026'!$A$3:$A$102)*($G77='Thang 05-2026'!$C$3:$C$102),0),11)=1,$B77="Triều Xuống"),1,IF(AND(INDEX('Thang 05-2026'!$A$3:$Q$102,MATCH(1,($A77='Thang 05-2026'!$A$3:$A$102)*($G77='Thang 05-2026'!$C$3:$C$102),0),10)=1,$B77="Triều Lên",INDEX('Thang 05-2026'!$A$3:$Q$102,MATCH(1,($A77='Thang 05-2026'!$A$3:$A$102)*($G77='Thang 05-2026'!$C$3:$C$102),0),11)=0),1,0))</f>
        <v>0</v>
      </c>
      <c r="E77" s="14">
        <f t="array" ref="E77">IF(AND(INDEX('Thang 05-2026'!$A$3:$Q$102,MATCH(1,($A77='Thang 05-2026'!$A$3:$A$102)*($G77='Thang 05-2026'!$C$3:$C$102),0),15)=1,$B77="Triều Xuống"),1,IF(AND(INDEX('Thang 05-2026'!$A$3:$Q$102,MATCH(1,($A77='Thang 05-2026'!$A$3:$A$102)*($G77='Thang 05-2026'!$C$3:$C$102),0),14)=1,$B77="Triều Lên",INDEX('Thang 05-2026'!$A$3:$Q$102,MATCH(1,($A77='Thang 05-2026'!$A$3:$A$102)*($G77='Thang 05-2026'!$C$3:$C$102),0),15)=0),1,0))</f>
        <v>0</v>
      </c>
      <c r="F77" s="14">
        <f t="shared" si="10"/>
        <v>0</v>
      </c>
      <c r="G77" s="14">
        <f>INDEX('Thang 05-2026'!$A$3:$C$102,MATCH(A77,'Thang 05-2026'!$A$3:$A$102,0),3)</f>
        <v>20</v>
      </c>
      <c r="H77" t="str">
        <f t="array" ref="H77">INDEX('TONG HOP DIA DIEM'!$A$2:$K$181,MATCH(1,($A77='TONG HOP DIA DIEM'!$A$2:$A$181)*($B77='TONG HOP DIA DIEM'!$B$2:$B$181),0),6)</f>
        <v>Kênh C6 - HCM_NM_KC6 - Triều Lên</v>
      </c>
      <c r="I77" t="str">
        <f t="array" ref="I77">INDEX('TONG HOP DIA DIEM'!$A$2:$K$181,MATCH(1,($A77='TONG HOP DIA DIEM'!$A$2:$A$181)*($B77='TONG HOP DIA DIEM'!$B$2:$B$181),0),7)</f>
        <v>Kênh C6 - Triều Lên</v>
      </c>
      <c r="J77">
        <f t="shared" si="11"/>
        <v>1</v>
      </c>
      <c r="K77">
        <f t="shared" si="12"/>
        <v>0</v>
      </c>
      <c r="L77">
        <f t="shared" si="13"/>
        <v>0</v>
      </c>
      <c r="M77">
        <f t="shared" si="14"/>
        <v>0</v>
      </c>
      <c r="N77">
        <f t="shared" si="15"/>
        <v>20</v>
      </c>
      <c r="O77" t="str">
        <f t="shared" si="16"/>
        <v/>
      </c>
      <c r="P77" t="str">
        <f t="shared" si="17"/>
        <v/>
      </c>
      <c r="Q77" t="str">
        <f t="shared" si="18"/>
        <v/>
      </c>
    </row>
    <row r="78" spans="1:17" x14ac:dyDescent="0.2">
      <c r="A78" s="14" t="s">
        <v>81</v>
      </c>
      <c r="B78" s="14" t="s">
        <v>118</v>
      </c>
      <c r="C78" s="14">
        <v>1</v>
      </c>
      <c r="D78" s="14">
        <f t="array" ref="D78">IF(AND(INDEX('Thang 05-2026'!$A$3:$Q$102,MATCH(1,($A78='Thang 05-2026'!$A$3:$A$102)*($G78='Thang 05-2026'!$C$3:$C$102),0),11)=1,$B78="Triều Xuống"),1,IF(AND(INDEX('Thang 05-2026'!$A$3:$Q$102,MATCH(1,($A78='Thang 05-2026'!$A$3:$A$102)*($G78='Thang 05-2026'!$C$3:$C$102),0),10)=1,$B78="Triều Lên",INDEX('Thang 05-2026'!$A$3:$Q$102,MATCH(1,($A78='Thang 05-2026'!$A$3:$A$102)*($G78='Thang 05-2026'!$C$3:$C$102),0),11)=0),1,0))</f>
        <v>1</v>
      </c>
      <c r="E78" s="14">
        <f t="array" ref="E78">IF(AND(INDEX('Thang 05-2026'!$A$3:$Q$102,MATCH(1,($A78='Thang 05-2026'!$A$3:$A$102)*($G78='Thang 05-2026'!$C$3:$C$102),0),15)=1,$B78="Triều Xuống"),1,IF(AND(INDEX('Thang 05-2026'!$A$3:$Q$102,MATCH(1,($A78='Thang 05-2026'!$A$3:$A$102)*($G78='Thang 05-2026'!$C$3:$C$102),0),14)=1,$B78="Triều Lên",INDEX('Thang 05-2026'!$A$3:$Q$102,MATCH(1,($A78='Thang 05-2026'!$A$3:$A$102)*($G78='Thang 05-2026'!$C$3:$C$102),0),15)=0),1,0))</f>
        <v>0</v>
      </c>
      <c r="F78" s="14">
        <f t="shared" si="10"/>
        <v>1</v>
      </c>
      <c r="G78" s="14">
        <f>INDEX('Thang 05-2026'!$A$3:$C$102,MATCH(A78,'Thang 05-2026'!$A$3:$A$102,0),3)</f>
        <v>20</v>
      </c>
      <c r="H78" t="str">
        <f t="array" ref="H78">INDEX('TONG HOP DIA DIEM'!$A$2:$K$181,MATCH(1,($A78='TONG HOP DIA DIEM'!$A$2:$A$181)*($B78='TONG HOP DIA DIEM'!$B$2:$B$181),0),6)</f>
        <v>Kênh C8 - HCM_NM_KC8 - Triều Lên</v>
      </c>
      <c r="I78" t="str">
        <f t="array" ref="I78">INDEX('TONG HOP DIA DIEM'!$A$2:$K$181,MATCH(1,($A78='TONG HOP DIA DIEM'!$A$2:$A$181)*($B78='TONG HOP DIA DIEM'!$B$2:$B$181),0),7)</f>
        <v>Kênh C8 - Triều Lên</v>
      </c>
      <c r="J78">
        <f t="shared" si="11"/>
        <v>1</v>
      </c>
      <c r="K78">
        <f t="shared" si="12"/>
        <v>1</v>
      </c>
      <c r="L78">
        <f t="shared" si="13"/>
        <v>0</v>
      </c>
      <c r="M78">
        <f t="shared" si="14"/>
        <v>1</v>
      </c>
      <c r="N78">
        <f t="shared" si="15"/>
        <v>20</v>
      </c>
      <c r="O78" t="str">
        <f t="shared" si="16"/>
        <v>Kênh C8 - Triều Lên (QC - Mẫu lặp)</v>
      </c>
      <c r="P78" t="str">
        <f t="shared" si="17"/>
        <v/>
      </c>
      <c r="Q78" t="str">
        <f t="shared" si="18"/>
        <v/>
      </c>
    </row>
    <row r="79" spans="1:17" x14ac:dyDescent="0.2">
      <c r="A79" s="14" t="s">
        <v>76</v>
      </c>
      <c r="B79" s="14" t="s">
        <v>121</v>
      </c>
      <c r="C79" s="14">
        <v>1</v>
      </c>
      <c r="D79" s="14">
        <f t="array" ref="D79">IF(AND(INDEX('Thang 05-2026'!$A$3:$Q$102,MATCH(1,($A79='Thang 05-2026'!$A$3:$A$102)*($G79='Thang 05-2026'!$C$3:$C$102),0),11)=1,$B79="Triều Xuống"),1,IF(AND(INDEX('Thang 05-2026'!$A$3:$Q$102,MATCH(1,($A79='Thang 05-2026'!$A$3:$A$102)*($G79='Thang 05-2026'!$C$3:$C$102),0),10)=1,$B79="Triều Lên",INDEX('Thang 05-2026'!$A$3:$Q$102,MATCH(1,($A79='Thang 05-2026'!$A$3:$A$102)*($G79='Thang 05-2026'!$C$3:$C$102),0),11)=0),1,0))</f>
        <v>0</v>
      </c>
      <c r="E79" s="14">
        <f t="array" ref="E79">IF(AND(INDEX('Thang 05-2026'!$A$3:$Q$102,MATCH(1,($A79='Thang 05-2026'!$A$3:$A$102)*($G79='Thang 05-2026'!$C$3:$C$102),0),15)=1,$B79="Triều Xuống"),1,IF(AND(INDEX('Thang 05-2026'!$A$3:$Q$102,MATCH(1,($A79='Thang 05-2026'!$A$3:$A$102)*($G79='Thang 05-2026'!$C$3:$C$102),0),14)=1,$B79="Triều Lên",INDEX('Thang 05-2026'!$A$3:$Q$102,MATCH(1,($A79='Thang 05-2026'!$A$3:$A$102)*($G79='Thang 05-2026'!$C$3:$C$102),0),15)=0),1,0))</f>
        <v>0</v>
      </c>
      <c r="F79" s="14">
        <f t="shared" si="10"/>
        <v>0</v>
      </c>
      <c r="G79" s="14">
        <f>INDEX('Thang 05-2026'!$A$3:$C$102,MATCH(A79,'Thang 05-2026'!$A$3:$A$102,0),3)</f>
        <v>20</v>
      </c>
      <c r="H79" t="str">
        <f t="array" ref="H79">INDEX('TONG HOP DIA DIEM'!$A$2:$K$181,MATCH(1,($A79='TONG HOP DIA DIEM'!$A$2:$A$181)*($B79='TONG HOP DIA DIEM'!$B$2:$B$181),0),6)</f>
        <v>Cầu Bà Tri - HCM_NM_CBT - Triều Xuống</v>
      </c>
      <c r="I79" t="str">
        <f t="array" ref="I79">INDEX('TONG HOP DIA DIEM'!$A$2:$K$181,MATCH(1,($A79='TONG HOP DIA DIEM'!$A$2:$A$181)*($B79='TONG HOP DIA DIEM'!$B$2:$B$181),0),7)</f>
        <v>Cầu Bà Tri - Triều Xuống</v>
      </c>
      <c r="J79">
        <f t="shared" si="11"/>
        <v>1</v>
      </c>
      <c r="K79">
        <f t="shared" si="12"/>
        <v>0</v>
      </c>
      <c r="L79">
        <f t="shared" si="13"/>
        <v>0</v>
      </c>
      <c r="M79">
        <f t="shared" si="14"/>
        <v>0</v>
      </c>
      <c r="N79">
        <f t="shared" si="15"/>
        <v>20</v>
      </c>
      <c r="O79" t="str">
        <f t="shared" si="16"/>
        <v/>
      </c>
      <c r="P79" t="str">
        <f t="shared" si="17"/>
        <v/>
      </c>
      <c r="Q79" t="str">
        <f t="shared" si="18"/>
        <v/>
      </c>
    </row>
    <row r="80" spans="1:17" x14ac:dyDescent="0.2">
      <c r="A80" s="14" t="s">
        <v>78</v>
      </c>
      <c r="B80" s="14" t="s">
        <v>121</v>
      </c>
      <c r="C80" s="14">
        <v>1</v>
      </c>
      <c r="D80" s="14">
        <f t="array" ref="D80">IF(AND(INDEX('Thang 05-2026'!$A$3:$Q$102,MATCH(1,($A80='Thang 05-2026'!$A$3:$A$102)*($G80='Thang 05-2026'!$C$3:$C$102),0),11)=1,$B80="Triều Xuống"),1,IF(AND(INDEX('Thang 05-2026'!$A$3:$Q$102,MATCH(1,($A80='Thang 05-2026'!$A$3:$A$102)*($G80='Thang 05-2026'!$C$3:$C$102),0),10)=1,$B80="Triều Lên",INDEX('Thang 05-2026'!$A$3:$Q$102,MATCH(1,($A80='Thang 05-2026'!$A$3:$A$102)*($G80='Thang 05-2026'!$C$3:$C$102),0),11)=0),1,0))</f>
        <v>0</v>
      </c>
      <c r="E80" s="14">
        <f t="array" ref="E80">IF(AND(INDEX('Thang 05-2026'!$A$3:$Q$102,MATCH(1,($A80='Thang 05-2026'!$A$3:$A$102)*($G80='Thang 05-2026'!$C$3:$C$102),0),15)=1,$B80="Triều Xuống"),1,IF(AND(INDEX('Thang 05-2026'!$A$3:$Q$102,MATCH(1,($A80='Thang 05-2026'!$A$3:$A$102)*($G80='Thang 05-2026'!$C$3:$C$102),0),14)=1,$B80="Triều Lên",INDEX('Thang 05-2026'!$A$3:$Q$102,MATCH(1,($A80='Thang 05-2026'!$A$3:$A$102)*($G80='Thang 05-2026'!$C$3:$C$102),0),15)=0),1,0))</f>
        <v>0</v>
      </c>
      <c r="F80" s="14">
        <f t="shared" si="10"/>
        <v>0</v>
      </c>
      <c r="G80" s="14">
        <f>INDEX('Thang 05-2026'!$A$3:$C$102,MATCH(A80,'Thang 05-2026'!$A$3:$A$102,0),3)</f>
        <v>20</v>
      </c>
      <c r="H80" t="str">
        <f t="array" ref="H80">INDEX('TONG HOP DIA DIEM'!$A$2:$K$181,MATCH(1,($A80='TONG HOP DIA DIEM'!$A$2:$A$181)*($B80='TONG HOP DIA DIEM'!$B$2:$B$181),0),6)</f>
        <v>Tân Tạo - HCM_NM_TTa - Triều Xuống</v>
      </c>
      <c r="I80" t="str">
        <f t="array" ref="I80">INDEX('TONG HOP DIA DIEM'!$A$2:$K$181,MATCH(1,($A80='TONG HOP DIA DIEM'!$A$2:$A$181)*($B80='TONG HOP DIA DIEM'!$B$2:$B$181),0),7)</f>
        <v>Tân Tạo - Triều Xuống</v>
      </c>
      <c r="J80">
        <f t="shared" si="11"/>
        <v>1</v>
      </c>
      <c r="K80">
        <f t="shared" si="12"/>
        <v>0</v>
      </c>
      <c r="L80">
        <f t="shared" si="13"/>
        <v>0</v>
      </c>
      <c r="M80">
        <f t="shared" si="14"/>
        <v>0</v>
      </c>
      <c r="N80">
        <f t="shared" si="15"/>
        <v>20</v>
      </c>
      <c r="O80" t="str">
        <f t="shared" si="16"/>
        <v/>
      </c>
      <c r="P80" t="str">
        <f t="shared" si="17"/>
        <v/>
      </c>
      <c r="Q80" t="str">
        <f t="shared" si="18"/>
        <v/>
      </c>
    </row>
    <row r="81" spans="1:17" x14ac:dyDescent="0.2">
      <c r="A81" s="14" t="s">
        <v>79</v>
      </c>
      <c r="B81" s="14" t="s">
        <v>121</v>
      </c>
      <c r="C81" s="14">
        <v>1</v>
      </c>
      <c r="D81" s="14">
        <f t="array" ref="D81">IF(AND(INDEX('Thang 05-2026'!$A$3:$Q$102,MATCH(1,($A81='Thang 05-2026'!$A$3:$A$102)*($G81='Thang 05-2026'!$C$3:$C$102),0),11)=1,$B81="Triều Xuống"),1,IF(AND(INDEX('Thang 05-2026'!$A$3:$Q$102,MATCH(1,($A81='Thang 05-2026'!$A$3:$A$102)*($G81='Thang 05-2026'!$C$3:$C$102),0),10)=1,$B81="Triều Lên",INDEX('Thang 05-2026'!$A$3:$Q$102,MATCH(1,($A81='Thang 05-2026'!$A$3:$A$102)*($G81='Thang 05-2026'!$C$3:$C$102),0),11)=0),1,0))</f>
        <v>0</v>
      </c>
      <c r="E81" s="14">
        <f t="array" ref="E81">IF(AND(INDEX('Thang 05-2026'!$A$3:$Q$102,MATCH(1,($A81='Thang 05-2026'!$A$3:$A$102)*($G81='Thang 05-2026'!$C$3:$C$102),0),15)=1,$B81="Triều Xuống"),1,IF(AND(INDEX('Thang 05-2026'!$A$3:$Q$102,MATCH(1,($A81='Thang 05-2026'!$A$3:$A$102)*($G81='Thang 05-2026'!$C$3:$C$102),0),14)=1,$B81="Triều Lên",INDEX('Thang 05-2026'!$A$3:$Q$102,MATCH(1,($A81='Thang 05-2026'!$A$3:$A$102)*($G81='Thang 05-2026'!$C$3:$C$102),0),15)=0),1,0))</f>
        <v>0</v>
      </c>
      <c r="F81" s="14">
        <f t="shared" si="10"/>
        <v>0</v>
      </c>
      <c r="G81" s="14">
        <f>INDEX('Thang 05-2026'!$A$3:$C$102,MATCH(A81,'Thang 05-2026'!$A$3:$A$102,0),3)</f>
        <v>20</v>
      </c>
      <c r="H81" t="str">
        <f t="array" ref="H81">INDEX('TONG HOP DIA DIEM'!$A$2:$K$181,MATCH(1,($A81='TONG HOP DIA DIEM'!$A$2:$A$181)*($B81='TONG HOP DIA DIEM'!$B$2:$B$181),0),6)</f>
        <v>Kênh C - HCM_NM_KC - Triều Xuống</v>
      </c>
      <c r="I81" t="str">
        <f t="array" ref="I81">INDEX('TONG HOP DIA DIEM'!$A$2:$K$181,MATCH(1,($A81='TONG HOP DIA DIEM'!$A$2:$A$181)*($B81='TONG HOP DIA DIEM'!$B$2:$B$181),0),7)</f>
        <v>Kênh C - Triều Xuống</v>
      </c>
      <c r="J81">
        <f t="shared" si="11"/>
        <v>1</v>
      </c>
      <c r="K81">
        <f t="shared" si="12"/>
        <v>0</v>
      </c>
      <c r="L81">
        <f t="shared" si="13"/>
        <v>0</v>
      </c>
      <c r="M81">
        <f t="shared" si="14"/>
        <v>0</v>
      </c>
      <c r="N81">
        <f t="shared" si="15"/>
        <v>20</v>
      </c>
      <c r="O81" t="str">
        <f t="shared" si="16"/>
        <v/>
      </c>
      <c r="P81" t="str">
        <f t="shared" si="17"/>
        <v/>
      </c>
      <c r="Q81" t="str">
        <f t="shared" si="18"/>
        <v/>
      </c>
    </row>
    <row r="82" spans="1:17" x14ac:dyDescent="0.2">
      <c r="A82" s="14" t="s">
        <v>80</v>
      </c>
      <c r="B82" s="14" t="s">
        <v>121</v>
      </c>
      <c r="C82" s="14">
        <v>1</v>
      </c>
      <c r="D82" s="14">
        <f t="array" ref="D82">IF(AND(INDEX('Thang 05-2026'!$A$3:$Q$102,MATCH(1,($A82='Thang 05-2026'!$A$3:$A$102)*($G82='Thang 05-2026'!$C$3:$C$102),0),11)=1,$B82="Triều Xuống"),1,IF(AND(INDEX('Thang 05-2026'!$A$3:$Q$102,MATCH(1,($A82='Thang 05-2026'!$A$3:$A$102)*($G82='Thang 05-2026'!$C$3:$C$102),0),10)=1,$B82="Triều Lên",INDEX('Thang 05-2026'!$A$3:$Q$102,MATCH(1,($A82='Thang 05-2026'!$A$3:$A$102)*($G82='Thang 05-2026'!$C$3:$C$102),0),11)=0),1,0))</f>
        <v>0</v>
      </c>
      <c r="E82" s="14">
        <f t="array" ref="E82">IF(AND(INDEX('Thang 05-2026'!$A$3:$Q$102,MATCH(1,($A82='Thang 05-2026'!$A$3:$A$102)*($G82='Thang 05-2026'!$C$3:$C$102),0),15)=1,$B82="Triều Xuống"),1,IF(AND(INDEX('Thang 05-2026'!$A$3:$Q$102,MATCH(1,($A82='Thang 05-2026'!$A$3:$A$102)*($G82='Thang 05-2026'!$C$3:$C$102),0),14)=1,$B82="Triều Lên",INDEX('Thang 05-2026'!$A$3:$Q$102,MATCH(1,($A82='Thang 05-2026'!$A$3:$A$102)*($G82='Thang 05-2026'!$C$3:$C$102),0),15)=0),1,0))</f>
        <v>0</v>
      </c>
      <c r="F82" s="14">
        <f t="shared" si="10"/>
        <v>0</v>
      </c>
      <c r="G82" s="14">
        <f>INDEX('Thang 05-2026'!$A$3:$C$102,MATCH(A82,'Thang 05-2026'!$A$3:$A$102,0),3)</f>
        <v>20</v>
      </c>
      <c r="H82" t="str">
        <f t="array" ref="H82">INDEX('TONG HOP DIA DIEM'!$A$2:$K$181,MATCH(1,($A82='TONG HOP DIA DIEM'!$A$2:$A$181)*($B82='TONG HOP DIA DIEM'!$B$2:$B$181),0),6)</f>
        <v>Kênh C6 - HCM_NM_KC6 - Triều Xuống</v>
      </c>
      <c r="I82" t="str">
        <f t="array" ref="I82">INDEX('TONG HOP DIA DIEM'!$A$2:$K$181,MATCH(1,($A82='TONG HOP DIA DIEM'!$A$2:$A$181)*($B82='TONG HOP DIA DIEM'!$B$2:$B$181),0),7)</f>
        <v>Kênh C6 - Triều Xuống</v>
      </c>
      <c r="J82">
        <f t="shared" si="11"/>
        <v>1</v>
      </c>
      <c r="K82">
        <f t="shared" si="12"/>
        <v>0</v>
      </c>
      <c r="L82">
        <f t="shared" si="13"/>
        <v>0</v>
      </c>
      <c r="M82">
        <f t="shared" si="14"/>
        <v>0</v>
      </c>
      <c r="N82">
        <f t="shared" si="15"/>
        <v>20</v>
      </c>
      <c r="O82" t="str">
        <f t="shared" si="16"/>
        <v/>
      </c>
      <c r="P82" t="str">
        <f t="shared" si="17"/>
        <v/>
      </c>
      <c r="Q82" t="str">
        <f t="shared" si="18"/>
        <v/>
      </c>
    </row>
    <row r="83" spans="1:17" x14ac:dyDescent="0.2">
      <c r="A83" s="14" t="s">
        <v>81</v>
      </c>
      <c r="B83" s="14" t="s">
        <v>121</v>
      </c>
      <c r="C83" s="14">
        <v>1</v>
      </c>
      <c r="D83" s="14">
        <f t="array" ref="D83">IF(AND(INDEX('Thang 05-2026'!$A$3:$Q$102,MATCH(1,($A83='Thang 05-2026'!$A$3:$A$102)*($G83='Thang 05-2026'!$C$3:$C$102),0),11)=1,$B83="Triều Xuống"),1,IF(AND(INDEX('Thang 05-2026'!$A$3:$Q$102,MATCH(1,($A83='Thang 05-2026'!$A$3:$A$102)*($G83='Thang 05-2026'!$C$3:$C$102),0),10)=1,$B83="Triều Lên",INDEX('Thang 05-2026'!$A$3:$Q$102,MATCH(1,($A83='Thang 05-2026'!$A$3:$A$102)*($G83='Thang 05-2026'!$C$3:$C$102),0),11)=0),1,0))</f>
        <v>0</v>
      </c>
      <c r="E83" s="14">
        <f t="array" ref="E83">IF(AND(INDEX('Thang 05-2026'!$A$3:$Q$102,MATCH(1,($A83='Thang 05-2026'!$A$3:$A$102)*($G83='Thang 05-2026'!$C$3:$C$102),0),15)=1,$B83="Triều Xuống"),1,IF(AND(INDEX('Thang 05-2026'!$A$3:$Q$102,MATCH(1,($A83='Thang 05-2026'!$A$3:$A$102)*($G83='Thang 05-2026'!$C$3:$C$102),0),14)=1,$B83="Triều Lên",INDEX('Thang 05-2026'!$A$3:$Q$102,MATCH(1,($A83='Thang 05-2026'!$A$3:$A$102)*($G83='Thang 05-2026'!$C$3:$C$102),0),15)=0),1,0))</f>
        <v>0</v>
      </c>
      <c r="F83" s="14">
        <f t="shared" si="10"/>
        <v>0</v>
      </c>
      <c r="G83" s="14">
        <f>INDEX('Thang 05-2026'!$A$3:$C$102,MATCH(A83,'Thang 05-2026'!$A$3:$A$102,0),3)</f>
        <v>20</v>
      </c>
      <c r="H83" t="str">
        <f t="array" ref="H83">INDEX('TONG HOP DIA DIEM'!$A$2:$K$181,MATCH(1,($A83='TONG HOP DIA DIEM'!$A$2:$A$181)*($B83='TONG HOP DIA DIEM'!$B$2:$B$181),0),6)</f>
        <v>Kênh C8 - HCM_NM_KC8 - Triều Xuống</v>
      </c>
      <c r="I83" t="str">
        <f t="array" ref="I83">INDEX('TONG HOP DIA DIEM'!$A$2:$K$181,MATCH(1,($A83='TONG HOP DIA DIEM'!$A$2:$A$181)*($B83='TONG HOP DIA DIEM'!$B$2:$B$181),0),7)</f>
        <v>Kênh C8 - Triều Xuống</v>
      </c>
      <c r="J83">
        <f t="shared" si="11"/>
        <v>1</v>
      </c>
      <c r="K83">
        <f t="shared" si="12"/>
        <v>0</v>
      </c>
      <c r="L83">
        <f t="shared" si="13"/>
        <v>0</v>
      </c>
      <c r="M83">
        <f t="shared" si="14"/>
        <v>0</v>
      </c>
      <c r="N83">
        <f t="shared" si="15"/>
        <v>20</v>
      </c>
      <c r="O83" t="str">
        <f t="shared" si="16"/>
        <v/>
      </c>
      <c r="P83" t="str">
        <f t="shared" si="17"/>
        <v/>
      </c>
      <c r="Q83" t="str">
        <f t="shared" si="18"/>
        <v/>
      </c>
    </row>
    <row r="84" spans="1:17" x14ac:dyDescent="0.2">
      <c r="A84" s="14" t="s">
        <v>82</v>
      </c>
      <c r="B84" s="14" t="s">
        <v>118</v>
      </c>
      <c r="C84" s="14">
        <v>1</v>
      </c>
      <c r="D84" s="14">
        <f t="array" ref="D84">IF(AND(INDEX('Thang 05-2026'!$A$3:$Q$102,MATCH(1,($A84='Thang 05-2026'!$A$3:$A$102)*($G84='Thang 05-2026'!$C$3:$C$102),0),11)=1,$B84="Triều Xuống"),1,IF(AND(INDEX('Thang 05-2026'!$A$3:$Q$102,MATCH(1,($A84='Thang 05-2026'!$A$3:$A$102)*($G84='Thang 05-2026'!$C$3:$C$102),0),10)=1,$B84="Triều Lên",INDEX('Thang 05-2026'!$A$3:$Q$102,MATCH(1,($A84='Thang 05-2026'!$A$3:$A$102)*($G84='Thang 05-2026'!$C$3:$C$102),0),11)=0),1,0))</f>
        <v>0</v>
      </c>
      <c r="E84" s="14">
        <f t="array" ref="E84">IF(AND(INDEX('Thang 05-2026'!$A$3:$Q$102,MATCH(1,($A84='Thang 05-2026'!$A$3:$A$102)*($G84='Thang 05-2026'!$C$3:$C$102),0),15)=1,$B84="Triều Xuống"),1,IF(AND(INDEX('Thang 05-2026'!$A$3:$Q$102,MATCH(1,($A84='Thang 05-2026'!$A$3:$A$102)*($G84='Thang 05-2026'!$C$3:$C$102),0),14)=1,$B84="Triều Lên",INDEX('Thang 05-2026'!$A$3:$Q$102,MATCH(1,($A84='Thang 05-2026'!$A$3:$A$102)*($G84='Thang 05-2026'!$C$3:$C$102),0),15)=0),1,0))</f>
        <v>0</v>
      </c>
      <c r="F84" s="14">
        <f t="shared" si="10"/>
        <v>0</v>
      </c>
      <c r="G84" s="14">
        <f>INDEX('Thang 05-2026'!$A$3:$C$102,MATCH(A84,'Thang 05-2026'!$A$3:$A$102,0),3)</f>
        <v>21</v>
      </c>
      <c r="H84" t="str">
        <f t="array" ref="H84">INDEX('TONG HOP DIA DIEM'!$A$2:$K$181,MATCH(1,($A84='TONG HOP DIA DIEM'!$A$2:$A$181)*($B84='TONG HOP DIA DIEM'!$B$2:$B$181),0),6)</f>
        <v>Cầu Rạch Ngang - HCM_NM_CRN - Triều Lên</v>
      </c>
      <c r="I84" t="str">
        <f t="array" ref="I84">INDEX('TONG HOP DIA DIEM'!$A$2:$K$181,MATCH(1,($A84='TONG HOP DIA DIEM'!$A$2:$A$181)*($B84='TONG HOP DIA DIEM'!$B$2:$B$181),0),7)</f>
        <v>Cầu Rạch Ngang - Triều Lên</v>
      </c>
      <c r="J84">
        <f t="shared" si="11"/>
        <v>1</v>
      </c>
      <c r="K84">
        <f t="shared" si="12"/>
        <v>0</v>
      </c>
      <c r="L84">
        <f t="shared" si="13"/>
        <v>0</v>
      </c>
      <c r="M84">
        <f t="shared" si="14"/>
        <v>0</v>
      </c>
      <c r="N84">
        <f t="shared" si="15"/>
        <v>21</v>
      </c>
      <c r="O84" t="str">
        <f t="shared" si="16"/>
        <v/>
      </c>
      <c r="P84" t="str">
        <f t="shared" si="17"/>
        <v/>
      </c>
      <c r="Q84" t="str">
        <f t="shared" si="18"/>
        <v/>
      </c>
    </row>
    <row r="85" spans="1:17" x14ac:dyDescent="0.2">
      <c r="A85" s="14" t="s">
        <v>84</v>
      </c>
      <c r="B85" s="14" t="s">
        <v>118</v>
      </c>
      <c r="C85" s="14">
        <v>1</v>
      </c>
      <c r="D85" s="14">
        <f t="array" ref="D85">IF(AND(INDEX('Thang 05-2026'!$A$3:$Q$102,MATCH(1,($A85='Thang 05-2026'!$A$3:$A$102)*($G85='Thang 05-2026'!$C$3:$C$102),0),11)=1,$B85="Triều Xuống"),1,IF(AND(INDEX('Thang 05-2026'!$A$3:$Q$102,MATCH(1,($A85='Thang 05-2026'!$A$3:$A$102)*($G85='Thang 05-2026'!$C$3:$C$102),0),10)=1,$B85="Triều Lên",INDEX('Thang 05-2026'!$A$3:$Q$102,MATCH(1,($A85='Thang 05-2026'!$A$3:$A$102)*($G85='Thang 05-2026'!$C$3:$C$102),0),11)=0),1,0))</f>
        <v>0</v>
      </c>
      <c r="E85" s="14">
        <f t="array" ref="E85">IF(AND(INDEX('Thang 05-2026'!$A$3:$Q$102,MATCH(1,($A85='Thang 05-2026'!$A$3:$A$102)*($G85='Thang 05-2026'!$C$3:$C$102),0),15)=1,$B85="Triều Xuống"),1,IF(AND(INDEX('Thang 05-2026'!$A$3:$Q$102,MATCH(1,($A85='Thang 05-2026'!$A$3:$A$102)*($G85='Thang 05-2026'!$C$3:$C$102),0),14)=1,$B85="Triều Lên",INDEX('Thang 05-2026'!$A$3:$Q$102,MATCH(1,($A85='Thang 05-2026'!$A$3:$A$102)*($G85='Thang 05-2026'!$C$3:$C$102),0),15)=0),1,0))</f>
        <v>0</v>
      </c>
      <c r="F85" s="14">
        <f t="shared" si="10"/>
        <v>0</v>
      </c>
      <c r="G85" s="14">
        <f>INDEX('Thang 05-2026'!$A$3:$C$102,MATCH(A85,'Thang 05-2026'!$A$3:$A$102,0),3)</f>
        <v>21</v>
      </c>
      <c r="H85" t="str">
        <f t="array" ref="H85">INDEX('TONG HOP DIA DIEM'!$A$2:$K$181,MATCH(1,($A85='TONG HOP DIA DIEM'!$A$2:$A$181)*($B85='TONG HOP DIA DIEM'!$B$2:$B$181),0),6)</f>
        <v>Xóm Củi - HCM_NM_XC - Triều Lên</v>
      </c>
      <c r="I85" t="str">
        <f t="array" ref="I85">INDEX('TONG HOP DIA DIEM'!$A$2:$K$181,MATCH(1,($A85='TONG HOP DIA DIEM'!$A$2:$A$181)*($B85='TONG HOP DIA DIEM'!$B$2:$B$181),0),7)</f>
        <v>Xóm Củi - Triều Lên</v>
      </c>
      <c r="J85">
        <f t="shared" si="11"/>
        <v>1</v>
      </c>
      <c r="K85">
        <f t="shared" si="12"/>
        <v>0</v>
      </c>
      <c r="L85">
        <f t="shared" si="13"/>
        <v>0</v>
      </c>
      <c r="M85">
        <f t="shared" si="14"/>
        <v>0</v>
      </c>
      <c r="N85">
        <f t="shared" si="15"/>
        <v>21</v>
      </c>
      <c r="O85" t="str">
        <f t="shared" si="16"/>
        <v/>
      </c>
      <c r="P85" t="str">
        <f t="shared" si="17"/>
        <v/>
      </c>
      <c r="Q85" t="str">
        <f t="shared" si="18"/>
        <v/>
      </c>
    </row>
    <row r="86" spans="1:17" x14ac:dyDescent="0.2">
      <c r="A86" s="14" t="s">
        <v>85</v>
      </c>
      <c r="B86" s="14" t="s">
        <v>118</v>
      </c>
      <c r="C86" s="14">
        <v>1</v>
      </c>
      <c r="D86" s="14">
        <f t="array" ref="D86">IF(AND(INDEX('Thang 05-2026'!$A$3:$Q$102,MATCH(1,($A86='Thang 05-2026'!$A$3:$A$102)*($G86='Thang 05-2026'!$C$3:$C$102),0),11)=1,$B86="Triều Xuống"),1,IF(AND(INDEX('Thang 05-2026'!$A$3:$Q$102,MATCH(1,($A86='Thang 05-2026'!$A$3:$A$102)*($G86='Thang 05-2026'!$C$3:$C$102),0),10)=1,$B86="Triều Lên",INDEX('Thang 05-2026'!$A$3:$Q$102,MATCH(1,($A86='Thang 05-2026'!$A$3:$A$102)*($G86='Thang 05-2026'!$C$3:$C$102),0),11)=0),1,0))</f>
        <v>0</v>
      </c>
      <c r="E86" s="14">
        <f t="array" ref="E86">IF(AND(INDEX('Thang 05-2026'!$A$3:$Q$102,MATCH(1,($A86='Thang 05-2026'!$A$3:$A$102)*($G86='Thang 05-2026'!$C$3:$C$102),0),15)=1,$B86="Triều Xuống"),1,IF(AND(INDEX('Thang 05-2026'!$A$3:$Q$102,MATCH(1,($A86='Thang 05-2026'!$A$3:$A$102)*($G86='Thang 05-2026'!$C$3:$C$102),0),14)=1,$B86="Triều Lên",INDEX('Thang 05-2026'!$A$3:$Q$102,MATCH(1,($A86='Thang 05-2026'!$A$3:$A$102)*($G86='Thang 05-2026'!$C$3:$C$102),0),15)=0),1,0))</f>
        <v>0</v>
      </c>
      <c r="F86" s="14">
        <f t="shared" si="10"/>
        <v>0</v>
      </c>
      <c r="G86" s="14">
        <f>INDEX('Thang 05-2026'!$A$3:$C$102,MATCH(A86,'Thang 05-2026'!$A$3:$A$102,0),3)</f>
        <v>21</v>
      </c>
      <c r="H86" t="str">
        <f t="array" ref="H86">INDEX('TONG HOP DIA DIEM'!$A$2:$K$181,MATCH(1,($A86='TONG HOP DIA DIEM'!$A$2:$A$181)*($B86='TONG HOP DIA DIEM'!$B$2:$B$181),0),6)</f>
        <v>Ông Lớn - HCM_NM_OL - Triều Lên</v>
      </c>
      <c r="I86" t="str">
        <f t="array" ref="I86">INDEX('TONG HOP DIA DIEM'!$A$2:$K$181,MATCH(1,($A86='TONG HOP DIA DIEM'!$A$2:$A$181)*($B86='TONG HOP DIA DIEM'!$B$2:$B$181),0),7)</f>
        <v>Ông Lớn - Triều Lên</v>
      </c>
      <c r="J86">
        <f t="shared" si="11"/>
        <v>1</v>
      </c>
      <c r="K86">
        <f t="shared" si="12"/>
        <v>0</v>
      </c>
      <c r="L86">
        <f t="shared" si="13"/>
        <v>0</v>
      </c>
      <c r="M86">
        <f t="shared" si="14"/>
        <v>0</v>
      </c>
      <c r="N86">
        <f t="shared" si="15"/>
        <v>21</v>
      </c>
      <c r="O86" t="str">
        <f t="shared" si="16"/>
        <v/>
      </c>
      <c r="P86" t="str">
        <f t="shared" si="17"/>
        <v/>
      </c>
      <c r="Q86" t="str">
        <f t="shared" si="18"/>
        <v/>
      </c>
    </row>
    <row r="87" spans="1:17" x14ac:dyDescent="0.2">
      <c r="A87" s="14" t="s">
        <v>86</v>
      </c>
      <c r="B87" s="14" t="s">
        <v>118</v>
      </c>
      <c r="C87" s="14">
        <v>1</v>
      </c>
      <c r="D87" s="14">
        <f t="array" ref="D87">IF(AND(INDEX('Thang 05-2026'!$A$3:$Q$102,MATCH(1,($A87='Thang 05-2026'!$A$3:$A$102)*($G87='Thang 05-2026'!$C$3:$C$102),0),11)=1,$B87="Triều Xuống"),1,IF(AND(INDEX('Thang 05-2026'!$A$3:$Q$102,MATCH(1,($A87='Thang 05-2026'!$A$3:$A$102)*($G87='Thang 05-2026'!$C$3:$C$102),0),10)=1,$B87="Triều Lên",INDEX('Thang 05-2026'!$A$3:$Q$102,MATCH(1,($A87='Thang 05-2026'!$A$3:$A$102)*($G87='Thang 05-2026'!$C$3:$C$102),0),11)=0),1,0))</f>
        <v>0</v>
      </c>
      <c r="E87" s="14">
        <f t="array" ref="E87">IF(AND(INDEX('Thang 05-2026'!$A$3:$Q$102,MATCH(1,($A87='Thang 05-2026'!$A$3:$A$102)*($G87='Thang 05-2026'!$C$3:$C$102),0),15)=1,$B87="Triều Xuống"),1,IF(AND(INDEX('Thang 05-2026'!$A$3:$Q$102,MATCH(1,($A87='Thang 05-2026'!$A$3:$A$102)*($G87='Thang 05-2026'!$C$3:$C$102),0),14)=1,$B87="Triều Lên",INDEX('Thang 05-2026'!$A$3:$Q$102,MATCH(1,($A87='Thang 05-2026'!$A$3:$A$102)*($G87='Thang 05-2026'!$C$3:$C$102),0),15)=0),1,0))</f>
        <v>0</v>
      </c>
      <c r="F87" s="14">
        <f t="shared" si="10"/>
        <v>0</v>
      </c>
      <c r="G87" s="14">
        <f>INDEX('Thang 05-2026'!$A$3:$C$102,MATCH(A87,'Thang 05-2026'!$A$3:$A$102,0),3)</f>
        <v>21</v>
      </c>
      <c r="H87" t="str">
        <f t="array" ref="H87">INDEX('TONG HOP DIA DIEM'!$A$2:$K$181,MATCH(1,($A87='TONG HOP DIA DIEM'!$A$2:$A$181)*($B87='TONG HOP DIA DIEM'!$B$2:$B$181),0),6)</f>
        <v>Cần Giuộc - HCM_NM_CG - Triều Lên</v>
      </c>
      <c r="I87" t="str">
        <f t="array" ref="I87">INDEX('TONG HOP DIA DIEM'!$A$2:$K$181,MATCH(1,($A87='TONG HOP DIA DIEM'!$A$2:$A$181)*($B87='TONG HOP DIA DIEM'!$B$2:$B$181),0),7)</f>
        <v>Cần Giuộc - Triều Lên</v>
      </c>
      <c r="J87">
        <f t="shared" si="11"/>
        <v>1</v>
      </c>
      <c r="K87">
        <f t="shared" si="12"/>
        <v>0</v>
      </c>
      <c r="L87">
        <f t="shared" si="13"/>
        <v>0</v>
      </c>
      <c r="M87">
        <f t="shared" si="14"/>
        <v>0</v>
      </c>
      <c r="N87">
        <f t="shared" si="15"/>
        <v>21</v>
      </c>
      <c r="O87" t="str">
        <f t="shared" si="16"/>
        <v/>
      </c>
      <c r="P87" t="str">
        <f t="shared" si="17"/>
        <v/>
      </c>
      <c r="Q87" t="str">
        <f t="shared" si="18"/>
        <v/>
      </c>
    </row>
    <row r="88" spans="1:17" x14ac:dyDescent="0.2">
      <c r="A88" s="14" t="s">
        <v>82</v>
      </c>
      <c r="B88" s="14" t="s">
        <v>121</v>
      </c>
      <c r="C88" s="14">
        <v>1</v>
      </c>
      <c r="D88" s="14">
        <f t="array" ref="D88">IF(AND(INDEX('Thang 05-2026'!$A$3:$Q$102,MATCH(1,($A88='Thang 05-2026'!$A$3:$A$102)*($G88='Thang 05-2026'!$C$3:$C$102),0),11)=1,$B88="Triều Xuống"),1,IF(AND(INDEX('Thang 05-2026'!$A$3:$Q$102,MATCH(1,($A88='Thang 05-2026'!$A$3:$A$102)*($G88='Thang 05-2026'!$C$3:$C$102),0),10)=1,$B88="Triều Lên",INDEX('Thang 05-2026'!$A$3:$Q$102,MATCH(1,($A88='Thang 05-2026'!$A$3:$A$102)*($G88='Thang 05-2026'!$C$3:$C$102),0),11)=0),1,0))</f>
        <v>0</v>
      </c>
      <c r="E88" s="14">
        <f t="array" ref="E88">IF(AND(INDEX('Thang 05-2026'!$A$3:$Q$102,MATCH(1,($A88='Thang 05-2026'!$A$3:$A$102)*($G88='Thang 05-2026'!$C$3:$C$102),0),15)=1,$B88="Triều Xuống"),1,IF(AND(INDEX('Thang 05-2026'!$A$3:$Q$102,MATCH(1,($A88='Thang 05-2026'!$A$3:$A$102)*($G88='Thang 05-2026'!$C$3:$C$102),0),14)=1,$B88="Triều Lên",INDEX('Thang 05-2026'!$A$3:$Q$102,MATCH(1,($A88='Thang 05-2026'!$A$3:$A$102)*($G88='Thang 05-2026'!$C$3:$C$102),0),15)=0),1,0))</f>
        <v>1</v>
      </c>
      <c r="F88" s="14">
        <f t="shared" si="10"/>
        <v>2</v>
      </c>
      <c r="G88" s="14">
        <f>INDEX('Thang 05-2026'!$A$3:$C$102,MATCH(A88,'Thang 05-2026'!$A$3:$A$102,0),3)</f>
        <v>21</v>
      </c>
      <c r="H88" t="str">
        <f t="array" ref="H88">INDEX('TONG HOP DIA DIEM'!$A$2:$K$181,MATCH(1,($A88='TONG HOP DIA DIEM'!$A$2:$A$181)*($B88='TONG HOP DIA DIEM'!$B$2:$B$181),0),6)</f>
        <v>Cầu Rạch Ngang - HCM_NM_CRN - Triều Xuống</v>
      </c>
      <c r="I88" t="str">
        <f t="array" ref="I88">INDEX('TONG HOP DIA DIEM'!$A$2:$K$181,MATCH(1,($A88='TONG HOP DIA DIEM'!$A$2:$A$181)*($B88='TONG HOP DIA DIEM'!$B$2:$B$181),0),7)</f>
        <v>Cầu Rạch Ngang - Triều Xuống</v>
      </c>
      <c r="J88">
        <f t="shared" si="11"/>
        <v>1</v>
      </c>
      <c r="K88">
        <f t="shared" si="12"/>
        <v>0</v>
      </c>
      <c r="L88">
        <f t="shared" si="13"/>
        <v>1</v>
      </c>
      <c r="M88">
        <f t="shared" si="14"/>
        <v>2</v>
      </c>
      <c r="N88">
        <f t="shared" si="15"/>
        <v>21</v>
      </c>
      <c r="O88" t="str">
        <f t="shared" si="16"/>
        <v/>
      </c>
      <c r="P88" t="str">
        <f t="shared" si="17"/>
        <v>Cầu Rạch Ngang - Triều Xuống (QC - Mẫu trắng)</v>
      </c>
      <c r="Q88" t="str">
        <f t="shared" si="18"/>
        <v>Cầu Rạch Ngang - Triều Xuống (QC - Mẫu lặp)</v>
      </c>
    </row>
    <row r="89" spans="1:17" x14ac:dyDescent="0.2">
      <c r="A89" s="14" t="s">
        <v>84</v>
      </c>
      <c r="B89" s="14" t="s">
        <v>121</v>
      </c>
      <c r="C89" s="14">
        <v>1</v>
      </c>
      <c r="D89" s="14">
        <f t="array" ref="D89">IF(AND(INDEX('Thang 05-2026'!$A$3:$Q$102,MATCH(1,($A89='Thang 05-2026'!$A$3:$A$102)*($G89='Thang 05-2026'!$C$3:$C$102),0),11)=1,$B89="Triều Xuống"),1,IF(AND(INDEX('Thang 05-2026'!$A$3:$Q$102,MATCH(1,($A89='Thang 05-2026'!$A$3:$A$102)*($G89='Thang 05-2026'!$C$3:$C$102),0),10)=1,$B89="Triều Lên",INDEX('Thang 05-2026'!$A$3:$Q$102,MATCH(1,($A89='Thang 05-2026'!$A$3:$A$102)*($G89='Thang 05-2026'!$C$3:$C$102),0),11)=0),1,0))</f>
        <v>0</v>
      </c>
      <c r="E89" s="14">
        <f t="array" ref="E89">IF(AND(INDEX('Thang 05-2026'!$A$3:$Q$102,MATCH(1,($A89='Thang 05-2026'!$A$3:$A$102)*($G89='Thang 05-2026'!$C$3:$C$102),0),15)=1,$B89="Triều Xuống"),1,IF(AND(INDEX('Thang 05-2026'!$A$3:$Q$102,MATCH(1,($A89='Thang 05-2026'!$A$3:$A$102)*($G89='Thang 05-2026'!$C$3:$C$102),0),14)=1,$B89="Triều Lên",INDEX('Thang 05-2026'!$A$3:$Q$102,MATCH(1,($A89='Thang 05-2026'!$A$3:$A$102)*($G89='Thang 05-2026'!$C$3:$C$102),0),15)=0),1,0))</f>
        <v>0</v>
      </c>
      <c r="F89" s="14">
        <f t="shared" si="10"/>
        <v>0</v>
      </c>
      <c r="G89" s="14">
        <f>INDEX('Thang 05-2026'!$A$3:$C$102,MATCH(A89,'Thang 05-2026'!$A$3:$A$102,0),3)</f>
        <v>21</v>
      </c>
      <c r="H89" t="str">
        <f t="array" ref="H89">INDEX('TONG HOP DIA DIEM'!$A$2:$K$181,MATCH(1,($A89='TONG HOP DIA DIEM'!$A$2:$A$181)*($B89='TONG HOP DIA DIEM'!$B$2:$B$181),0),6)</f>
        <v>Xóm Củi - HCM_NM_XC - Triều Xuống</v>
      </c>
      <c r="I89" t="str">
        <f t="array" ref="I89">INDEX('TONG HOP DIA DIEM'!$A$2:$K$181,MATCH(1,($A89='TONG HOP DIA DIEM'!$A$2:$A$181)*($B89='TONG HOP DIA DIEM'!$B$2:$B$181),0),7)</f>
        <v>Xóm Củi - Triều Xuống</v>
      </c>
      <c r="J89">
        <f t="shared" si="11"/>
        <v>1</v>
      </c>
      <c r="K89">
        <f t="shared" si="12"/>
        <v>0</v>
      </c>
      <c r="L89">
        <f t="shared" si="13"/>
        <v>0</v>
      </c>
      <c r="M89">
        <f t="shared" si="14"/>
        <v>0</v>
      </c>
      <c r="N89">
        <f t="shared" si="15"/>
        <v>21</v>
      </c>
      <c r="O89" t="str">
        <f t="shared" si="16"/>
        <v/>
      </c>
      <c r="P89" t="str">
        <f t="shared" si="17"/>
        <v/>
      </c>
      <c r="Q89" t="str">
        <f t="shared" si="18"/>
        <v/>
      </c>
    </row>
    <row r="90" spans="1:17" x14ac:dyDescent="0.2">
      <c r="A90" s="14" t="s">
        <v>85</v>
      </c>
      <c r="B90" s="14" t="s">
        <v>121</v>
      </c>
      <c r="C90" s="14">
        <v>1</v>
      </c>
      <c r="D90" s="14">
        <f t="array" ref="D90">IF(AND(INDEX('Thang 05-2026'!$A$3:$Q$102,MATCH(1,($A90='Thang 05-2026'!$A$3:$A$102)*($G90='Thang 05-2026'!$C$3:$C$102),0),11)=1,$B90="Triều Xuống"),1,IF(AND(INDEX('Thang 05-2026'!$A$3:$Q$102,MATCH(1,($A90='Thang 05-2026'!$A$3:$A$102)*($G90='Thang 05-2026'!$C$3:$C$102),0),10)=1,$B90="Triều Lên",INDEX('Thang 05-2026'!$A$3:$Q$102,MATCH(1,($A90='Thang 05-2026'!$A$3:$A$102)*($G90='Thang 05-2026'!$C$3:$C$102),0),11)=0),1,0))</f>
        <v>0</v>
      </c>
      <c r="E90" s="14">
        <f t="array" ref="E90">IF(AND(INDEX('Thang 05-2026'!$A$3:$Q$102,MATCH(1,($A90='Thang 05-2026'!$A$3:$A$102)*($G90='Thang 05-2026'!$C$3:$C$102),0),15)=1,$B90="Triều Xuống"),1,IF(AND(INDEX('Thang 05-2026'!$A$3:$Q$102,MATCH(1,($A90='Thang 05-2026'!$A$3:$A$102)*($G90='Thang 05-2026'!$C$3:$C$102),0),14)=1,$B90="Triều Lên",INDEX('Thang 05-2026'!$A$3:$Q$102,MATCH(1,($A90='Thang 05-2026'!$A$3:$A$102)*($G90='Thang 05-2026'!$C$3:$C$102),0),15)=0),1,0))</f>
        <v>0</v>
      </c>
      <c r="F90" s="14">
        <f t="shared" si="10"/>
        <v>0</v>
      </c>
      <c r="G90" s="14">
        <f>INDEX('Thang 05-2026'!$A$3:$C$102,MATCH(A90,'Thang 05-2026'!$A$3:$A$102,0),3)</f>
        <v>21</v>
      </c>
      <c r="H90" t="str">
        <f t="array" ref="H90">INDEX('TONG HOP DIA DIEM'!$A$2:$K$181,MATCH(1,($A90='TONG HOP DIA DIEM'!$A$2:$A$181)*($B90='TONG HOP DIA DIEM'!$B$2:$B$181),0),6)</f>
        <v>Ông Lớn - HCM_NM_OL - Triều Xuống</v>
      </c>
      <c r="I90" t="str">
        <f t="array" ref="I90">INDEX('TONG HOP DIA DIEM'!$A$2:$K$181,MATCH(1,($A90='TONG HOP DIA DIEM'!$A$2:$A$181)*($B90='TONG HOP DIA DIEM'!$B$2:$B$181),0),7)</f>
        <v>Ông Lớn - Triều Xuống</v>
      </c>
      <c r="J90">
        <f t="shared" si="11"/>
        <v>1</v>
      </c>
      <c r="K90">
        <f t="shared" si="12"/>
        <v>0</v>
      </c>
      <c r="L90">
        <f t="shared" si="13"/>
        <v>0</v>
      </c>
      <c r="M90">
        <f t="shared" si="14"/>
        <v>0</v>
      </c>
      <c r="N90">
        <f t="shared" si="15"/>
        <v>21</v>
      </c>
      <c r="O90" t="str">
        <f t="shared" si="16"/>
        <v/>
      </c>
      <c r="P90" t="str">
        <f t="shared" si="17"/>
        <v/>
      </c>
      <c r="Q90" t="str">
        <f t="shared" si="18"/>
        <v/>
      </c>
    </row>
    <row r="91" spans="1:17" x14ac:dyDescent="0.2">
      <c r="A91" s="14" t="s">
        <v>86</v>
      </c>
      <c r="B91" s="14" t="s">
        <v>121</v>
      </c>
      <c r="C91" s="14">
        <v>1</v>
      </c>
      <c r="D91" s="14">
        <f t="array" ref="D91">IF(AND(INDEX('Thang 05-2026'!$A$3:$Q$102,MATCH(1,($A91='Thang 05-2026'!$A$3:$A$102)*($G91='Thang 05-2026'!$C$3:$C$102),0),11)=1,$B91="Triều Xuống"),1,IF(AND(INDEX('Thang 05-2026'!$A$3:$Q$102,MATCH(1,($A91='Thang 05-2026'!$A$3:$A$102)*($G91='Thang 05-2026'!$C$3:$C$102),0),10)=1,$B91="Triều Lên",INDEX('Thang 05-2026'!$A$3:$Q$102,MATCH(1,($A91='Thang 05-2026'!$A$3:$A$102)*($G91='Thang 05-2026'!$C$3:$C$102),0),11)=0),1,0))</f>
        <v>0</v>
      </c>
      <c r="E91" s="14">
        <f t="array" ref="E91">IF(AND(INDEX('Thang 05-2026'!$A$3:$Q$102,MATCH(1,($A91='Thang 05-2026'!$A$3:$A$102)*($G91='Thang 05-2026'!$C$3:$C$102),0),15)=1,$B91="Triều Xuống"),1,IF(AND(INDEX('Thang 05-2026'!$A$3:$Q$102,MATCH(1,($A91='Thang 05-2026'!$A$3:$A$102)*($G91='Thang 05-2026'!$C$3:$C$102),0),14)=1,$B91="Triều Lên",INDEX('Thang 05-2026'!$A$3:$Q$102,MATCH(1,($A91='Thang 05-2026'!$A$3:$A$102)*($G91='Thang 05-2026'!$C$3:$C$102),0),15)=0),1,0))</f>
        <v>0</v>
      </c>
      <c r="F91" s="14">
        <f t="shared" si="10"/>
        <v>0</v>
      </c>
      <c r="G91" s="14">
        <f>INDEX('Thang 05-2026'!$A$3:$C$102,MATCH(A91,'Thang 05-2026'!$A$3:$A$102,0),3)</f>
        <v>21</v>
      </c>
      <c r="H91" t="str">
        <f t="array" ref="H91">INDEX('TONG HOP DIA DIEM'!$A$2:$K$181,MATCH(1,($A91='TONG HOP DIA DIEM'!$A$2:$A$181)*($B91='TONG HOP DIA DIEM'!$B$2:$B$181),0),6)</f>
        <v>Cần Giuộc - HCM_NM_CG - Triều Xuống</v>
      </c>
      <c r="I91" t="str">
        <f t="array" ref="I91">INDEX('TONG HOP DIA DIEM'!$A$2:$K$181,MATCH(1,($A91='TONG HOP DIA DIEM'!$A$2:$A$181)*($B91='TONG HOP DIA DIEM'!$B$2:$B$181),0),7)</f>
        <v>Cần Giuộc - Triều Xuống</v>
      </c>
      <c r="J91">
        <f t="shared" si="11"/>
        <v>1</v>
      </c>
      <c r="K91">
        <f t="shared" si="12"/>
        <v>0</v>
      </c>
      <c r="L91">
        <f t="shared" si="13"/>
        <v>0</v>
      </c>
      <c r="M91">
        <f t="shared" si="14"/>
        <v>0</v>
      </c>
      <c r="N91">
        <f t="shared" si="15"/>
        <v>21</v>
      </c>
      <c r="O91" t="str">
        <f t="shared" si="16"/>
        <v/>
      </c>
      <c r="P91" t="str">
        <f t="shared" si="17"/>
        <v/>
      </c>
      <c r="Q91" t="str">
        <f t="shared" si="18"/>
        <v/>
      </c>
    </row>
    <row r="92" spans="1:17" x14ac:dyDescent="0.2">
      <c r="A92" s="14" t="s">
        <v>125</v>
      </c>
      <c r="B92" s="15" t="s">
        <v>304</v>
      </c>
      <c r="C92" s="14">
        <v>1</v>
      </c>
      <c r="D92" s="14">
        <f t="array" ref="D92">IF(AND(INDEX('Thang 05-2026'!$A$3:$Q$102,MATCH(1,($A92='Thang 05-2026'!$A$3:$A$102)*($G92='Thang 05-2026'!$C$3:$C$102),0),11)=1,$B92="Triều Xuống"),1,IF(AND(INDEX('Thang 05-2026'!$A$3:$Q$102,MATCH(1,($A92='Thang 05-2026'!$A$3:$A$102)*($G92='Thang 05-2026'!$C$3:$C$102),0),10)=1,$B92="Triều Lên",INDEX('Thang 05-2026'!$A$3:$Q$102,MATCH(1,($A92='Thang 05-2026'!$A$3:$A$102)*($G92='Thang 05-2026'!$C$3:$C$102),0),11)=0),1,0))</f>
        <v>0</v>
      </c>
      <c r="E92" s="14">
        <f t="array" ref="E92">IF(AND(INDEX('Thang 05-2026'!$A$3:$Q$102,MATCH(1,($A92='Thang 05-2026'!$A$3:$A$102)*($G92='Thang 05-2026'!$C$3:$C$102),0),15)=1,$B92="Triều Xuống"),1,IF(AND(INDEX('Thang 05-2026'!$A$3:$Q$102,MATCH(1,($A92='Thang 05-2026'!$A$3:$A$102)*($G92='Thang 05-2026'!$C$3:$C$102),0),14)=1,$B92="Triều Lên",INDEX('Thang 05-2026'!$A$3:$Q$102,MATCH(1,($A92='Thang 05-2026'!$A$3:$A$102)*($G92='Thang 05-2026'!$C$3:$C$102),0),15)=0),1,0))</f>
        <v>0</v>
      </c>
      <c r="F92" s="14">
        <f t="shared" si="10"/>
        <v>0</v>
      </c>
      <c r="G92" s="14">
        <v>22</v>
      </c>
      <c r="H92" t="str">
        <f t="array" ref="H92">INDEX('TONG HOP DIA DIEM'!$A$2:$K$181,MATCH(1,($A92='TONG HOP DIA DIEM'!$A$2:$A$181)*($B92='TONG HOP DIA DIEM'!$B$2:$B$181),0),6)</f>
        <v>ĐPNM1 - HCM_NM_ĐPNM1 - 01</v>
      </c>
      <c r="I92" t="str">
        <f t="array" ref="I92">INDEX('TONG HOP DIA DIEM'!$A$2:$K$181,MATCH(1,($A92='TONG HOP DIA DIEM'!$A$2:$A$181)*($B92='TONG HOP DIA DIEM'!$B$2:$B$181),0),7)</f>
        <v>ĐPNM1 - 01</v>
      </c>
      <c r="J92">
        <f t="shared" si="11"/>
        <v>1</v>
      </c>
      <c r="K92">
        <f t="shared" si="12"/>
        <v>0</v>
      </c>
      <c r="L92">
        <f t="shared" si="13"/>
        <v>0</v>
      </c>
      <c r="M92">
        <f t="shared" si="14"/>
        <v>0</v>
      </c>
      <c r="N92">
        <f t="shared" si="15"/>
        <v>22</v>
      </c>
      <c r="O92" t="str">
        <f t="shared" si="16"/>
        <v/>
      </c>
      <c r="P92" t="str">
        <f t="shared" si="17"/>
        <v/>
      </c>
      <c r="Q92" t="str">
        <f t="shared" si="18"/>
        <v/>
      </c>
    </row>
    <row r="93" spans="1:17" x14ac:dyDescent="0.2">
      <c r="A93" s="14" t="s">
        <v>126</v>
      </c>
      <c r="B93" s="15" t="s">
        <v>304</v>
      </c>
      <c r="C93" s="14">
        <v>1</v>
      </c>
      <c r="D93" s="14">
        <f t="array" ref="D93">IF(AND(INDEX('Thang 05-2026'!$A$3:$Q$102,MATCH(1,($A93='Thang 05-2026'!$A$3:$A$102)*($G93='Thang 05-2026'!$C$3:$C$102),0),11)=1,$B93="Triều Xuống"),1,IF(AND(INDEX('Thang 05-2026'!$A$3:$Q$102,MATCH(1,($A93='Thang 05-2026'!$A$3:$A$102)*($G93='Thang 05-2026'!$C$3:$C$102),0),10)=1,$B93="Triều Lên",INDEX('Thang 05-2026'!$A$3:$Q$102,MATCH(1,($A93='Thang 05-2026'!$A$3:$A$102)*($G93='Thang 05-2026'!$C$3:$C$102),0),11)=0),1,0))</f>
        <v>0</v>
      </c>
      <c r="E93" s="14">
        <f t="array" ref="E93">IF(AND(INDEX('Thang 05-2026'!$A$3:$Q$102,MATCH(1,($A93='Thang 05-2026'!$A$3:$A$102)*($G93='Thang 05-2026'!$C$3:$C$102),0),15)=1,$B93="Triều Xuống"),1,IF(AND(INDEX('Thang 05-2026'!$A$3:$Q$102,MATCH(1,($A93='Thang 05-2026'!$A$3:$A$102)*($G93='Thang 05-2026'!$C$3:$C$102),0),14)=1,$B93="Triều Lên",INDEX('Thang 05-2026'!$A$3:$Q$102,MATCH(1,($A93='Thang 05-2026'!$A$3:$A$102)*($G93='Thang 05-2026'!$C$3:$C$102),0),15)=0),1,0))</f>
        <v>0</v>
      </c>
      <c r="F93" s="14">
        <f t="shared" si="10"/>
        <v>0</v>
      </c>
      <c r="G93" s="14">
        <v>22</v>
      </c>
      <c r="H93" t="str">
        <f t="array" ref="H93">INDEX('TONG HOP DIA DIEM'!$A$2:$K$181,MATCH(1,($A93='TONG HOP DIA DIEM'!$A$2:$A$181)*($B93='TONG HOP DIA DIEM'!$B$2:$B$181),0),6)</f>
        <v>ĐPNM4 - HCM_NM_ĐPNM4 - 01</v>
      </c>
      <c r="I93" t="str">
        <f t="array" ref="I93">INDEX('TONG HOP DIA DIEM'!$A$2:$K$181,MATCH(1,($A93='TONG HOP DIA DIEM'!$A$2:$A$181)*($B93='TONG HOP DIA DIEM'!$B$2:$B$181),0),7)</f>
        <v>ĐPNM4 - 01</v>
      </c>
      <c r="J93">
        <f t="shared" si="11"/>
        <v>1</v>
      </c>
      <c r="K93">
        <f t="shared" si="12"/>
        <v>0</v>
      </c>
      <c r="L93">
        <f t="shared" si="13"/>
        <v>0</v>
      </c>
      <c r="M93">
        <f t="shared" si="14"/>
        <v>0</v>
      </c>
      <c r="N93">
        <f t="shared" si="15"/>
        <v>22</v>
      </c>
      <c r="O93" t="str">
        <f t="shared" si="16"/>
        <v/>
      </c>
      <c r="P93" t="str">
        <f t="shared" si="17"/>
        <v/>
      </c>
      <c r="Q93" t="str">
        <f t="shared" si="18"/>
        <v/>
      </c>
    </row>
    <row r="94" spans="1:17" x14ac:dyDescent="0.2">
      <c r="A94" s="14" t="s">
        <v>127</v>
      </c>
      <c r="B94" s="15" t="s">
        <v>304</v>
      </c>
      <c r="C94" s="14">
        <v>1</v>
      </c>
      <c r="D94" s="14">
        <f t="array" ref="D94">IF(AND(INDEX('Thang 05-2026'!$A$3:$Q$102,MATCH(1,($A94='Thang 05-2026'!$A$3:$A$102)*($G94='Thang 05-2026'!$C$3:$C$102),0),11)=1,$B94="Triều Xuống"),1,IF(AND(INDEX('Thang 05-2026'!$A$3:$Q$102,MATCH(1,($A94='Thang 05-2026'!$A$3:$A$102)*($G94='Thang 05-2026'!$C$3:$C$102),0),10)=1,$B94="Triều Lên",INDEX('Thang 05-2026'!$A$3:$Q$102,MATCH(1,($A94='Thang 05-2026'!$A$3:$A$102)*($G94='Thang 05-2026'!$C$3:$C$102),0),11)=0),1,0))</f>
        <v>0</v>
      </c>
      <c r="E94" s="14">
        <f t="array" ref="E94">IF(AND(INDEX('Thang 05-2026'!$A$3:$Q$102,MATCH(1,($A94='Thang 05-2026'!$A$3:$A$102)*($G94='Thang 05-2026'!$C$3:$C$102),0),15)=1,$B94="Triều Xuống"),1,IF(AND(INDEX('Thang 05-2026'!$A$3:$Q$102,MATCH(1,($A94='Thang 05-2026'!$A$3:$A$102)*($G94='Thang 05-2026'!$C$3:$C$102),0),14)=1,$B94="Triều Lên",INDEX('Thang 05-2026'!$A$3:$Q$102,MATCH(1,($A94='Thang 05-2026'!$A$3:$A$102)*($G94='Thang 05-2026'!$C$3:$C$102),0),15)=0),1,0))</f>
        <v>0</v>
      </c>
      <c r="F94" s="14">
        <f t="shared" si="10"/>
        <v>0</v>
      </c>
      <c r="G94" s="14">
        <v>22</v>
      </c>
      <c r="H94" t="str">
        <f t="array" ref="H94">INDEX('TONG HOP DIA DIEM'!$A$2:$K$181,MATCH(1,($A94='TONG HOP DIA DIEM'!$A$2:$A$181)*($B94='TONG HOP DIA DIEM'!$B$2:$B$181),0),6)</f>
        <v>ĐPNM5 - HCM_NM_ĐPNM5 - 01</v>
      </c>
      <c r="I94" t="str">
        <f t="array" ref="I94">INDEX('TONG HOP DIA DIEM'!$A$2:$K$181,MATCH(1,($A94='TONG HOP DIA DIEM'!$A$2:$A$181)*($B94='TONG HOP DIA DIEM'!$B$2:$B$181),0),7)</f>
        <v>ĐPNM5 - 01</v>
      </c>
      <c r="J94">
        <f t="shared" si="11"/>
        <v>1</v>
      </c>
      <c r="K94">
        <f t="shared" si="12"/>
        <v>0</v>
      </c>
      <c r="L94">
        <f t="shared" si="13"/>
        <v>0</v>
      </c>
      <c r="M94">
        <f t="shared" si="14"/>
        <v>0</v>
      </c>
      <c r="N94">
        <f t="shared" si="15"/>
        <v>22</v>
      </c>
      <c r="O94" t="str">
        <f t="shared" si="16"/>
        <v/>
      </c>
      <c r="P94" t="str">
        <f t="shared" si="17"/>
        <v/>
      </c>
      <c r="Q94" t="str">
        <f t="shared" si="18"/>
        <v/>
      </c>
    </row>
    <row r="95" spans="1:17" x14ac:dyDescent="0.2">
      <c r="A95" s="14" t="s">
        <v>128</v>
      </c>
      <c r="B95" s="15" t="s">
        <v>304</v>
      </c>
      <c r="C95" s="14">
        <v>1</v>
      </c>
      <c r="D95" s="14">
        <f t="array" ref="D95">IF(AND(INDEX('Thang 05-2026'!$A$3:$Q$102,MATCH(1,($A95='Thang 05-2026'!$A$3:$A$102)*($G95='Thang 05-2026'!$C$3:$C$102),0),11)=1,$B95="Triều Xuống"),1,IF(AND(INDEX('Thang 05-2026'!$A$3:$Q$102,MATCH(1,($A95='Thang 05-2026'!$A$3:$A$102)*($G95='Thang 05-2026'!$C$3:$C$102),0),10)=1,$B95="Triều Lên",INDEX('Thang 05-2026'!$A$3:$Q$102,MATCH(1,($A95='Thang 05-2026'!$A$3:$A$102)*($G95='Thang 05-2026'!$C$3:$C$102),0),11)=0),1,0))</f>
        <v>0</v>
      </c>
      <c r="E95" s="14">
        <f t="array" ref="E95">IF(AND(INDEX('Thang 05-2026'!$A$3:$Q$102,MATCH(1,($A95='Thang 05-2026'!$A$3:$A$102)*($G95='Thang 05-2026'!$C$3:$C$102),0),15)=1,$B95="Triều Xuống"),1,IF(AND(INDEX('Thang 05-2026'!$A$3:$Q$102,MATCH(1,($A95='Thang 05-2026'!$A$3:$A$102)*($G95='Thang 05-2026'!$C$3:$C$102),0),14)=1,$B95="Triều Lên",INDEX('Thang 05-2026'!$A$3:$Q$102,MATCH(1,($A95='Thang 05-2026'!$A$3:$A$102)*($G95='Thang 05-2026'!$C$3:$C$102),0),15)=0),1,0))</f>
        <v>0</v>
      </c>
      <c r="F95" s="14">
        <f t="shared" si="10"/>
        <v>0</v>
      </c>
      <c r="G95" s="14">
        <v>22</v>
      </c>
      <c r="H95" t="str">
        <f t="array" ref="H95">INDEX('TONG HOP DIA DIEM'!$A$2:$K$181,MATCH(1,($A95='TONG HOP DIA DIEM'!$A$2:$A$181)*($B95='TONG HOP DIA DIEM'!$B$2:$B$181),0),6)</f>
        <v>ĐPNM8 - HCM_NM_ĐPNM8 - 01</v>
      </c>
      <c r="I95" t="str">
        <f t="array" ref="I95">INDEX('TONG HOP DIA DIEM'!$A$2:$K$181,MATCH(1,($A95='TONG HOP DIA DIEM'!$A$2:$A$181)*($B95='TONG HOP DIA DIEM'!$B$2:$B$181),0),7)</f>
        <v>ĐPNM8 - 01</v>
      </c>
      <c r="J95">
        <f t="shared" si="11"/>
        <v>1</v>
      </c>
      <c r="K95">
        <f t="shared" si="12"/>
        <v>0</v>
      </c>
      <c r="L95">
        <f t="shared" si="13"/>
        <v>0</v>
      </c>
      <c r="M95">
        <f t="shared" si="14"/>
        <v>0</v>
      </c>
      <c r="N95">
        <f t="shared" si="15"/>
        <v>22</v>
      </c>
      <c r="O95" t="str">
        <f t="shared" si="16"/>
        <v/>
      </c>
      <c r="P95" t="str">
        <f t="shared" si="17"/>
        <v/>
      </c>
      <c r="Q95" t="str">
        <f t="shared" si="18"/>
        <v/>
      </c>
    </row>
    <row r="96" spans="1:17" x14ac:dyDescent="0.2">
      <c r="A96" s="14" t="s">
        <v>125</v>
      </c>
      <c r="B96" s="15" t="s">
        <v>377</v>
      </c>
      <c r="C96" s="14">
        <v>1</v>
      </c>
      <c r="D96" s="14">
        <f t="array" ref="D96">IF(AND(INDEX('Thang 05-2026'!$A$3:$Q$102,MATCH(1,($A96='Thang 05-2026'!$A$3:$A$102)*($G96='Thang 05-2026'!$C$3:$C$102),0),11)=1,$B96="Triều Xuống"),1,IF(AND(INDEX('Thang 05-2026'!$A$3:$Q$102,MATCH(1,($A96='Thang 05-2026'!$A$3:$A$102)*($G96='Thang 05-2026'!$C$3:$C$102),0),10)=1,$B96="Triều Lên",INDEX('Thang 05-2026'!$A$3:$Q$102,MATCH(1,($A96='Thang 05-2026'!$A$3:$A$102)*($G96='Thang 05-2026'!$C$3:$C$102),0),11)=0),1,0))</f>
        <v>0</v>
      </c>
      <c r="E96" s="14">
        <f t="array" ref="E96">IF(AND(INDEX('Thang 05-2026'!$A$3:$Q$102,MATCH(1,($A96='Thang 05-2026'!$A$3:$A$102)*($G96='Thang 05-2026'!$C$3:$C$102),0),15)=1,$B96="Triều Xuống"),1,IF(AND(INDEX('Thang 05-2026'!$A$3:$Q$102,MATCH(1,($A96='Thang 05-2026'!$A$3:$A$102)*($G96='Thang 05-2026'!$C$3:$C$102),0),14)=1,$B96="Triều Lên",INDEX('Thang 05-2026'!$A$3:$Q$102,MATCH(1,($A96='Thang 05-2026'!$A$3:$A$102)*($G96='Thang 05-2026'!$C$3:$C$102),0),15)=0),1,0))</f>
        <v>0</v>
      </c>
      <c r="F96" s="14">
        <f t="shared" si="10"/>
        <v>0</v>
      </c>
      <c r="G96" s="14">
        <v>22</v>
      </c>
      <c r="H96" t="str">
        <f t="array" ref="H96">INDEX('TONG HOP DIA DIEM'!$A$2:$K$181,MATCH(1,($A96='TONG HOP DIA DIEM'!$A$2:$A$181)*($B96='TONG HOP DIA DIEM'!$B$2:$B$181),0),6)</f>
        <v>ĐPNM1 - HCM_NM_ĐPNM1 - 02</v>
      </c>
      <c r="I96" t="str">
        <f t="array" ref="I96">INDEX('TONG HOP DIA DIEM'!$A$2:$K$181,MATCH(1,($A96='TONG HOP DIA DIEM'!$A$2:$A$181)*($B96='TONG HOP DIA DIEM'!$B$2:$B$181),0),7)</f>
        <v>ĐPNM1 - 02</v>
      </c>
      <c r="J96">
        <f t="shared" si="11"/>
        <v>1</v>
      </c>
      <c r="K96">
        <f t="shared" si="12"/>
        <v>0</v>
      </c>
      <c r="L96">
        <f t="shared" si="13"/>
        <v>0</v>
      </c>
      <c r="M96">
        <f t="shared" si="14"/>
        <v>0</v>
      </c>
      <c r="N96">
        <f t="shared" si="15"/>
        <v>22</v>
      </c>
      <c r="O96" t="str">
        <f t="shared" si="16"/>
        <v/>
      </c>
      <c r="P96" t="str">
        <f t="shared" si="17"/>
        <v/>
      </c>
      <c r="Q96" t="str">
        <f t="shared" si="18"/>
        <v/>
      </c>
    </row>
    <row r="97" spans="1:17" x14ac:dyDescent="0.2">
      <c r="A97" s="14" t="s">
        <v>126</v>
      </c>
      <c r="B97" s="15" t="s">
        <v>377</v>
      </c>
      <c r="C97" s="14">
        <v>1</v>
      </c>
      <c r="D97" s="14">
        <f t="array" ref="D97">IF(AND(INDEX('Thang 05-2026'!$A$3:$Q$102,MATCH(1,($A97='Thang 05-2026'!$A$3:$A$102)*($G97='Thang 05-2026'!$C$3:$C$102),0),11)=1,$B97="Triều Xuống"),1,IF(AND(INDEX('Thang 05-2026'!$A$3:$Q$102,MATCH(1,($A97='Thang 05-2026'!$A$3:$A$102)*($G97='Thang 05-2026'!$C$3:$C$102),0),10)=1,$B97="Triều Lên",INDEX('Thang 05-2026'!$A$3:$Q$102,MATCH(1,($A97='Thang 05-2026'!$A$3:$A$102)*($G97='Thang 05-2026'!$C$3:$C$102),0),11)=0),1,0))</f>
        <v>0</v>
      </c>
      <c r="E97" s="14">
        <f t="array" ref="E97">IF(AND(INDEX('Thang 05-2026'!$A$3:$Q$102,MATCH(1,($A97='Thang 05-2026'!$A$3:$A$102)*($G97='Thang 05-2026'!$C$3:$C$102),0),15)=1,$B97="Triều Xuống"),1,IF(AND(INDEX('Thang 05-2026'!$A$3:$Q$102,MATCH(1,($A97='Thang 05-2026'!$A$3:$A$102)*($G97='Thang 05-2026'!$C$3:$C$102),0),14)=1,$B97="Triều Lên",INDEX('Thang 05-2026'!$A$3:$Q$102,MATCH(1,($A97='Thang 05-2026'!$A$3:$A$102)*($G97='Thang 05-2026'!$C$3:$C$102),0),15)=0),1,0))</f>
        <v>0</v>
      </c>
      <c r="F97" s="14">
        <f t="shared" si="10"/>
        <v>0</v>
      </c>
      <c r="G97" s="14">
        <v>22</v>
      </c>
      <c r="H97" t="str">
        <f t="array" ref="H97">INDEX('TONG HOP DIA DIEM'!$A$2:$K$181,MATCH(1,($A97='TONG HOP DIA DIEM'!$A$2:$A$181)*($B97='TONG HOP DIA DIEM'!$B$2:$B$181),0),6)</f>
        <v>ĐPNM4 - HCM_NM_ĐPNM4 - 02</v>
      </c>
      <c r="I97" t="str">
        <f t="array" ref="I97">INDEX('TONG HOP DIA DIEM'!$A$2:$K$181,MATCH(1,($A97='TONG HOP DIA DIEM'!$A$2:$A$181)*($B97='TONG HOP DIA DIEM'!$B$2:$B$181),0),7)</f>
        <v>ĐPNM4 - 02</v>
      </c>
      <c r="J97">
        <f t="shared" si="11"/>
        <v>1</v>
      </c>
      <c r="K97">
        <f t="shared" si="12"/>
        <v>0</v>
      </c>
      <c r="L97">
        <f t="shared" si="13"/>
        <v>0</v>
      </c>
      <c r="M97">
        <f t="shared" si="14"/>
        <v>0</v>
      </c>
      <c r="N97">
        <f t="shared" si="15"/>
        <v>22</v>
      </c>
      <c r="O97" t="str">
        <f t="shared" si="16"/>
        <v/>
      </c>
      <c r="P97" t="str">
        <f t="shared" si="17"/>
        <v/>
      </c>
      <c r="Q97" t="str">
        <f t="shared" si="18"/>
        <v/>
      </c>
    </row>
    <row r="98" spans="1:17" x14ac:dyDescent="0.2">
      <c r="A98" s="14" t="s">
        <v>127</v>
      </c>
      <c r="B98" s="15" t="s">
        <v>377</v>
      </c>
      <c r="C98" s="14">
        <v>1</v>
      </c>
      <c r="D98" s="14">
        <f t="array" ref="D98">IF(AND(INDEX('Thang 05-2026'!$A$3:$Q$102,MATCH(1,($A98='Thang 05-2026'!$A$3:$A$102)*($G98='Thang 05-2026'!$C$3:$C$102),0),11)=1,$B98="Triều Xuống"),1,IF(AND(INDEX('Thang 05-2026'!$A$3:$Q$102,MATCH(1,($A98='Thang 05-2026'!$A$3:$A$102)*($G98='Thang 05-2026'!$C$3:$C$102),0),10)=1,$B98="Triều Lên",INDEX('Thang 05-2026'!$A$3:$Q$102,MATCH(1,($A98='Thang 05-2026'!$A$3:$A$102)*($G98='Thang 05-2026'!$C$3:$C$102),0),11)=0),1,0))</f>
        <v>0</v>
      </c>
      <c r="E98" s="14">
        <f t="array" ref="E98">IF(AND(INDEX('Thang 05-2026'!$A$3:$Q$102,MATCH(1,($A98='Thang 05-2026'!$A$3:$A$102)*($G98='Thang 05-2026'!$C$3:$C$102),0),15)=1,$B98="Triều Xuống"),1,IF(AND(INDEX('Thang 05-2026'!$A$3:$Q$102,MATCH(1,($A98='Thang 05-2026'!$A$3:$A$102)*($G98='Thang 05-2026'!$C$3:$C$102),0),14)=1,$B98="Triều Lên",INDEX('Thang 05-2026'!$A$3:$Q$102,MATCH(1,($A98='Thang 05-2026'!$A$3:$A$102)*($G98='Thang 05-2026'!$C$3:$C$102),0),15)=0),1,0))</f>
        <v>0</v>
      </c>
      <c r="F98" s="14">
        <f t="shared" si="10"/>
        <v>0</v>
      </c>
      <c r="G98" s="14">
        <v>22</v>
      </c>
      <c r="H98" t="str">
        <f t="array" ref="H98">INDEX('TONG HOP DIA DIEM'!$A$2:$K$181,MATCH(1,($A98='TONG HOP DIA DIEM'!$A$2:$A$181)*($B98='TONG HOP DIA DIEM'!$B$2:$B$181),0),6)</f>
        <v>ĐPNM5 - HCM_NM_ĐPNM5 - 02</v>
      </c>
      <c r="I98" t="str">
        <f t="array" ref="I98">INDEX('TONG HOP DIA DIEM'!$A$2:$K$181,MATCH(1,($A98='TONG HOP DIA DIEM'!$A$2:$A$181)*($B98='TONG HOP DIA DIEM'!$B$2:$B$181),0),7)</f>
        <v>ĐPNM5 - 02</v>
      </c>
      <c r="J98">
        <f t="shared" si="11"/>
        <v>1</v>
      </c>
      <c r="K98">
        <f t="shared" si="12"/>
        <v>0</v>
      </c>
      <c r="L98">
        <f t="shared" si="13"/>
        <v>0</v>
      </c>
      <c r="M98">
        <f t="shared" si="14"/>
        <v>0</v>
      </c>
      <c r="N98">
        <f t="shared" si="15"/>
        <v>22</v>
      </c>
      <c r="O98" t="str">
        <f t="shared" si="16"/>
        <v/>
      </c>
      <c r="P98" t="str">
        <f t="shared" si="17"/>
        <v/>
      </c>
      <c r="Q98" t="str">
        <f t="shared" si="18"/>
        <v/>
      </c>
    </row>
    <row r="99" spans="1:17" x14ac:dyDescent="0.2">
      <c r="A99" s="14" t="s">
        <v>128</v>
      </c>
      <c r="B99" s="15" t="s">
        <v>377</v>
      </c>
      <c r="C99" s="14">
        <v>1</v>
      </c>
      <c r="D99" s="14">
        <f t="array" ref="D99">IF(AND(INDEX('Thang 05-2026'!$A$3:$Q$102,MATCH(1,($A99='Thang 05-2026'!$A$3:$A$102)*($G99='Thang 05-2026'!$C$3:$C$102),0),11)=1,$B99="Triều Xuống"),1,IF(AND(INDEX('Thang 05-2026'!$A$3:$Q$102,MATCH(1,($A99='Thang 05-2026'!$A$3:$A$102)*($G99='Thang 05-2026'!$C$3:$C$102),0),10)=1,$B99="Triều Lên",INDEX('Thang 05-2026'!$A$3:$Q$102,MATCH(1,($A99='Thang 05-2026'!$A$3:$A$102)*($G99='Thang 05-2026'!$C$3:$C$102),0),11)=0),1,0))</f>
        <v>0</v>
      </c>
      <c r="E99" s="14">
        <f t="array" ref="E99">IF(AND(INDEX('Thang 05-2026'!$A$3:$Q$102,MATCH(1,($A99='Thang 05-2026'!$A$3:$A$102)*($G99='Thang 05-2026'!$C$3:$C$102),0),15)=1,$B99="Triều Xuống"),1,IF(AND(INDEX('Thang 05-2026'!$A$3:$Q$102,MATCH(1,($A99='Thang 05-2026'!$A$3:$A$102)*($G99='Thang 05-2026'!$C$3:$C$102),0),14)=1,$B99="Triều Lên",INDEX('Thang 05-2026'!$A$3:$Q$102,MATCH(1,($A99='Thang 05-2026'!$A$3:$A$102)*($G99='Thang 05-2026'!$C$3:$C$102),0),15)=0),1,0))</f>
        <v>0</v>
      </c>
      <c r="F99" s="14">
        <f t="shared" si="10"/>
        <v>0</v>
      </c>
      <c r="G99" s="14">
        <v>22</v>
      </c>
      <c r="H99" t="str">
        <f t="array" ref="H99">INDEX('TONG HOP DIA DIEM'!$A$2:$K$181,MATCH(1,($A99='TONG HOP DIA DIEM'!$A$2:$A$181)*($B99='TONG HOP DIA DIEM'!$B$2:$B$181),0),6)</f>
        <v>ĐPNM8 - HCM_NM_ĐPNM8 - 02</v>
      </c>
      <c r="I99" t="str">
        <f t="array" ref="I99">INDEX('TONG HOP DIA DIEM'!$A$2:$K$181,MATCH(1,($A99='TONG HOP DIA DIEM'!$A$2:$A$181)*($B99='TONG HOP DIA DIEM'!$B$2:$B$181),0),7)</f>
        <v>ĐPNM8 - 02</v>
      </c>
      <c r="J99">
        <f t="shared" si="11"/>
        <v>1</v>
      </c>
      <c r="K99">
        <f t="shared" si="12"/>
        <v>0</v>
      </c>
      <c r="L99">
        <f t="shared" si="13"/>
        <v>0</v>
      </c>
      <c r="M99">
        <f t="shared" si="14"/>
        <v>0</v>
      </c>
      <c r="N99">
        <f t="shared" si="15"/>
        <v>22</v>
      </c>
      <c r="O99" t="str">
        <f t="shared" si="16"/>
        <v/>
      </c>
      <c r="P99" t="str">
        <f t="shared" si="17"/>
        <v/>
      </c>
      <c r="Q99" t="str">
        <f t="shared" si="18"/>
        <v/>
      </c>
    </row>
    <row r="100" spans="1:17" x14ac:dyDescent="0.2">
      <c r="A100" s="14" t="s">
        <v>102</v>
      </c>
      <c r="B100" s="14" t="s">
        <v>118</v>
      </c>
      <c r="C100" s="14">
        <v>1</v>
      </c>
      <c r="D100" s="14">
        <f t="array" ref="D100">IF(AND(INDEX('Thang 05-2026'!$A$3:$Q$102,MATCH(1,($A100='Thang 05-2026'!$A$3:$A$102)*($G100='Thang 05-2026'!$C$3:$C$102),0),11)=1,$B100="Triều Xuống"),1,IF(AND(INDEX('Thang 05-2026'!$A$3:$Q$102,MATCH(1,($A100='Thang 05-2026'!$A$3:$A$102)*($G100='Thang 05-2026'!$C$3:$C$102),0),10)=1,$B100="Triều Lên",INDEX('Thang 05-2026'!$A$3:$Q$102,MATCH(1,($A100='Thang 05-2026'!$A$3:$A$102)*($G100='Thang 05-2026'!$C$3:$C$102),0),11)=0),1,0))</f>
        <v>0</v>
      </c>
      <c r="E100" s="14">
        <f t="array" ref="E100">IF(AND(INDEX('Thang 05-2026'!$A$3:$Q$102,MATCH(1,($A100='Thang 05-2026'!$A$3:$A$102)*($G100='Thang 05-2026'!$C$3:$C$102),0),15)=1,$B100="Triều Xuống"),1,IF(AND(INDEX('Thang 05-2026'!$A$3:$Q$102,MATCH(1,($A100='Thang 05-2026'!$A$3:$A$102)*($G100='Thang 05-2026'!$C$3:$C$102),0),14)=1,$B100="Triều Lên",INDEX('Thang 05-2026'!$A$3:$Q$102,MATCH(1,($A100='Thang 05-2026'!$A$3:$A$102)*($G100='Thang 05-2026'!$C$3:$C$102),0),15)=0),1,0))</f>
        <v>0</v>
      </c>
      <c r="F100" s="14">
        <f t="shared" si="10"/>
        <v>0</v>
      </c>
      <c r="G100" s="14">
        <f>INDEX('Thang 05-2026'!$A$3:$C$102,MATCH(A100,'Thang 05-2026'!$A$3:$A$102,0),3)</f>
        <v>26</v>
      </c>
      <c r="H100" t="str">
        <f t="array" ref="H100">INDEX('TONG HOP DIA DIEM'!$A$2:$K$181,MATCH(1,($A100='TONG HOP DIA DIEM'!$A$2:$A$181)*($B100='TONG HOP DIA DIEM'!$B$2:$B$181),0),6)</f>
        <v>Cầu Gò Công - HCM_NM_CGC - Triều Lên</v>
      </c>
      <c r="I100" t="str">
        <f t="array" ref="I100">INDEX('TONG HOP DIA DIEM'!$A$2:$K$181,MATCH(1,($A100='TONG HOP DIA DIEM'!$A$2:$A$181)*($B100='TONG HOP DIA DIEM'!$B$2:$B$181),0),7)</f>
        <v>Cầu Gò Công - Triều Lên</v>
      </c>
      <c r="J100">
        <f t="shared" si="11"/>
        <v>1</v>
      </c>
      <c r="K100">
        <f t="shared" si="12"/>
        <v>0</v>
      </c>
      <c r="L100">
        <f t="shared" si="13"/>
        <v>0</v>
      </c>
      <c r="M100">
        <f t="shared" si="14"/>
        <v>0</v>
      </c>
      <c r="N100">
        <f t="shared" si="15"/>
        <v>26</v>
      </c>
      <c r="O100" t="str">
        <f t="shared" si="16"/>
        <v/>
      </c>
      <c r="P100" t="str">
        <f t="shared" si="17"/>
        <v/>
      </c>
      <c r="Q100" t="str">
        <f t="shared" si="18"/>
        <v/>
      </c>
    </row>
    <row r="101" spans="1:17" x14ac:dyDescent="0.2">
      <c r="A101" s="14" t="s">
        <v>102</v>
      </c>
      <c r="B101" s="14" t="s">
        <v>121</v>
      </c>
      <c r="C101" s="14">
        <v>1</v>
      </c>
      <c r="D101" s="14">
        <f t="array" ref="D101">IF(AND(INDEX('Thang 05-2026'!$A$3:$Q$102,MATCH(1,($A101='Thang 05-2026'!$A$3:$A$102)*($G101='Thang 05-2026'!$C$3:$C$102),0),11)=1,$B101="Triều Xuống"),1,IF(AND(INDEX('Thang 05-2026'!$A$3:$Q$102,MATCH(1,($A101='Thang 05-2026'!$A$3:$A$102)*($G101='Thang 05-2026'!$C$3:$C$102),0),10)=1,$B101="Triều Lên",INDEX('Thang 05-2026'!$A$3:$Q$102,MATCH(1,($A101='Thang 05-2026'!$A$3:$A$102)*($G101='Thang 05-2026'!$C$3:$C$102),0),11)=0),1,0))</f>
        <v>0</v>
      </c>
      <c r="E101" s="14">
        <f t="array" ref="E101">IF(AND(INDEX('Thang 05-2026'!$A$3:$Q$102,MATCH(1,($A101='Thang 05-2026'!$A$3:$A$102)*($G101='Thang 05-2026'!$C$3:$C$102),0),15)=1,$B101="Triều Xuống"),1,IF(AND(INDEX('Thang 05-2026'!$A$3:$Q$102,MATCH(1,($A101='Thang 05-2026'!$A$3:$A$102)*($G101='Thang 05-2026'!$C$3:$C$102),0),14)=1,$B101="Triều Lên",INDEX('Thang 05-2026'!$A$3:$Q$102,MATCH(1,($A101='Thang 05-2026'!$A$3:$A$102)*($G101='Thang 05-2026'!$C$3:$C$102),0),15)=0),1,0))</f>
        <v>0</v>
      </c>
      <c r="F101" s="14">
        <f t="shared" si="10"/>
        <v>0</v>
      </c>
      <c r="G101" s="14">
        <f>INDEX('Thang 05-2026'!$A$3:$C$102,MATCH(A101,'Thang 05-2026'!$A$3:$A$102,0),3)</f>
        <v>26</v>
      </c>
      <c r="H101" t="str">
        <f t="array" ref="H101">INDEX('TONG HOP DIA DIEM'!$A$2:$K$181,MATCH(1,($A101='TONG HOP DIA DIEM'!$A$2:$A$181)*($B101='TONG HOP DIA DIEM'!$B$2:$B$181),0),6)</f>
        <v>Cầu Gò Công - HCM_NM_CGC - Triều Xuống</v>
      </c>
      <c r="I101" t="str">
        <f t="array" ref="I101">INDEX('TONG HOP DIA DIEM'!$A$2:$K$181,MATCH(1,($A101='TONG HOP DIA DIEM'!$A$2:$A$181)*($B101='TONG HOP DIA DIEM'!$B$2:$B$181),0),7)</f>
        <v>Cầu Gò Công - Triều Xuống</v>
      </c>
      <c r="J101">
        <f t="shared" si="11"/>
        <v>1</v>
      </c>
      <c r="K101">
        <f t="shared" si="12"/>
        <v>0</v>
      </c>
      <c r="L101">
        <f t="shared" si="13"/>
        <v>0</v>
      </c>
      <c r="M101">
        <f t="shared" si="14"/>
        <v>0</v>
      </c>
      <c r="N101">
        <f t="shared" si="15"/>
        <v>26</v>
      </c>
      <c r="O101" t="str">
        <f t="shared" si="16"/>
        <v/>
      </c>
      <c r="P101" t="str">
        <f t="shared" si="17"/>
        <v/>
      </c>
      <c r="Q101" t="str">
        <f t="shared" si="18"/>
        <v/>
      </c>
    </row>
    <row r="102" spans="1:17" x14ac:dyDescent="0.2">
      <c r="A102" s="14" t="s">
        <v>103</v>
      </c>
      <c r="B102" s="14" t="s">
        <v>118</v>
      </c>
      <c r="C102" s="14">
        <v>1</v>
      </c>
      <c r="D102" s="14">
        <f t="array" ref="D102">IF(AND(INDEX('Thang 05-2026'!$A$3:$Q$102,MATCH(1,($A102='Thang 05-2026'!$A$3:$A$102)*($G102='Thang 05-2026'!$C$3:$C$102),0),11)=1,$B102="Triều Xuống"),1,IF(AND(INDEX('Thang 05-2026'!$A$3:$Q$102,MATCH(1,($A102='Thang 05-2026'!$A$3:$A$102)*($G102='Thang 05-2026'!$C$3:$C$102),0),10)=1,$B102="Triều Lên",INDEX('Thang 05-2026'!$A$3:$Q$102,MATCH(1,($A102='Thang 05-2026'!$A$3:$A$102)*($G102='Thang 05-2026'!$C$3:$C$102),0),11)=0),1,0))</f>
        <v>0</v>
      </c>
      <c r="E102" s="14">
        <f t="array" ref="E102">IF(AND(INDEX('Thang 05-2026'!$A$3:$Q$102,MATCH(1,($A102='Thang 05-2026'!$A$3:$A$102)*($G102='Thang 05-2026'!$C$3:$C$102),0),15)=1,$B102="Triều Xuống"),1,IF(AND(INDEX('Thang 05-2026'!$A$3:$Q$102,MATCH(1,($A102='Thang 05-2026'!$A$3:$A$102)*($G102='Thang 05-2026'!$C$3:$C$102),0),14)=1,$B102="Triều Lên",INDEX('Thang 05-2026'!$A$3:$Q$102,MATCH(1,($A102='Thang 05-2026'!$A$3:$A$102)*($G102='Thang 05-2026'!$C$3:$C$102),0),15)=0),1,0))</f>
        <v>0</v>
      </c>
      <c r="F102" s="14">
        <f t="shared" si="10"/>
        <v>0</v>
      </c>
      <c r="G102" s="14">
        <f>INDEX('Thang 05-2026'!$A$3:$C$102,MATCH(A102,'Thang 05-2026'!$A$3:$A$102,0),3)</f>
        <v>27</v>
      </c>
      <c r="H102" t="str">
        <f t="array" ref="H102">INDEX('TONG HOP DIA DIEM'!$A$2:$K$181,MATCH(1,($A102='TONG HOP DIA DIEM'!$A$2:$A$181)*($B102='TONG HOP DIA DIEM'!$B$2:$B$181),0),6)</f>
        <v>Hồ Ngọc Lãm - HCM_NM_HNL - Triều Lên</v>
      </c>
      <c r="I102" t="str">
        <f t="array" ref="I102">INDEX('TONG HOP DIA DIEM'!$A$2:$K$181,MATCH(1,($A102='TONG HOP DIA DIEM'!$A$2:$A$181)*($B102='TONG HOP DIA DIEM'!$B$2:$B$181),0),7)</f>
        <v>Hồ Ngọc Lãm - Triều Lên</v>
      </c>
      <c r="J102">
        <f t="shared" si="11"/>
        <v>1</v>
      </c>
      <c r="K102">
        <f t="shared" si="12"/>
        <v>0</v>
      </c>
      <c r="L102">
        <f t="shared" si="13"/>
        <v>0</v>
      </c>
      <c r="M102">
        <f t="shared" si="14"/>
        <v>0</v>
      </c>
      <c r="N102">
        <f t="shared" si="15"/>
        <v>27</v>
      </c>
      <c r="O102" t="str">
        <f t="shared" si="16"/>
        <v/>
      </c>
      <c r="P102" t="str">
        <f t="shared" si="17"/>
        <v/>
      </c>
      <c r="Q102" t="str">
        <f t="shared" si="18"/>
        <v/>
      </c>
    </row>
    <row r="103" spans="1:17" x14ac:dyDescent="0.2">
      <c r="A103" s="14" t="s">
        <v>105</v>
      </c>
      <c r="B103" s="14" t="s">
        <v>118</v>
      </c>
      <c r="C103" s="14">
        <v>1</v>
      </c>
      <c r="D103" s="14">
        <f t="array" ref="D103">IF(AND(INDEX('Thang 05-2026'!$A$3:$Q$102,MATCH(1,($A103='Thang 05-2026'!$A$3:$A$102)*($G103='Thang 05-2026'!$C$3:$C$102),0),11)=1,$B103="Triều Xuống"),1,IF(AND(INDEX('Thang 05-2026'!$A$3:$Q$102,MATCH(1,($A103='Thang 05-2026'!$A$3:$A$102)*($G103='Thang 05-2026'!$C$3:$C$102),0),10)=1,$B103="Triều Lên",INDEX('Thang 05-2026'!$A$3:$Q$102,MATCH(1,($A103='Thang 05-2026'!$A$3:$A$102)*($G103='Thang 05-2026'!$C$3:$C$102),0),11)=0),1,0))</f>
        <v>0</v>
      </c>
      <c r="E103" s="14">
        <f t="array" ref="E103">IF(AND(INDEX('Thang 05-2026'!$A$3:$Q$102,MATCH(1,($A103='Thang 05-2026'!$A$3:$A$102)*($G103='Thang 05-2026'!$C$3:$C$102),0),15)=1,$B103="Triều Xuống"),1,IF(AND(INDEX('Thang 05-2026'!$A$3:$Q$102,MATCH(1,($A103='Thang 05-2026'!$A$3:$A$102)*($G103='Thang 05-2026'!$C$3:$C$102),0),14)=1,$B103="Triều Lên",INDEX('Thang 05-2026'!$A$3:$Q$102,MATCH(1,($A103='Thang 05-2026'!$A$3:$A$102)*($G103='Thang 05-2026'!$C$3:$C$102),0),15)=0),1,0))</f>
        <v>0</v>
      </c>
      <c r="F103" s="14">
        <f t="shared" si="10"/>
        <v>0</v>
      </c>
      <c r="G103" s="14">
        <f>INDEX('Thang 05-2026'!$A$3:$C$102,MATCH(A103,'Thang 05-2026'!$A$3:$A$102,0),3)</f>
        <v>27</v>
      </c>
      <c r="H103" t="str">
        <f t="array" ref="H103">INDEX('TONG HOP DIA DIEM'!$A$2:$K$181,MATCH(1,($A103='TONG HOP DIA DIEM'!$A$2:$A$181)*($B103='TONG HOP DIA DIEM'!$B$2:$B$181),0),6)</f>
        <v>Bình Ðiền - HCM_NM_BĐ - Triều Lên</v>
      </c>
      <c r="I103" t="str">
        <f t="array" ref="I103">INDEX('TONG HOP DIA DIEM'!$A$2:$K$181,MATCH(1,($A103='TONG HOP DIA DIEM'!$A$2:$A$181)*($B103='TONG HOP DIA DIEM'!$B$2:$B$181),0),7)</f>
        <v>Bình Ðiền - Triều Lên</v>
      </c>
      <c r="J103">
        <f t="shared" si="11"/>
        <v>1</v>
      </c>
      <c r="K103">
        <f t="shared" si="12"/>
        <v>0</v>
      </c>
      <c r="L103">
        <f t="shared" si="13"/>
        <v>0</v>
      </c>
      <c r="M103">
        <f t="shared" si="14"/>
        <v>0</v>
      </c>
      <c r="N103">
        <f t="shared" si="15"/>
        <v>27</v>
      </c>
      <c r="O103" t="str">
        <f t="shared" si="16"/>
        <v/>
      </c>
      <c r="P103" t="str">
        <f t="shared" si="17"/>
        <v/>
      </c>
      <c r="Q103" t="str">
        <f t="shared" si="18"/>
        <v/>
      </c>
    </row>
    <row r="104" spans="1:17" x14ac:dyDescent="0.2">
      <c r="A104" s="14" t="s">
        <v>106</v>
      </c>
      <c r="B104" s="14" t="s">
        <v>118</v>
      </c>
      <c r="C104" s="14">
        <v>1</v>
      </c>
      <c r="D104" s="14">
        <f t="array" ref="D104">IF(AND(INDEX('Thang 05-2026'!$A$3:$Q$102,MATCH(1,($A104='Thang 05-2026'!$A$3:$A$102)*($G104='Thang 05-2026'!$C$3:$C$102),0),11)=1,$B104="Triều Xuống"),1,IF(AND(INDEX('Thang 05-2026'!$A$3:$Q$102,MATCH(1,($A104='Thang 05-2026'!$A$3:$A$102)*($G104='Thang 05-2026'!$C$3:$C$102),0),10)=1,$B104="Triều Lên",INDEX('Thang 05-2026'!$A$3:$Q$102,MATCH(1,($A104='Thang 05-2026'!$A$3:$A$102)*($G104='Thang 05-2026'!$C$3:$C$102),0),11)=0),1,0))</f>
        <v>0</v>
      </c>
      <c r="E104" s="14">
        <f t="array" ref="E104">IF(AND(INDEX('Thang 05-2026'!$A$3:$Q$102,MATCH(1,($A104='Thang 05-2026'!$A$3:$A$102)*($G104='Thang 05-2026'!$C$3:$C$102),0),15)=1,$B104="Triều Xuống"),1,IF(AND(INDEX('Thang 05-2026'!$A$3:$Q$102,MATCH(1,($A104='Thang 05-2026'!$A$3:$A$102)*($G104='Thang 05-2026'!$C$3:$C$102),0),14)=1,$B104="Triều Lên",INDEX('Thang 05-2026'!$A$3:$Q$102,MATCH(1,($A104='Thang 05-2026'!$A$3:$A$102)*($G104='Thang 05-2026'!$C$3:$C$102),0),15)=0),1,0))</f>
        <v>0</v>
      </c>
      <c r="F104" s="14">
        <f t="shared" si="10"/>
        <v>0</v>
      </c>
      <c r="G104" s="14">
        <f>INDEX('Thang 05-2026'!$A$3:$C$102,MATCH(A104,'Thang 05-2026'!$A$3:$A$102,0),3)</f>
        <v>27</v>
      </c>
      <c r="H104" t="str">
        <f t="array" ref="H104">INDEX('TONG HOP DIA DIEM'!$A$2:$K$181,MATCH(1,($A104='TONG HOP DIA DIEM'!$A$2:$A$181)*($B104='TONG HOP DIA DIEM'!$B$2:$B$181),0),6)</f>
        <v>Chợ Đệm - HCM_NM_CĐe - Triều Lên</v>
      </c>
      <c r="I104" t="str">
        <f t="array" ref="I104">INDEX('TONG HOP DIA DIEM'!$A$2:$K$181,MATCH(1,($A104='TONG HOP DIA DIEM'!$A$2:$A$181)*($B104='TONG HOP DIA DIEM'!$B$2:$B$181),0),7)</f>
        <v>Chợ Đệm - Triều Lên</v>
      </c>
      <c r="J104">
        <f t="shared" si="11"/>
        <v>1</v>
      </c>
      <c r="K104">
        <f t="shared" si="12"/>
        <v>0</v>
      </c>
      <c r="L104">
        <f t="shared" si="13"/>
        <v>0</v>
      </c>
      <c r="M104">
        <f t="shared" si="14"/>
        <v>0</v>
      </c>
      <c r="N104">
        <f t="shared" si="15"/>
        <v>27</v>
      </c>
      <c r="O104" t="str">
        <f t="shared" si="16"/>
        <v/>
      </c>
      <c r="P104" t="str">
        <f t="shared" si="17"/>
        <v/>
      </c>
      <c r="Q104" t="str">
        <f t="shared" si="18"/>
        <v/>
      </c>
    </row>
    <row r="105" spans="1:17" x14ac:dyDescent="0.2">
      <c r="A105" s="14" t="s">
        <v>103</v>
      </c>
      <c r="B105" s="14" t="s">
        <v>121</v>
      </c>
      <c r="C105" s="14">
        <v>1</v>
      </c>
      <c r="D105" s="14">
        <f t="array" ref="D105">IF(AND(INDEX('Thang 05-2026'!$A$3:$Q$102,MATCH(1,($A105='Thang 05-2026'!$A$3:$A$102)*($G105='Thang 05-2026'!$C$3:$C$102),0),11)=1,$B105="Triều Xuống"),1,IF(AND(INDEX('Thang 05-2026'!$A$3:$Q$102,MATCH(1,($A105='Thang 05-2026'!$A$3:$A$102)*($G105='Thang 05-2026'!$C$3:$C$102),0),10)=1,$B105="Triều Lên",INDEX('Thang 05-2026'!$A$3:$Q$102,MATCH(1,($A105='Thang 05-2026'!$A$3:$A$102)*($G105='Thang 05-2026'!$C$3:$C$102),0),11)=0),1,0))</f>
        <v>0</v>
      </c>
      <c r="E105" s="14">
        <f t="array" ref="E105">IF(AND(INDEX('Thang 05-2026'!$A$3:$Q$102,MATCH(1,($A105='Thang 05-2026'!$A$3:$A$102)*($G105='Thang 05-2026'!$C$3:$C$102),0),15)=1,$B105="Triều Xuống"),1,IF(AND(INDEX('Thang 05-2026'!$A$3:$Q$102,MATCH(1,($A105='Thang 05-2026'!$A$3:$A$102)*($G105='Thang 05-2026'!$C$3:$C$102),0),14)=1,$B105="Triều Lên",INDEX('Thang 05-2026'!$A$3:$Q$102,MATCH(1,($A105='Thang 05-2026'!$A$3:$A$102)*($G105='Thang 05-2026'!$C$3:$C$102),0),15)=0),1,0))</f>
        <v>0</v>
      </c>
      <c r="F105" s="14">
        <f t="shared" si="10"/>
        <v>0</v>
      </c>
      <c r="G105" s="14">
        <f>INDEX('Thang 05-2026'!$A$3:$C$102,MATCH(A105,'Thang 05-2026'!$A$3:$A$102,0),3)</f>
        <v>27</v>
      </c>
      <c r="H105" t="str">
        <f t="array" ref="H105">INDEX('TONG HOP DIA DIEM'!$A$2:$K$181,MATCH(1,($A105='TONG HOP DIA DIEM'!$A$2:$A$181)*($B105='TONG HOP DIA DIEM'!$B$2:$B$181),0),6)</f>
        <v>Hồ Ngọc Lãm - HCM_NM_HNL - Triều Xuống</v>
      </c>
      <c r="I105" t="str">
        <f t="array" ref="I105">INDEX('TONG HOP DIA DIEM'!$A$2:$K$181,MATCH(1,($A105='TONG HOP DIA DIEM'!$A$2:$A$181)*($B105='TONG HOP DIA DIEM'!$B$2:$B$181),0),7)</f>
        <v>Hồ Ngọc Lãm - Triều Xuống</v>
      </c>
      <c r="J105">
        <f t="shared" si="11"/>
        <v>1</v>
      </c>
      <c r="K105">
        <f t="shared" si="12"/>
        <v>0</v>
      </c>
      <c r="L105">
        <f t="shared" si="13"/>
        <v>0</v>
      </c>
      <c r="M105">
        <f t="shared" si="14"/>
        <v>0</v>
      </c>
      <c r="N105">
        <f t="shared" si="15"/>
        <v>27</v>
      </c>
      <c r="O105" t="str">
        <f t="shared" si="16"/>
        <v/>
      </c>
      <c r="P105" t="str">
        <f t="shared" si="17"/>
        <v/>
      </c>
      <c r="Q105" t="str">
        <f t="shared" si="18"/>
        <v/>
      </c>
    </row>
    <row r="106" spans="1:17" x14ac:dyDescent="0.2">
      <c r="A106" s="14" t="s">
        <v>105</v>
      </c>
      <c r="B106" s="14" t="s">
        <v>121</v>
      </c>
      <c r="C106" s="14">
        <v>1</v>
      </c>
      <c r="D106" s="14">
        <f t="array" ref="D106">IF(AND(INDEX('Thang 05-2026'!$A$3:$Q$102,MATCH(1,($A106='Thang 05-2026'!$A$3:$A$102)*($G106='Thang 05-2026'!$C$3:$C$102),0),11)=1,$B106="Triều Xuống"),1,IF(AND(INDEX('Thang 05-2026'!$A$3:$Q$102,MATCH(1,($A106='Thang 05-2026'!$A$3:$A$102)*($G106='Thang 05-2026'!$C$3:$C$102),0),10)=1,$B106="Triều Lên",INDEX('Thang 05-2026'!$A$3:$Q$102,MATCH(1,($A106='Thang 05-2026'!$A$3:$A$102)*($G106='Thang 05-2026'!$C$3:$C$102),0),11)=0),1,0))</f>
        <v>0</v>
      </c>
      <c r="E106" s="14">
        <f t="array" ref="E106">IF(AND(INDEX('Thang 05-2026'!$A$3:$Q$102,MATCH(1,($A106='Thang 05-2026'!$A$3:$A$102)*($G106='Thang 05-2026'!$C$3:$C$102),0),15)=1,$B106="Triều Xuống"),1,IF(AND(INDEX('Thang 05-2026'!$A$3:$Q$102,MATCH(1,($A106='Thang 05-2026'!$A$3:$A$102)*($G106='Thang 05-2026'!$C$3:$C$102),0),14)=1,$B106="Triều Lên",INDEX('Thang 05-2026'!$A$3:$Q$102,MATCH(1,($A106='Thang 05-2026'!$A$3:$A$102)*($G106='Thang 05-2026'!$C$3:$C$102),0),15)=0),1,0))</f>
        <v>0</v>
      </c>
      <c r="F106" s="14">
        <f t="shared" si="10"/>
        <v>0</v>
      </c>
      <c r="G106" s="14">
        <f>INDEX('Thang 05-2026'!$A$3:$C$102,MATCH(A106,'Thang 05-2026'!$A$3:$A$102,0),3)</f>
        <v>27</v>
      </c>
      <c r="H106" t="str">
        <f t="array" ref="H106">INDEX('TONG HOP DIA DIEM'!$A$2:$K$181,MATCH(1,($A106='TONG HOP DIA DIEM'!$A$2:$A$181)*($B106='TONG HOP DIA DIEM'!$B$2:$B$181),0),6)</f>
        <v>Bình Ðiền - HCM_NM_BĐ - Triều Xuống</v>
      </c>
      <c r="I106" t="str">
        <f t="array" ref="I106">INDEX('TONG HOP DIA DIEM'!$A$2:$K$181,MATCH(1,($A106='TONG HOP DIA DIEM'!$A$2:$A$181)*($B106='TONG HOP DIA DIEM'!$B$2:$B$181),0),7)</f>
        <v>Bình Ðiền - Triều Xuống</v>
      </c>
      <c r="J106">
        <f t="shared" si="11"/>
        <v>1</v>
      </c>
      <c r="K106">
        <f t="shared" si="12"/>
        <v>0</v>
      </c>
      <c r="L106">
        <f t="shared" si="13"/>
        <v>0</v>
      </c>
      <c r="M106">
        <f t="shared" si="14"/>
        <v>0</v>
      </c>
      <c r="N106">
        <f t="shared" si="15"/>
        <v>27</v>
      </c>
      <c r="O106" t="str">
        <f t="shared" si="16"/>
        <v/>
      </c>
      <c r="P106" t="str">
        <f t="shared" si="17"/>
        <v/>
      </c>
      <c r="Q106" t="str">
        <f t="shared" si="18"/>
        <v/>
      </c>
    </row>
    <row r="107" spans="1:17" x14ac:dyDescent="0.2">
      <c r="A107" s="14" t="s">
        <v>106</v>
      </c>
      <c r="B107" s="14" t="s">
        <v>121</v>
      </c>
      <c r="C107" s="14">
        <v>1</v>
      </c>
      <c r="D107" s="14">
        <f t="array" ref="D107">IF(AND(INDEX('Thang 05-2026'!$A$3:$Q$102,MATCH(1,($A107='Thang 05-2026'!$A$3:$A$102)*($G107='Thang 05-2026'!$C$3:$C$102),0),11)=1,$B107="Triều Xuống"),1,IF(AND(INDEX('Thang 05-2026'!$A$3:$Q$102,MATCH(1,($A107='Thang 05-2026'!$A$3:$A$102)*($G107='Thang 05-2026'!$C$3:$C$102),0),10)=1,$B107="Triều Lên",INDEX('Thang 05-2026'!$A$3:$Q$102,MATCH(1,($A107='Thang 05-2026'!$A$3:$A$102)*($G107='Thang 05-2026'!$C$3:$C$102),0),11)=0),1,0))</f>
        <v>0</v>
      </c>
      <c r="E107" s="14">
        <f t="array" ref="E107">IF(AND(INDEX('Thang 05-2026'!$A$3:$Q$102,MATCH(1,($A107='Thang 05-2026'!$A$3:$A$102)*($G107='Thang 05-2026'!$C$3:$C$102),0),15)=1,$B107="Triều Xuống"),1,IF(AND(INDEX('Thang 05-2026'!$A$3:$Q$102,MATCH(1,($A107='Thang 05-2026'!$A$3:$A$102)*($G107='Thang 05-2026'!$C$3:$C$102),0),14)=1,$B107="Triều Lên",INDEX('Thang 05-2026'!$A$3:$Q$102,MATCH(1,($A107='Thang 05-2026'!$A$3:$A$102)*($G107='Thang 05-2026'!$C$3:$C$102),0),15)=0),1,0))</f>
        <v>0</v>
      </c>
      <c r="F107" s="14">
        <f t="shared" si="10"/>
        <v>0</v>
      </c>
      <c r="G107" s="14">
        <f>INDEX('Thang 05-2026'!$A$3:$C$102,MATCH(A107,'Thang 05-2026'!$A$3:$A$102,0),3)</f>
        <v>27</v>
      </c>
      <c r="H107" t="str">
        <f t="array" ref="H107">INDEX('TONG HOP DIA DIEM'!$A$2:$K$181,MATCH(1,($A107='TONG HOP DIA DIEM'!$A$2:$A$181)*($B107='TONG HOP DIA DIEM'!$B$2:$B$181),0),6)</f>
        <v>Chợ Đệm - HCM_NM_CĐe - Triều Xuống</v>
      </c>
      <c r="I107" t="str">
        <f t="array" ref="I107">INDEX('TONG HOP DIA DIEM'!$A$2:$K$181,MATCH(1,($A107='TONG HOP DIA DIEM'!$A$2:$A$181)*($B107='TONG HOP DIA DIEM'!$B$2:$B$181),0),7)</f>
        <v>Chợ Đệm - Triều Xuống</v>
      </c>
      <c r="J107">
        <f t="shared" si="11"/>
        <v>1</v>
      </c>
      <c r="K107">
        <f t="shared" si="12"/>
        <v>0</v>
      </c>
      <c r="L107">
        <f t="shared" si="13"/>
        <v>0</v>
      </c>
      <c r="M107">
        <f t="shared" si="14"/>
        <v>0</v>
      </c>
      <c r="N107">
        <f t="shared" si="15"/>
        <v>27</v>
      </c>
      <c r="O107" t="str">
        <f t="shared" si="16"/>
        <v/>
      </c>
      <c r="P107" t="str">
        <f t="shared" si="17"/>
        <v/>
      </c>
      <c r="Q107" t="str">
        <f t="shared" si="18"/>
        <v/>
      </c>
    </row>
    <row r="108" spans="1:17" x14ac:dyDescent="0.2">
      <c r="A108" s="14" t="s">
        <v>117</v>
      </c>
      <c r="B108" s="15" t="s">
        <v>304</v>
      </c>
      <c r="C108" s="14">
        <v>1</v>
      </c>
      <c r="D108" s="14">
        <f t="array" ref="D108">IF(AND(INDEX('Thang 05-2026'!$A$3:$Q$102,MATCH(1,($A108='Thang 05-2026'!$A$3:$A$102)*($G108='Thang 05-2026'!$C$3:$C$102),0),11)=1,$B108="Triều Xuống"),1,IF(AND(INDEX('Thang 05-2026'!$A$3:$Q$102,MATCH(1,($A108='Thang 05-2026'!$A$3:$A$102)*($G108='Thang 05-2026'!$C$3:$C$102),0),10)=1,$B108="Triều Lên",INDEX('Thang 05-2026'!$A$3:$Q$102,MATCH(1,($A108='Thang 05-2026'!$A$3:$A$102)*($G108='Thang 05-2026'!$C$3:$C$102),0),11)=0),1,0))</f>
        <v>0</v>
      </c>
      <c r="E108" s="14">
        <f t="array" ref="E108">IF(AND(INDEX('Thang 05-2026'!$A$3:$Q$102,MATCH(1,($A108='Thang 05-2026'!$A$3:$A$102)*($G108='Thang 05-2026'!$C$3:$C$102),0),15)=1,$B108="Triều Xuống"),1,IF(AND(INDEX('Thang 05-2026'!$A$3:$Q$102,MATCH(1,($A108='Thang 05-2026'!$A$3:$A$102)*($G108='Thang 05-2026'!$C$3:$C$102),0),14)=1,$B108="Triều Lên",INDEX('Thang 05-2026'!$A$3:$Q$102,MATCH(1,($A108='Thang 05-2026'!$A$3:$A$102)*($G108='Thang 05-2026'!$C$3:$C$102),0),15)=0),1,0))</f>
        <v>0</v>
      </c>
      <c r="F108" s="14">
        <f t="shared" si="10"/>
        <v>0</v>
      </c>
      <c r="G108" s="14">
        <v>28</v>
      </c>
      <c r="H108" t="str">
        <f t="array" ref="H108">INDEX('TONG HOP DIA DIEM'!$A$2:$K$181,MATCH(1,($A108='TONG HOP DIA DIEM'!$A$2:$A$181)*($B108='TONG HOP DIA DIEM'!$B$2:$B$181),0),6)</f>
        <v>TBNM15 - HCM_NM_TBNM15 - 01</v>
      </c>
      <c r="I108" t="str">
        <f t="array" ref="I108">INDEX('TONG HOP DIA DIEM'!$A$2:$K$181,MATCH(1,($A108='TONG HOP DIA DIEM'!$A$2:$A$181)*($B108='TONG HOP DIA DIEM'!$B$2:$B$181),0),7)</f>
        <v>TBNM15 - 01</v>
      </c>
      <c r="J108">
        <f t="shared" si="11"/>
        <v>1</v>
      </c>
      <c r="K108">
        <f t="shared" si="12"/>
        <v>0</v>
      </c>
      <c r="L108">
        <f t="shared" si="13"/>
        <v>0</v>
      </c>
      <c r="M108">
        <f t="shared" si="14"/>
        <v>0</v>
      </c>
      <c r="N108">
        <f t="shared" si="15"/>
        <v>28</v>
      </c>
      <c r="O108" t="str">
        <f t="shared" si="16"/>
        <v/>
      </c>
      <c r="P108" t="str">
        <f t="shared" si="17"/>
        <v/>
      </c>
      <c r="Q108" t="str">
        <f t="shared" si="18"/>
        <v/>
      </c>
    </row>
    <row r="109" spans="1:17" x14ac:dyDescent="0.2">
      <c r="A109" s="14" t="s">
        <v>119</v>
      </c>
      <c r="B109" s="15" t="s">
        <v>304</v>
      </c>
      <c r="C109" s="14">
        <v>1</v>
      </c>
      <c r="D109" s="14">
        <f t="array" ref="D109">IF(AND(INDEX('Thang 05-2026'!$A$3:$Q$102,MATCH(1,($A109='Thang 05-2026'!$A$3:$A$102)*($G109='Thang 05-2026'!$C$3:$C$102),0),11)=1,$B109="Triều Xuống"),1,IF(AND(INDEX('Thang 05-2026'!$A$3:$Q$102,MATCH(1,($A109='Thang 05-2026'!$A$3:$A$102)*($G109='Thang 05-2026'!$C$3:$C$102),0),10)=1,$B109="Triều Lên",INDEX('Thang 05-2026'!$A$3:$Q$102,MATCH(1,($A109='Thang 05-2026'!$A$3:$A$102)*($G109='Thang 05-2026'!$C$3:$C$102),0),11)=0),1,0))</f>
        <v>0</v>
      </c>
      <c r="E109" s="14">
        <f t="array" ref="E109">IF(AND(INDEX('Thang 05-2026'!$A$3:$Q$102,MATCH(1,($A109='Thang 05-2026'!$A$3:$A$102)*($G109='Thang 05-2026'!$C$3:$C$102),0),15)=1,$B109="Triều Xuống"),1,IF(AND(INDEX('Thang 05-2026'!$A$3:$Q$102,MATCH(1,($A109='Thang 05-2026'!$A$3:$A$102)*($G109='Thang 05-2026'!$C$3:$C$102),0),14)=1,$B109="Triều Lên",INDEX('Thang 05-2026'!$A$3:$Q$102,MATCH(1,($A109='Thang 05-2026'!$A$3:$A$102)*($G109='Thang 05-2026'!$C$3:$C$102),0),15)=0),1,0))</f>
        <v>0</v>
      </c>
      <c r="F109" s="14">
        <f t="shared" si="10"/>
        <v>0</v>
      </c>
      <c r="G109" s="14">
        <v>28</v>
      </c>
      <c r="H109" t="str">
        <f t="array" ref="H109">INDEX('TONG HOP DIA DIEM'!$A$2:$K$181,MATCH(1,($A109='TONG HOP DIA DIEM'!$A$2:$A$181)*($B109='TONG HOP DIA DIEM'!$B$2:$B$181),0),6)</f>
        <v>TBNM5 - HCM_NM_TBNM5 - 01</v>
      </c>
      <c r="I109" t="str">
        <f t="array" ref="I109">INDEX('TONG HOP DIA DIEM'!$A$2:$K$181,MATCH(1,($A109='TONG HOP DIA DIEM'!$A$2:$A$181)*($B109='TONG HOP DIA DIEM'!$B$2:$B$181),0),7)</f>
        <v>TBNM5 - 01</v>
      </c>
      <c r="J109">
        <f t="shared" si="11"/>
        <v>1</v>
      </c>
      <c r="K109">
        <f t="shared" si="12"/>
        <v>0</v>
      </c>
      <c r="L109">
        <f t="shared" si="13"/>
        <v>0</v>
      </c>
      <c r="M109">
        <f t="shared" si="14"/>
        <v>0</v>
      </c>
      <c r="N109">
        <f t="shared" si="15"/>
        <v>28</v>
      </c>
      <c r="O109" t="str">
        <f t="shared" si="16"/>
        <v/>
      </c>
      <c r="P109" t="str">
        <f t="shared" si="17"/>
        <v/>
      </c>
      <c r="Q109" t="str">
        <f t="shared" si="18"/>
        <v/>
      </c>
    </row>
    <row r="110" spans="1:17" x14ac:dyDescent="0.2">
      <c r="A110" s="14" t="s">
        <v>120</v>
      </c>
      <c r="B110" s="15" t="s">
        <v>304</v>
      </c>
      <c r="C110" s="14">
        <v>1</v>
      </c>
      <c r="D110" s="14">
        <f t="array" ref="D110">IF(AND(INDEX('Thang 05-2026'!$A$3:$Q$102,MATCH(1,($A110='Thang 05-2026'!$A$3:$A$102)*($G110='Thang 05-2026'!$C$3:$C$102),0),11)=1,$B110="Triều Xuống"),1,IF(AND(INDEX('Thang 05-2026'!$A$3:$Q$102,MATCH(1,($A110='Thang 05-2026'!$A$3:$A$102)*($G110='Thang 05-2026'!$C$3:$C$102),0),10)=1,$B110="Triều Lên",INDEX('Thang 05-2026'!$A$3:$Q$102,MATCH(1,($A110='Thang 05-2026'!$A$3:$A$102)*($G110='Thang 05-2026'!$C$3:$C$102),0),11)=0),1,0))</f>
        <v>0</v>
      </c>
      <c r="E110" s="14">
        <f t="array" ref="E110">IF(AND(INDEX('Thang 05-2026'!$A$3:$Q$102,MATCH(1,($A110='Thang 05-2026'!$A$3:$A$102)*($G110='Thang 05-2026'!$C$3:$C$102),0),15)=1,$B110="Triều Xuống"),1,IF(AND(INDEX('Thang 05-2026'!$A$3:$Q$102,MATCH(1,($A110='Thang 05-2026'!$A$3:$A$102)*($G110='Thang 05-2026'!$C$3:$C$102),0),14)=1,$B110="Triều Lên",INDEX('Thang 05-2026'!$A$3:$Q$102,MATCH(1,($A110='Thang 05-2026'!$A$3:$A$102)*($G110='Thang 05-2026'!$C$3:$C$102),0),15)=0),1,0))</f>
        <v>0</v>
      </c>
      <c r="F110" s="14">
        <f t="shared" si="10"/>
        <v>0</v>
      </c>
      <c r="G110" s="14">
        <v>28</v>
      </c>
      <c r="H110" t="str">
        <f t="array" ref="H110">INDEX('TONG HOP DIA DIEM'!$A$2:$K$181,MATCH(1,($A110='TONG HOP DIA DIEM'!$A$2:$A$181)*($B110='TONG HOP DIA DIEM'!$B$2:$B$181),0),6)</f>
        <v>TBNM14 - HCM_NM_TBNM14 - 01</v>
      </c>
      <c r="I110" t="str">
        <f t="array" ref="I110">INDEX('TONG HOP DIA DIEM'!$A$2:$K$181,MATCH(1,($A110='TONG HOP DIA DIEM'!$A$2:$A$181)*($B110='TONG HOP DIA DIEM'!$B$2:$B$181),0),7)</f>
        <v>TBNM14 - 01</v>
      </c>
      <c r="J110">
        <f t="shared" si="11"/>
        <v>1</v>
      </c>
      <c r="K110">
        <f t="shared" si="12"/>
        <v>0</v>
      </c>
      <c r="L110">
        <f t="shared" si="13"/>
        <v>0</v>
      </c>
      <c r="M110">
        <f t="shared" si="14"/>
        <v>0</v>
      </c>
      <c r="N110">
        <f t="shared" si="15"/>
        <v>28</v>
      </c>
      <c r="O110" t="str">
        <f t="shared" si="16"/>
        <v/>
      </c>
      <c r="P110" t="str">
        <f t="shared" si="17"/>
        <v/>
      </c>
      <c r="Q110" t="str">
        <f t="shared" si="18"/>
        <v/>
      </c>
    </row>
    <row r="111" spans="1:17" x14ac:dyDescent="0.2">
      <c r="A111" s="14" t="s">
        <v>122</v>
      </c>
      <c r="B111" s="15" t="s">
        <v>304</v>
      </c>
      <c r="C111" s="14">
        <v>1</v>
      </c>
      <c r="D111" s="14">
        <f t="array" ref="D111">IF(AND(INDEX('Thang 05-2026'!$A$3:$Q$102,MATCH(1,($A111='Thang 05-2026'!$A$3:$A$102)*($G111='Thang 05-2026'!$C$3:$C$102),0),11)=1,$B111="Triều Xuống"),1,IF(AND(INDEX('Thang 05-2026'!$A$3:$Q$102,MATCH(1,($A111='Thang 05-2026'!$A$3:$A$102)*($G111='Thang 05-2026'!$C$3:$C$102),0),10)=1,$B111="Triều Lên",INDEX('Thang 05-2026'!$A$3:$Q$102,MATCH(1,($A111='Thang 05-2026'!$A$3:$A$102)*($G111='Thang 05-2026'!$C$3:$C$102),0),11)=0),1,0))</f>
        <v>0</v>
      </c>
      <c r="E111" s="14">
        <f t="array" ref="E111">IF(AND(INDEX('Thang 05-2026'!$A$3:$Q$102,MATCH(1,($A111='Thang 05-2026'!$A$3:$A$102)*($G111='Thang 05-2026'!$C$3:$C$102),0),15)=1,$B111="Triều Xuống"),1,IF(AND(INDEX('Thang 05-2026'!$A$3:$Q$102,MATCH(1,($A111='Thang 05-2026'!$A$3:$A$102)*($G111='Thang 05-2026'!$C$3:$C$102),0),14)=1,$B111="Triều Lên",INDEX('Thang 05-2026'!$A$3:$Q$102,MATCH(1,($A111='Thang 05-2026'!$A$3:$A$102)*($G111='Thang 05-2026'!$C$3:$C$102),0),15)=0),1,0))</f>
        <v>0</v>
      </c>
      <c r="F111" s="14">
        <f t="shared" si="10"/>
        <v>0</v>
      </c>
      <c r="G111" s="14">
        <v>28</v>
      </c>
      <c r="H111" t="str">
        <f t="array" ref="H111">INDEX('TONG HOP DIA DIEM'!$A$2:$K$181,MATCH(1,($A111='TONG HOP DIA DIEM'!$A$2:$A$181)*($B111='TONG HOP DIA DIEM'!$B$2:$B$181),0),6)</f>
        <v>TBNM9 - HCM_NM_TBNM9 - 01</v>
      </c>
      <c r="I111" t="str">
        <f t="array" ref="I111">INDEX('TONG HOP DIA DIEM'!$A$2:$K$181,MATCH(1,($A111='TONG HOP DIA DIEM'!$A$2:$A$181)*($B111='TONG HOP DIA DIEM'!$B$2:$B$181),0),7)</f>
        <v>TBNM9 - 01</v>
      </c>
      <c r="J111">
        <f t="shared" si="11"/>
        <v>1</v>
      </c>
      <c r="K111">
        <f t="shared" si="12"/>
        <v>0</v>
      </c>
      <c r="L111">
        <f t="shared" si="13"/>
        <v>0</v>
      </c>
      <c r="M111">
        <f t="shared" si="14"/>
        <v>0</v>
      </c>
      <c r="N111">
        <f t="shared" si="15"/>
        <v>28</v>
      </c>
      <c r="O111" t="str">
        <f t="shared" si="16"/>
        <v/>
      </c>
      <c r="P111" t="str">
        <f t="shared" si="17"/>
        <v/>
      </c>
      <c r="Q111" t="str">
        <f t="shared" si="18"/>
        <v/>
      </c>
    </row>
    <row r="112" spans="1:17" x14ac:dyDescent="0.2">
      <c r="A112" s="14" t="s">
        <v>123</v>
      </c>
      <c r="B112" s="15" t="s">
        <v>304</v>
      </c>
      <c r="C112" s="14">
        <v>1</v>
      </c>
      <c r="D112" s="14">
        <f t="array" ref="D112">IF(AND(INDEX('Thang 05-2026'!$A$3:$Q$102,MATCH(1,($A112='Thang 05-2026'!$A$3:$A$102)*($G112='Thang 05-2026'!$C$3:$C$102),0),11)=1,$B112="Triều Xuống"),1,IF(AND(INDEX('Thang 05-2026'!$A$3:$Q$102,MATCH(1,($A112='Thang 05-2026'!$A$3:$A$102)*($G112='Thang 05-2026'!$C$3:$C$102),0),10)=1,$B112="Triều Lên",INDEX('Thang 05-2026'!$A$3:$Q$102,MATCH(1,($A112='Thang 05-2026'!$A$3:$A$102)*($G112='Thang 05-2026'!$C$3:$C$102),0),11)=0),1,0))</f>
        <v>0</v>
      </c>
      <c r="E112" s="14">
        <f t="array" ref="E112">IF(AND(INDEX('Thang 05-2026'!$A$3:$Q$102,MATCH(1,($A112='Thang 05-2026'!$A$3:$A$102)*($G112='Thang 05-2026'!$C$3:$C$102),0),15)=1,$B112="Triều Xuống"),1,IF(AND(INDEX('Thang 05-2026'!$A$3:$Q$102,MATCH(1,($A112='Thang 05-2026'!$A$3:$A$102)*($G112='Thang 05-2026'!$C$3:$C$102),0),14)=1,$B112="Triều Lên",INDEX('Thang 05-2026'!$A$3:$Q$102,MATCH(1,($A112='Thang 05-2026'!$A$3:$A$102)*($G112='Thang 05-2026'!$C$3:$C$102),0),15)=0),1,0))</f>
        <v>0</v>
      </c>
      <c r="F112" s="14">
        <f t="shared" si="10"/>
        <v>0</v>
      </c>
      <c r="G112" s="14">
        <v>28</v>
      </c>
      <c r="H112" t="str">
        <f t="array" ref="H112">INDEX('TONG HOP DIA DIEM'!$A$2:$K$181,MATCH(1,($A112='TONG HOP DIA DIEM'!$A$2:$A$181)*($B112='TONG HOP DIA DIEM'!$B$2:$B$181),0),6)</f>
        <v>TBNM11 - HCM_NM_TBNM11 - 01</v>
      </c>
      <c r="I112" t="str">
        <f t="array" ref="I112">INDEX('TONG HOP DIA DIEM'!$A$2:$K$181,MATCH(1,($A112='TONG HOP DIA DIEM'!$A$2:$A$181)*($B112='TONG HOP DIA DIEM'!$B$2:$B$181),0),7)</f>
        <v>TBNM11 - 01</v>
      </c>
      <c r="J112">
        <f t="shared" si="11"/>
        <v>1</v>
      </c>
      <c r="K112">
        <f t="shared" si="12"/>
        <v>0</v>
      </c>
      <c r="L112">
        <f t="shared" si="13"/>
        <v>0</v>
      </c>
      <c r="M112">
        <f t="shared" si="14"/>
        <v>0</v>
      </c>
      <c r="N112">
        <f t="shared" si="15"/>
        <v>28</v>
      </c>
      <c r="O112" t="str">
        <f t="shared" si="16"/>
        <v/>
      </c>
      <c r="P112" t="str">
        <f t="shared" si="17"/>
        <v/>
      </c>
      <c r="Q112" t="str">
        <f t="shared" si="18"/>
        <v/>
      </c>
    </row>
    <row r="113" spans="1:17" x14ac:dyDescent="0.2">
      <c r="A113" s="14" t="s">
        <v>124</v>
      </c>
      <c r="B113" s="15" t="s">
        <v>304</v>
      </c>
      <c r="C113" s="14">
        <v>1</v>
      </c>
      <c r="D113" s="14">
        <f t="array" ref="D113">IF(AND(INDEX('Thang 05-2026'!$A$3:$Q$102,MATCH(1,($A113='Thang 05-2026'!$A$3:$A$102)*($G113='Thang 05-2026'!$C$3:$C$102),0),11)=1,$B113="Triều Xuống"),1,IF(AND(INDEX('Thang 05-2026'!$A$3:$Q$102,MATCH(1,($A113='Thang 05-2026'!$A$3:$A$102)*($G113='Thang 05-2026'!$C$3:$C$102),0),10)=1,$B113="Triều Lên",INDEX('Thang 05-2026'!$A$3:$Q$102,MATCH(1,($A113='Thang 05-2026'!$A$3:$A$102)*($G113='Thang 05-2026'!$C$3:$C$102),0),11)=0),1,0))</f>
        <v>0</v>
      </c>
      <c r="E113" s="14">
        <f t="array" ref="E113">IF(AND(INDEX('Thang 05-2026'!$A$3:$Q$102,MATCH(1,($A113='Thang 05-2026'!$A$3:$A$102)*($G113='Thang 05-2026'!$C$3:$C$102),0),15)=1,$B113="Triều Xuống"),1,IF(AND(INDEX('Thang 05-2026'!$A$3:$Q$102,MATCH(1,($A113='Thang 05-2026'!$A$3:$A$102)*($G113='Thang 05-2026'!$C$3:$C$102),0),14)=1,$B113="Triều Lên",INDEX('Thang 05-2026'!$A$3:$Q$102,MATCH(1,($A113='Thang 05-2026'!$A$3:$A$102)*($G113='Thang 05-2026'!$C$3:$C$102),0),15)=0),1,0))</f>
        <v>0</v>
      </c>
      <c r="F113" s="14">
        <f t="shared" si="10"/>
        <v>0</v>
      </c>
      <c r="G113" s="14">
        <v>28</v>
      </c>
      <c r="H113" t="str">
        <f t="array" ref="H113">INDEX('TONG HOP DIA DIEM'!$A$2:$K$181,MATCH(1,($A113='TONG HOP DIA DIEM'!$A$2:$A$181)*($B113='TONG HOP DIA DIEM'!$B$2:$B$181),0),6)</f>
        <v>TBNM1 - HCM_NM_TBNM1 - 01</v>
      </c>
      <c r="I113" t="str">
        <f t="array" ref="I113">INDEX('TONG HOP DIA DIEM'!$A$2:$K$181,MATCH(1,($A113='TONG HOP DIA DIEM'!$A$2:$A$181)*($B113='TONG HOP DIA DIEM'!$B$2:$B$181),0),7)</f>
        <v>TBNM1 - 01</v>
      </c>
      <c r="J113">
        <f t="shared" si="11"/>
        <v>1</v>
      </c>
      <c r="K113">
        <f t="shared" si="12"/>
        <v>0</v>
      </c>
      <c r="L113">
        <f t="shared" si="13"/>
        <v>0</v>
      </c>
      <c r="M113">
        <f t="shared" si="14"/>
        <v>0</v>
      </c>
      <c r="N113">
        <f t="shared" si="15"/>
        <v>28</v>
      </c>
      <c r="O113" t="str">
        <f t="shared" si="16"/>
        <v/>
      </c>
      <c r="P113" t="str">
        <f t="shared" si="17"/>
        <v/>
      </c>
      <c r="Q113" t="str">
        <f t="shared" si="18"/>
        <v/>
      </c>
    </row>
    <row r="114" spans="1:17" x14ac:dyDescent="0.2">
      <c r="A114" s="14" t="s">
        <v>117</v>
      </c>
      <c r="B114" s="15" t="s">
        <v>377</v>
      </c>
      <c r="C114" s="14">
        <v>1</v>
      </c>
      <c r="D114" s="14">
        <f t="array" ref="D114">IF(AND(INDEX('Thang 05-2026'!$A$3:$Q$102,MATCH(1,($A114='Thang 05-2026'!$A$3:$A$102)*($G114='Thang 05-2026'!$C$3:$C$102),0),11)=1,$B114="Triều Xuống"),1,IF(AND(INDEX('Thang 05-2026'!$A$3:$Q$102,MATCH(1,($A114='Thang 05-2026'!$A$3:$A$102)*($G114='Thang 05-2026'!$C$3:$C$102),0),10)=1,$B114="Triều Lên",INDEX('Thang 05-2026'!$A$3:$Q$102,MATCH(1,($A114='Thang 05-2026'!$A$3:$A$102)*($G114='Thang 05-2026'!$C$3:$C$102),0),11)=0),1,0))</f>
        <v>0</v>
      </c>
      <c r="E114" s="14">
        <f t="array" ref="E114">IF(AND(INDEX('Thang 05-2026'!$A$3:$Q$102,MATCH(1,($A114='Thang 05-2026'!$A$3:$A$102)*($G114='Thang 05-2026'!$C$3:$C$102),0),15)=1,$B114="Triều Xuống"),1,IF(AND(INDEX('Thang 05-2026'!$A$3:$Q$102,MATCH(1,($A114='Thang 05-2026'!$A$3:$A$102)*($G114='Thang 05-2026'!$C$3:$C$102),0),14)=1,$B114="Triều Lên",INDEX('Thang 05-2026'!$A$3:$Q$102,MATCH(1,($A114='Thang 05-2026'!$A$3:$A$102)*($G114='Thang 05-2026'!$C$3:$C$102),0),15)=0),1,0))</f>
        <v>0</v>
      </c>
      <c r="F114" s="14">
        <f t="shared" si="10"/>
        <v>0</v>
      </c>
      <c r="G114" s="14">
        <v>28</v>
      </c>
      <c r="H114" t="str">
        <f t="array" ref="H114">INDEX('TONG HOP DIA DIEM'!$A$2:$K$181,MATCH(1,($A114='TONG HOP DIA DIEM'!$A$2:$A$181)*($B114='TONG HOP DIA DIEM'!$B$2:$B$181),0),6)</f>
        <v>TBNM15 - HCM_NM_TBNM15 - 02</v>
      </c>
      <c r="I114" t="str">
        <f t="array" ref="I114">INDEX('TONG HOP DIA DIEM'!$A$2:$K$181,MATCH(1,($A114='TONG HOP DIA DIEM'!$A$2:$A$181)*($B114='TONG HOP DIA DIEM'!$B$2:$B$181),0),7)</f>
        <v>TBNM15 - 02</v>
      </c>
      <c r="J114">
        <f t="shared" si="11"/>
        <v>1</v>
      </c>
      <c r="K114">
        <f t="shared" si="12"/>
        <v>0</v>
      </c>
      <c r="L114">
        <f t="shared" si="13"/>
        <v>0</v>
      </c>
      <c r="M114">
        <f t="shared" si="14"/>
        <v>0</v>
      </c>
      <c r="N114">
        <f t="shared" si="15"/>
        <v>28</v>
      </c>
      <c r="O114" t="str">
        <f t="shared" si="16"/>
        <v/>
      </c>
      <c r="P114" t="str">
        <f t="shared" si="17"/>
        <v/>
      </c>
      <c r="Q114" t="str">
        <f t="shared" si="18"/>
        <v/>
      </c>
    </row>
    <row r="115" spans="1:17" x14ac:dyDescent="0.2">
      <c r="A115" s="14" t="s">
        <v>119</v>
      </c>
      <c r="B115" s="15" t="s">
        <v>377</v>
      </c>
      <c r="C115" s="14">
        <v>1</v>
      </c>
      <c r="D115" s="14">
        <f t="array" ref="D115">IF(AND(INDEX('Thang 05-2026'!$A$3:$Q$102,MATCH(1,($A115='Thang 05-2026'!$A$3:$A$102)*($G115='Thang 05-2026'!$C$3:$C$102),0),11)=1,$B115="Triều Xuống"),1,IF(AND(INDEX('Thang 05-2026'!$A$3:$Q$102,MATCH(1,($A115='Thang 05-2026'!$A$3:$A$102)*($G115='Thang 05-2026'!$C$3:$C$102),0),10)=1,$B115="Triều Lên",INDEX('Thang 05-2026'!$A$3:$Q$102,MATCH(1,($A115='Thang 05-2026'!$A$3:$A$102)*($G115='Thang 05-2026'!$C$3:$C$102),0),11)=0),1,0))</f>
        <v>0</v>
      </c>
      <c r="E115" s="14">
        <f t="array" ref="E115">IF(AND(INDEX('Thang 05-2026'!$A$3:$Q$102,MATCH(1,($A115='Thang 05-2026'!$A$3:$A$102)*($G115='Thang 05-2026'!$C$3:$C$102),0),15)=1,$B115="Triều Xuống"),1,IF(AND(INDEX('Thang 05-2026'!$A$3:$Q$102,MATCH(1,($A115='Thang 05-2026'!$A$3:$A$102)*($G115='Thang 05-2026'!$C$3:$C$102),0),14)=1,$B115="Triều Lên",INDEX('Thang 05-2026'!$A$3:$Q$102,MATCH(1,($A115='Thang 05-2026'!$A$3:$A$102)*($G115='Thang 05-2026'!$C$3:$C$102),0),15)=0),1,0))</f>
        <v>0</v>
      </c>
      <c r="F115" s="14">
        <f t="shared" si="10"/>
        <v>0</v>
      </c>
      <c r="G115" s="14">
        <v>28</v>
      </c>
      <c r="H115" t="str">
        <f t="array" ref="H115">INDEX('TONG HOP DIA DIEM'!$A$2:$K$181,MATCH(1,($A115='TONG HOP DIA DIEM'!$A$2:$A$181)*($B115='TONG HOP DIA DIEM'!$B$2:$B$181),0),6)</f>
        <v>TBNM5 - HCM_NM_TBNM5 - 02</v>
      </c>
      <c r="I115" t="str">
        <f t="array" ref="I115">INDEX('TONG HOP DIA DIEM'!$A$2:$K$181,MATCH(1,($A115='TONG HOP DIA DIEM'!$A$2:$A$181)*($B115='TONG HOP DIA DIEM'!$B$2:$B$181),0),7)</f>
        <v>TBNM5 - 02</v>
      </c>
      <c r="J115">
        <f t="shared" si="11"/>
        <v>1</v>
      </c>
      <c r="K115">
        <f t="shared" si="12"/>
        <v>0</v>
      </c>
      <c r="L115">
        <f t="shared" si="13"/>
        <v>0</v>
      </c>
      <c r="M115">
        <f t="shared" si="14"/>
        <v>0</v>
      </c>
      <c r="N115">
        <f t="shared" si="15"/>
        <v>28</v>
      </c>
      <c r="O115" t="str">
        <f t="shared" si="16"/>
        <v/>
      </c>
      <c r="P115" t="str">
        <f t="shared" si="17"/>
        <v/>
      </c>
      <c r="Q115" t="str">
        <f t="shared" si="18"/>
        <v/>
      </c>
    </row>
    <row r="116" spans="1:17" x14ac:dyDescent="0.2">
      <c r="A116" s="14" t="s">
        <v>120</v>
      </c>
      <c r="B116" s="15" t="s">
        <v>377</v>
      </c>
      <c r="C116" s="14">
        <v>1</v>
      </c>
      <c r="D116" s="14">
        <f t="array" ref="D116">IF(AND(INDEX('Thang 05-2026'!$A$3:$Q$102,MATCH(1,($A116='Thang 05-2026'!$A$3:$A$102)*($G116='Thang 05-2026'!$C$3:$C$102),0),11)=1,$B116="Triều Xuống"),1,IF(AND(INDEX('Thang 05-2026'!$A$3:$Q$102,MATCH(1,($A116='Thang 05-2026'!$A$3:$A$102)*($G116='Thang 05-2026'!$C$3:$C$102),0),10)=1,$B116="Triều Lên",INDEX('Thang 05-2026'!$A$3:$Q$102,MATCH(1,($A116='Thang 05-2026'!$A$3:$A$102)*($G116='Thang 05-2026'!$C$3:$C$102),0),11)=0),1,0))</f>
        <v>0</v>
      </c>
      <c r="E116" s="14">
        <f t="array" ref="E116">IF(AND(INDEX('Thang 05-2026'!$A$3:$Q$102,MATCH(1,($A116='Thang 05-2026'!$A$3:$A$102)*($G116='Thang 05-2026'!$C$3:$C$102),0),15)=1,$B116="Triều Xuống"),1,IF(AND(INDEX('Thang 05-2026'!$A$3:$Q$102,MATCH(1,($A116='Thang 05-2026'!$A$3:$A$102)*($G116='Thang 05-2026'!$C$3:$C$102),0),14)=1,$B116="Triều Lên",INDEX('Thang 05-2026'!$A$3:$Q$102,MATCH(1,($A116='Thang 05-2026'!$A$3:$A$102)*($G116='Thang 05-2026'!$C$3:$C$102),0),15)=0),1,0))</f>
        <v>0</v>
      </c>
      <c r="F116" s="14">
        <f t="shared" si="10"/>
        <v>0</v>
      </c>
      <c r="G116" s="14">
        <v>28</v>
      </c>
      <c r="H116" t="str">
        <f t="array" ref="H116">INDEX('TONG HOP DIA DIEM'!$A$2:$K$181,MATCH(1,($A116='TONG HOP DIA DIEM'!$A$2:$A$181)*($B116='TONG HOP DIA DIEM'!$B$2:$B$181),0),6)</f>
        <v>TBNM14 - HCM_NM_TBNM14 - 02</v>
      </c>
      <c r="I116" t="str">
        <f t="array" ref="I116">INDEX('TONG HOP DIA DIEM'!$A$2:$K$181,MATCH(1,($A116='TONG HOP DIA DIEM'!$A$2:$A$181)*($B116='TONG HOP DIA DIEM'!$B$2:$B$181),0),7)</f>
        <v>TBNM14 - 02</v>
      </c>
      <c r="J116">
        <f t="shared" si="11"/>
        <v>1</v>
      </c>
      <c r="K116">
        <f t="shared" si="12"/>
        <v>0</v>
      </c>
      <c r="L116">
        <f t="shared" si="13"/>
        <v>0</v>
      </c>
      <c r="M116">
        <f t="shared" si="14"/>
        <v>0</v>
      </c>
      <c r="N116">
        <f t="shared" si="15"/>
        <v>28</v>
      </c>
      <c r="O116" t="str">
        <f t="shared" si="16"/>
        <v/>
      </c>
      <c r="P116" t="str">
        <f t="shared" si="17"/>
        <v/>
      </c>
      <c r="Q116" t="str">
        <f t="shared" si="18"/>
        <v/>
      </c>
    </row>
    <row r="117" spans="1:17" x14ac:dyDescent="0.2">
      <c r="A117" s="14" t="s">
        <v>122</v>
      </c>
      <c r="B117" s="15" t="s">
        <v>377</v>
      </c>
      <c r="C117" s="14">
        <v>1</v>
      </c>
      <c r="D117" s="14">
        <f t="array" ref="D117">IF(AND(INDEX('Thang 05-2026'!$A$3:$Q$102,MATCH(1,($A117='Thang 05-2026'!$A$3:$A$102)*($G117='Thang 05-2026'!$C$3:$C$102),0),11)=1,$B117="Triều Xuống"),1,IF(AND(INDEX('Thang 05-2026'!$A$3:$Q$102,MATCH(1,($A117='Thang 05-2026'!$A$3:$A$102)*($G117='Thang 05-2026'!$C$3:$C$102),0),10)=1,$B117="Triều Lên",INDEX('Thang 05-2026'!$A$3:$Q$102,MATCH(1,($A117='Thang 05-2026'!$A$3:$A$102)*($G117='Thang 05-2026'!$C$3:$C$102),0),11)=0),1,0))</f>
        <v>0</v>
      </c>
      <c r="E117" s="14">
        <f t="array" ref="E117">IF(AND(INDEX('Thang 05-2026'!$A$3:$Q$102,MATCH(1,($A117='Thang 05-2026'!$A$3:$A$102)*($G117='Thang 05-2026'!$C$3:$C$102),0),15)=1,$B117="Triều Xuống"),1,IF(AND(INDEX('Thang 05-2026'!$A$3:$Q$102,MATCH(1,($A117='Thang 05-2026'!$A$3:$A$102)*($G117='Thang 05-2026'!$C$3:$C$102),0),14)=1,$B117="Triều Lên",INDEX('Thang 05-2026'!$A$3:$Q$102,MATCH(1,($A117='Thang 05-2026'!$A$3:$A$102)*($G117='Thang 05-2026'!$C$3:$C$102),0),15)=0),1,0))</f>
        <v>0</v>
      </c>
      <c r="F117" s="14">
        <f t="shared" si="10"/>
        <v>0</v>
      </c>
      <c r="G117" s="14">
        <v>28</v>
      </c>
      <c r="H117" t="str">
        <f t="array" ref="H117">INDEX('TONG HOP DIA DIEM'!$A$2:$K$181,MATCH(1,($A117='TONG HOP DIA DIEM'!$A$2:$A$181)*($B117='TONG HOP DIA DIEM'!$B$2:$B$181),0),6)</f>
        <v>TBNM9 - HCM_NM_TBNM9 - 02</v>
      </c>
      <c r="I117" t="str">
        <f t="array" ref="I117">INDEX('TONG HOP DIA DIEM'!$A$2:$K$181,MATCH(1,($A117='TONG HOP DIA DIEM'!$A$2:$A$181)*($B117='TONG HOP DIA DIEM'!$B$2:$B$181),0),7)</f>
        <v>TBNM9 - 02</v>
      </c>
      <c r="J117">
        <f t="shared" si="11"/>
        <v>1</v>
      </c>
      <c r="K117">
        <f t="shared" si="12"/>
        <v>0</v>
      </c>
      <c r="L117">
        <f t="shared" si="13"/>
        <v>0</v>
      </c>
      <c r="M117">
        <f t="shared" si="14"/>
        <v>0</v>
      </c>
      <c r="N117">
        <f t="shared" si="15"/>
        <v>28</v>
      </c>
      <c r="O117" t="str">
        <f t="shared" si="16"/>
        <v/>
      </c>
      <c r="P117" t="str">
        <f t="shared" si="17"/>
        <v/>
      </c>
      <c r="Q117" t="str">
        <f t="shared" si="18"/>
        <v/>
      </c>
    </row>
    <row r="118" spans="1:17" x14ac:dyDescent="0.2">
      <c r="A118" s="14" t="s">
        <v>123</v>
      </c>
      <c r="B118" s="15" t="s">
        <v>377</v>
      </c>
      <c r="C118" s="14">
        <v>1</v>
      </c>
      <c r="D118" s="14">
        <f t="array" ref="D118">IF(AND(INDEX('Thang 05-2026'!$A$3:$Q$102,MATCH(1,($A118='Thang 05-2026'!$A$3:$A$102)*($G118='Thang 05-2026'!$C$3:$C$102),0),11)=1,$B118="Triều Xuống"),1,IF(AND(INDEX('Thang 05-2026'!$A$3:$Q$102,MATCH(1,($A118='Thang 05-2026'!$A$3:$A$102)*($G118='Thang 05-2026'!$C$3:$C$102),0),10)=1,$B118="Triều Lên",INDEX('Thang 05-2026'!$A$3:$Q$102,MATCH(1,($A118='Thang 05-2026'!$A$3:$A$102)*($G118='Thang 05-2026'!$C$3:$C$102),0),11)=0),1,0))</f>
        <v>0</v>
      </c>
      <c r="E118" s="14">
        <f t="array" ref="E118">IF(AND(INDEX('Thang 05-2026'!$A$3:$Q$102,MATCH(1,($A118='Thang 05-2026'!$A$3:$A$102)*($G118='Thang 05-2026'!$C$3:$C$102),0),15)=1,$B118="Triều Xuống"),1,IF(AND(INDEX('Thang 05-2026'!$A$3:$Q$102,MATCH(1,($A118='Thang 05-2026'!$A$3:$A$102)*($G118='Thang 05-2026'!$C$3:$C$102),0),14)=1,$B118="Triều Lên",INDEX('Thang 05-2026'!$A$3:$Q$102,MATCH(1,($A118='Thang 05-2026'!$A$3:$A$102)*($G118='Thang 05-2026'!$C$3:$C$102),0),15)=0),1,0))</f>
        <v>0</v>
      </c>
      <c r="F118" s="14">
        <f t="shared" si="10"/>
        <v>0</v>
      </c>
      <c r="G118" s="14">
        <v>28</v>
      </c>
      <c r="H118" t="str">
        <f t="array" ref="H118">INDEX('TONG HOP DIA DIEM'!$A$2:$K$181,MATCH(1,($A118='TONG HOP DIA DIEM'!$A$2:$A$181)*($B118='TONG HOP DIA DIEM'!$B$2:$B$181),0),6)</f>
        <v>TBNM11 - HCM_NM_TBNM11 - 02</v>
      </c>
      <c r="I118" t="str">
        <f t="array" ref="I118">INDEX('TONG HOP DIA DIEM'!$A$2:$K$181,MATCH(1,($A118='TONG HOP DIA DIEM'!$A$2:$A$181)*($B118='TONG HOP DIA DIEM'!$B$2:$B$181),0),7)</f>
        <v>TBNM11 - 02</v>
      </c>
      <c r="J118">
        <f t="shared" si="11"/>
        <v>1</v>
      </c>
      <c r="K118">
        <f t="shared" si="12"/>
        <v>0</v>
      </c>
      <c r="L118">
        <f t="shared" si="13"/>
        <v>0</v>
      </c>
      <c r="M118">
        <f t="shared" si="14"/>
        <v>0</v>
      </c>
      <c r="N118">
        <f t="shared" si="15"/>
        <v>28</v>
      </c>
      <c r="O118" t="str">
        <f t="shared" si="16"/>
        <v/>
      </c>
      <c r="P118" t="str">
        <f t="shared" si="17"/>
        <v/>
      </c>
      <c r="Q118" t="str">
        <f t="shared" si="18"/>
        <v/>
      </c>
    </row>
    <row r="119" spans="1:17" x14ac:dyDescent="0.2">
      <c r="A119" s="14" t="s">
        <v>124</v>
      </c>
      <c r="B119" s="15" t="s">
        <v>377</v>
      </c>
      <c r="C119" s="14">
        <v>1</v>
      </c>
      <c r="D119" s="14">
        <f t="array" ref="D119">IF(AND(INDEX('Thang 05-2026'!$A$3:$Q$102,MATCH(1,($A119='Thang 05-2026'!$A$3:$A$102)*($G119='Thang 05-2026'!$C$3:$C$102),0),11)=1,$B119="Triều Xuống"),1,IF(AND(INDEX('Thang 05-2026'!$A$3:$Q$102,MATCH(1,($A119='Thang 05-2026'!$A$3:$A$102)*($G119='Thang 05-2026'!$C$3:$C$102),0),10)=1,$B119="Triều Lên",INDEX('Thang 05-2026'!$A$3:$Q$102,MATCH(1,($A119='Thang 05-2026'!$A$3:$A$102)*($G119='Thang 05-2026'!$C$3:$C$102),0),11)=0),1,0))</f>
        <v>0</v>
      </c>
      <c r="E119" s="14">
        <f t="array" ref="E119">IF(AND(INDEX('Thang 05-2026'!$A$3:$Q$102,MATCH(1,($A119='Thang 05-2026'!$A$3:$A$102)*($G119='Thang 05-2026'!$C$3:$C$102),0),15)=1,$B119="Triều Xuống"),1,IF(AND(INDEX('Thang 05-2026'!$A$3:$Q$102,MATCH(1,($A119='Thang 05-2026'!$A$3:$A$102)*($G119='Thang 05-2026'!$C$3:$C$102),0),14)=1,$B119="Triều Lên",INDEX('Thang 05-2026'!$A$3:$Q$102,MATCH(1,($A119='Thang 05-2026'!$A$3:$A$102)*($G119='Thang 05-2026'!$C$3:$C$102),0),15)=0),1,0))</f>
        <v>0</v>
      </c>
      <c r="F119" s="14">
        <f t="shared" si="10"/>
        <v>0</v>
      </c>
      <c r="G119" s="14">
        <v>28</v>
      </c>
      <c r="H119" t="str">
        <f t="array" ref="H119">INDEX('TONG HOP DIA DIEM'!$A$2:$K$181,MATCH(1,($A119='TONG HOP DIA DIEM'!$A$2:$A$181)*($B119='TONG HOP DIA DIEM'!$B$2:$B$181),0),6)</f>
        <v>TBNM1 - HCM_NM_TBNM1 - 02</v>
      </c>
      <c r="I119" t="str">
        <f t="array" ref="I119">INDEX('TONG HOP DIA DIEM'!$A$2:$K$181,MATCH(1,($A119='TONG HOP DIA DIEM'!$A$2:$A$181)*($B119='TONG HOP DIA DIEM'!$B$2:$B$181),0),7)</f>
        <v>TBNM1 - 02</v>
      </c>
      <c r="J119">
        <f t="shared" si="11"/>
        <v>1</v>
      </c>
      <c r="K119">
        <f t="shared" si="12"/>
        <v>0</v>
      </c>
      <c r="L119">
        <f t="shared" si="13"/>
        <v>0</v>
      </c>
      <c r="M119">
        <f t="shared" si="14"/>
        <v>0</v>
      </c>
      <c r="N119">
        <f t="shared" si="15"/>
        <v>28</v>
      </c>
      <c r="O119" t="str">
        <f t="shared" si="16"/>
        <v/>
      </c>
      <c r="P119" t="str">
        <f t="shared" si="17"/>
        <v/>
      </c>
      <c r="Q119" t="str">
        <f t="shared" si="18"/>
        <v/>
      </c>
    </row>
  </sheetData>
  <autoFilter ref="A1:G1" xr:uid="{9150B87F-781C-4E45-B9D8-6C0362F7D8BF}">
    <sortState xmlns:xlrd2="http://schemas.microsoft.com/office/spreadsheetml/2017/richdata2" ref="A2:G173">
      <sortCondition ref="G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0FC0-8E13-470A-8FFC-9B5A2E4D89AE}">
  <dimension ref="A1:M16"/>
  <sheetViews>
    <sheetView tabSelected="1" workbookViewId="0">
      <selection activeCell="I21" sqref="I21"/>
    </sheetView>
  </sheetViews>
  <sheetFormatPr defaultRowHeight="14.25" x14ac:dyDescent="0.2"/>
  <sheetData>
    <row r="1" spans="1:13" x14ac:dyDescent="0.2">
      <c r="A1" t="s">
        <v>1589</v>
      </c>
    </row>
    <row r="2" spans="1:13" x14ac:dyDescent="0.2">
      <c r="A2" t="s">
        <v>1590</v>
      </c>
      <c r="G2" t="s">
        <v>1589</v>
      </c>
      <c r="M2" t="s">
        <v>1589</v>
      </c>
    </row>
    <row r="3" spans="1:13" x14ac:dyDescent="0.2">
      <c r="A3" t="s">
        <v>1591</v>
      </c>
    </row>
    <row r="4" spans="1:13" x14ac:dyDescent="0.2">
      <c r="A4" t="s">
        <v>1592</v>
      </c>
    </row>
    <row r="5" spans="1:13" x14ac:dyDescent="0.2">
      <c r="A5" t="s">
        <v>1593</v>
      </c>
    </row>
    <row r="6" spans="1:13" x14ac:dyDescent="0.2">
      <c r="A6" t="s">
        <v>1594</v>
      </c>
    </row>
    <row r="7" spans="1:13" x14ac:dyDescent="0.2">
      <c r="A7" t="s">
        <v>1595</v>
      </c>
    </row>
    <row r="8" spans="1:13" x14ac:dyDescent="0.2">
      <c r="A8" t="s">
        <v>1596</v>
      </c>
    </row>
    <row r="9" spans="1:13" x14ac:dyDescent="0.2">
      <c r="A9" t="s">
        <v>1604</v>
      </c>
    </row>
    <row r="10" spans="1:13" x14ac:dyDescent="0.2">
      <c r="A10" t="s">
        <v>1600</v>
      </c>
    </row>
    <row r="11" spans="1:13" x14ac:dyDescent="0.2">
      <c r="A11" t="s">
        <v>1601</v>
      </c>
    </row>
    <row r="12" spans="1:13" x14ac:dyDescent="0.2">
      <c r="A12" t="s">
        <v>1597</v>
      </c>
    </row>
    <row r="13" spans="1:13" x14ac:dyDescent="0.2">
      <c r="A13" t="s">
        <v>1603</v>
      </c>
    </row>
    <row r="14" spans="1:13" x14ac:dyDescent="0.2">
      <c r="A14" t="s">
        <v>1599</v>
      </c>
    </row>
    <row r="15" spans="1:13" x14ac:dyDescent="0.2">
      <c r="A15" t="s">
        <v>1602</v>
      </c>
    </row>
    <row r="16" spans="1:13" x14ac:dyDescent="0.2">
      <c r="A16" t="s">
        <v>1598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675C-61DB-459E-A6DF-828FAC7A9552}">
  <dimension ref="A1:Q119"/>
  <sheetViews>
    <sheetView topLeftCell="I1" workbookViewId="0">
      <selection activeCell="Q29" sqref="Q29"/>
    </sheetView>
  </sheetViews>
  <sheetFormatPr defaultRowHeight="14.25" x14ac:dyDescent="0.2"/>
  <cols>
    <col min="1" max="1" width="16.125" style="14" bestFit="1" customWidth="1"/>
    <col min="2" max="2" width="14.5" style="14" bestFit="1" customWidth="1"/>
    <col min="3" max="3" width="14.625" style="14" bestFit="1" customWidth="1"/>
    <col min="4" max="4" width="21.125" style="14" bestFit="1" customWidth="1"/>
    <col min="5" max="5" width="22.875" style="14" bestFit="1" customWidth="1"/>
    <col min="6" max="6" width="18.125" style="14" bestFit="1" customWidth="1"/>
    <col min="7" max="7" width="7" style="14" bestFit="1" customWidth="1"/>
    <col min="8" max="8" width="39.375" bestFit="1" customWidth="1"/>
    <col min="9" max="9" width="25.125" bestFit="1" customWidth="1"/>
    <col min="10" max="10" width="12.625" bestFit="1" customWidth="1"/>
    <col min="11" max="11" width="19.125" bestFit="1" customWidth="1"/>
    <col min="12" max="12" width="20.875" bestFit="1" customWidth="1"/>
    <col min="13" max="13" width="16.125" bestFit="1" customWidth="1"/>
    <col min="14" max="14" width="5" bestFit="1" customWidth="1"/>
    <col min="15" max="15" width="23.25" bestFit="1" customWidth="1"/>
    <col min="16" max="16" width="33.75" bestFit="1" customWidth="1"/>
    <col min="17" max="17" width="31.875" bestFit="1" customWidth="1"/>
  </cols>
  <sheetData>
    <row r="1" spans="1:17" x14ac:dyDescent="0.2">
      <c r="A1" s="14" t="s">
        <v>112</v>
      </c>
      <c r="B1" s="14" t="s">
        <v>113</v>
      </c>
      <c r="C1" s="14" t="s">
        <v>114</v>
      </c>
      <c r="D1" s="14" t="s">
        <v>131</v>
      </c>
      <c r="E1" s="14" t="s">
        <v>132</v>
      </c>
      <c r="F1" s="14" t="s">
        <v>115</v>
      </c>
      <c r="G1" s="14" t="s">
        <v>116</v>
      </c>
      <c r="H1" t="s">
        <v>112</v>
      </c>
      <c r="I1" t="s">
        <v>113</v>
      </c>
      <c r="J1" t="s">
        <v>114</v>
      </c>
      <c r="K1" t="s">
        <v>131</v>
      </c>
      <c r="L1" t="s">
        <v>132</v>
      </c>
      <c r="M1" t="s">
        <v>115</v>
      </c>
      <c r="N1" t="s">
        <v>116</v>
      </c>
      <c r="O1" t="s">
        <v>1586</v>
      </c>
      <c r="P1" t="s">
        <v>1587</v>
      </c>
      <c r="Q1" t="s">
        <v>1588</v>
      </c>
    </row>
    <row r="2" spans="1:17" x14ac:dyDescent="0.2">
      <c r="A2" s="14" t="s">
        <v>88</v>
      </c>
      <c r="B2" s="15" t="s">
        <v>118</v>
      </c>
      <c r="C2" s="14">
        <v>1</v>
      </c>
      <c r="D2" s="14">
        <f t="array" ref="D2">IF(AND(INDEX('Thang 05-2026'!$A$3:$Q$102,MATCH(1,($A2='Thang 05-2026'!$A$3:$A$102)*($G2='Thang 05-2026'!$C$3:$C$102),0),11)=1,$B2="Triều Xuống"),1,IF(AND(INDEX('Thang 05-2026'!$A$3:$Q$102,MATCH(1,($A2='Thang 05-2026'!$A$3:$A$102)*($G2='Thang 05-2026'!$C$3:$C$102),0),10)=1,$B2="Triều Lên",INDEX('Thang 05-2026'!$A$3:$Q$102,MATCH(1,($A2='Thang 05-2026'!$A$3:$A$102)*($G2='Thang 05-2026'!$C$3:$C$102),0),11)=0),1,0))</f>
        <v>0</v>
      </c>
      <c r="E2" s="14">
        <f t="array" ref="E2">IF(AND(INDEX('Thang 05-2026'!$A$3:$Q$102,MATCH(1,($A2='Thang 05-2026'!$A$3:$A$102)*($G2='Thang 05-2026'!$C$3:$C$102),0),15)=1,$B2="Triều Xuống"),1,IF(AND(INDEX('Thang 05-2026'!$A$3:$Q$102,MATCH(1,($A2='Thang 05-2026'!$A$3:$A$102)*($G2='Thang 05-2026'!$C$3:$C$102),0),14)=1,$B2="Triều Lên",INDEX('Thang 05-2026'!$A$3:$Q$102,MATCH(1,($A2='Thang 05-2026'!$A$3:$A$102)*($G2='Thang 05-2026'!$C$3:$C$102),0),15)=0),1,0))</f>
        <v>0</v>
      </c>
      <c r="F2" s="14">
        <f t="shared" ref="F2:F29" si="0">D2+E2+IF(E2&gt;0,1,0)</f>
        <v>0</v>
      </c>
      <c r="G2" s="14">
        <f>INDEX('Thang 05-2026'!$A$3:$C$102,MATCH(A2,'Thang 05-2026'!$A$3:$A$102,0),3)</f>
        <v>25</v>
      </c>
      <c r="H2" t="str">
        <f t="array" ref="H2">INDEX('TONG HOP DIA DIEM'!$A$2:$K$181,MATCH(1,($A2='TONG HOP DIA DIEM'!$A$2:$A$181)*($B2='TONG HOP DIA DIEM'!$B$2:$B$181),0),6)</f>
        <v>Lòng Tàu 1 - HCM_NM_LT1 - Triều Lên</v>
      </c>
      <c r="I2" t="str">
        <f t="array" ref="I2">INDEX('TONG HOP DIA DIEM'!$A$2:$K$181,MATCH(1,($A2='TONG HOP DIA DIEM'!$A$2:$A$181)*($B2='TONG HOP DIA DIEM'!$B$2:$B$181),0),7)</f>
        <v>Lòng Tàu 1 - Triều Lên</v>
      </c>
      <c r="J2">
        <f>C2</f>
        <v>1</v>
      </c>
      <c r="K2">
        <f t="shared" ref="K2:N2" si="1">D2</f>
        <v>0</v>
      </c>
      <c r="L2">
        <f t="shared" si="1"/>
        <v>0</v>
      </c>
      <c r="M2">
        <f t="shared" si="1"/>
        <v>0</v>
      </c>
      <c r="N2">
        <f t="shared" si="1"/>
        <v>25</v>
      </c>
      <c r="O2" t="str">
        <f>IF(K2=1,I2&amp;" (QC - Mẫu lặp)","")</f>
        <v/>
      </c>
      <c r="P2" t="str">
        <f>IF(L2=1,I2&amp;" (QC - Mẫu trắng)","")</f>
        <v/>
      </c>
      <c r="Q2" t="str">
        <f>IF(L2=1,I2&amp;" (QC - Mẫu lặp)","")</f>
        <v/>
      </c>
    </row>
    <row r="3" spans="1:17" x14ac:dyDescent="0.2">
      <c r="A3" s="14" t="s">
        <v>91</v>
      </c>
      <c r="B3" s="15" t="s">
        <v>118</v>
      </c>
      <c r="C3" s="14">
        <v>1</v>
      </c>
      <c r="D3" s="14">
        <f t="array" ref="D3">IF(AND(INDEX('Thang 05-2026'!$A$3:$Q$102,MATCH(1,($A3='Thang 05-2026'!$A$3:$A$102)*($G3='Thang 05-2026'!$C$3:$C$102),0),11)=1,$B3="Triều Xuống"),1,IF(AND(INDEX('Thang 05-2026'!$A$3:$Q$102,MATCH(1,($A3='Thang 05-2026'!$A$3:$A$102)*($G3='Thang 05-2026'!$C$3:$C$102),0),10)=1,$B3="Triều Lên",INDEX('Thang 05-2026'!$A$3:$Q$102,MATCH(1,($A3='Thang 05-2026'!$A$3:$A$102)*($G3='Thang 05-2026'!$C$3:$C$102),0),11)=0),1,0))</f>
        <v>0</v>
      </c>
      <c r="E3" s="14">
        <f t="array" ref="E3">IF(AND(INDEX('Thang 05-2026'!$A$3:$Q$102,MATCH(1,($A3='Thang 05-2026'!$A$3:$A$102)*($G3='Thang 05-2026'!$C$3:$C$102),0),15)=1,$B3="Triều Xuống"),1,IF(AND(INDEX('Thang 05-2026'!$A$3:$Q$102,MATCH(1,($A3='Thang 05-2026'!$A$3:$A$102)*($G3='Thang 05-2026'!$C$3:$C$102),0),14)=1,$B3="Triều Lên",INDEX('Thang 05-2026'!$A$3:$Q$102,MATCH(1,($A3='Thang 05-2026'!$A$3:$A$102)*($G3='Thang 05-2026'!$C$3:$C$102),0),15)=0),1,0))</f>
        <v>0</v>
      </c>
      <c r="F3" s="14">
        <f t="shared" si="0"/>
        <v>0</v>
      </c>
      <c r="G3" s="14">
        <f>INDEX('Thang 05-2026'!$A$3:$C$102,MATCH(A3,'Thang 05-2026'!$A$3:$A$102,0),3)</f>
        <v>25</v>
      </c>
      <c r="H3" t="str">
        <f t="array" ref="H3">INDEX('TONG HOP DIA DIEM'!$A$2:$K$181,MATCH(1,($A3='TONG HOP DIA DIEM'!$A$2:$A$181)*($B3='TONG HOP DIA DIEM'!$B$2:$B$181),0),6)</f>
        <v>Lòng Tàu - HCM_NM_LT - Triều Lên</v>
      </c>
      <c r="I3" t="str">
        <f t="array" ref="I3">INDEX('TONG HOP DIA DIEM'!$A$2:$K$181,MATCH(1,($A3='TONG HOP DIA DIEM'!$A$2:$A$181)*($B3='TONG HOP DIA DIEM'!$B$2:$B$181),0),7)</f>
        <v>Lòng Tàu - Triều Lên</v>
      </c>
      <c r="J3">
        <f t="shared" ref="J3:J29" si="2">C3</f>
        <v>1</v>
      </c>
      <c r="K3">
        <f t="shared" ref="K3:K29" si="3">D3</f>
        <v>0</v>
      </c>
      <c r="L3">
        <f t="shared" ref="L3:L29" si="4">E3</f>
        <v>0</v>
      </c>
      <c r="M3">
        <f t="shared" ref="M3:M29" si="5">F3</f>
        <v>0</v>
      </c>
      <c r="N3">
        <f t="shared" ref="N3:N29" si="6">G3</f>
        <v>25</v>
      </c>
      <c r="O3" t="str">
        <f t="shared" ref="O3:O66" si="7">IF(K3=1,I3&amp;" (QC - Mẫu lặp)","")</f>
        <v/>
      </c>
      <c r="P3" t="str">
        <f t="shared" ref="P3:P66" si="8">IF(L3=1,I3&amp;" (QC - Mẫu trắng)","")</f>
        <v/>
      </c>
      <c r="Q3" t="str">
        <f t="shared" ref="Q3:Q66" si="9">IF(L3=1,I3&amp;" (QC - Mẫu lặp)","")</f>
        <v/>
      </c>
    </row>
    <row r="4" spans="1:17" x14ac:dyDescent="0.2">
      <c r="A4" s="14" t="s">
        <v>92</v>
      </c>
      <c r="B4" s="15" t="s">
        <v>118</v>
      </c>
      <c r="C4" s="14">
        <v>1</v>
      </c>
      <c r="D4" s="14">
        <f t="array" ref="D4">IF(AND(INDEX('Thang 05-2026'!$A$3:$Q$102,MATCH(1,($A4='Thang 05-2026'!$A$3:$A$102)*($G4='Thang 05-2026'!$C$3:$C$102),0),11)=1,$B4="Triều Xuống"),1,IF(AND(INDEX('Thang 05-2026'!$A$3:$Q$102,MATCH(1,($A4='Thang 05-2026'!$A$3:$A$102)*($G4='Thang 05-2026'!$C$3:$C$102),0),10)=1,$B4="Triều Lên",INDEX('Thang 05-2026'!$A$3:$Q$102,MATCH(1,($A4='Thang 05-2026'!$A$3:$A$102)*($G4='Thang 05-2026'!$C$3:$C$102),0),11)=0),1,0))</f>
        <v>0</v>
      </c>
      <c r="E4" s="14">
        <f t="array" ref="E4">IF(AND(INDEX('Thang 05-2026'!$A$3:$Q$102,MATCH(1,($A4='Thang 05-2026'!$A$3:$A$102)*($G4='Thang 05-2026'!$C$3:$C$102),0),15)=1,$B4="Triều Xuống"),1,IF(AND(INDEX('Thang 05-2026'!$A$3:$Q$102,MATCH(1,($A4='Thang 05-2026'!$A$3:$A$102)*($G4='Thang 05-2026'!$C$3:$C$102),0),14)=1,$B4="Triều Lên",INDEX('Thang 05-2026'!$A$3:$Q$102,MATCH(1,($A4='Thang 05-2026'!$A$3:$A$102)*($G4='Thang 05-2026'!$C$3:$C$102),0),15)=0),1,0))</f>
        <v>0</v>
      </c>
      <c r="F4" s="14">
        <f t="shared" si="0"/>
        <v>0</v>
      </c>
      <c r="G4" s="14">
        <f>INDEX('Thang 05-2026'!$A$3:$C$102,MATCH(A4,'Thang 05-2026'!$A$3:$A$102,0),3)</f>
        <v>25</v>
      </c>
      <c r="H4" t="str">
        <f t="array" ref="H4">INDEX('TONG HOP DIA DIEM'!$A$2:$K$181,MATCH(1,($A4='TONG HOP DIA DIEM'!$A$2:$A$181)*($B4='TONG HOP DIA DIEM'!$B$2:$B$181),0),6)</f>
        <v>Tam Thôn Hiệp - HCM_NM_TTH - Triều Lên</v>
      </c>
      <c r="I4" t="str">
        <f t="array" ref="I4">INDEX('TONG HOP DIA DIEM'!$A$2:$K$181,MATCH(1,($A4='TONG HOP DIA DIEM'!$A$2:$A$181)*($B4='TONG HOP DIA DIEM'!$B$2:$B$181),0),7)</f>
        <v>Tam Thôn Hiệp - Triều Lên</v>
      </c>
      <c r="J4">
        <f t="shared" si="2"/>
        <v>1</v>
      </c>
      <c r="K4">
        <f t="shared" si="3"/>
        <v>0</v>
      </c>
      <c r="L4">
        <f t="shared" si="4"/>
        <v>0</v>
      </c>
      <c r="M4">
        <f t="shared" si="5"/>
        <v>0</v>
      </c>
      <c r="N4">
        <f t="shared" si="6"/>
        <v>25</v>
      </c>
      <c r="O4" t="str">
        <f t="shared" si="7"/>
        <v/>
      </c>
      <c r="P4" t="str">
        <f t="shared" si="8"/>
        <v/>
      </c>
      <c r="Q4" t="str">
        <f t="shared" si="9"/>
        <v/>
      </c>
    </row>
    <row r="5" spans="1:17" x14ac:dyDescent="0.2">
      <c r="A5" s="14" t="s">
        <v>93</v>
      </c>
      <c r="B5" s="15" t="s">
        <v>118</v>
      </c>
      <c r="C5" s="14">
        <v>1</v>
      </c>
      <c r="D5" s="14">
        <f t="array" ref="D5">IF(AND(INDEX('Thang 05-2026'!$A$3:$Q$102,MATCH(1,($A5='Thang 05-2026'!$A$3:$A$102)*($G5='Thang 05-2026'!$C$3:$C$102),0),11)=1,$B5="Triều Xuống"),1,IF(AND(INDEX('Thang 05-2026'!$A$3:$Q$102,MATCH(1,($A5='Thang 05-2026'!$A$3:$A$102)*($G5='Thang 05-2026'!$C$3:$C$102),0),10)=1,$B5="Triều Lên",INDEX('Thang 05-2026'!$A$3:$Q$102,MATCH(1,($A5='Thang 05-2026'!$A$3:$A$102)*($G5='Thang 05-2026'!$C$3:$C$102),0),11)=0),1,0))</f>
        <v>0</v>
      </c>
      <c r="E5" s="14">
        <f t="array" ref="E5">IF(AND(INDEX('Thang 05-2026'!$A$3:$Q$102,MATCH(1,($A5='Thang 05-2026'!$A$3:$A$102)*($G5='Thang 05-2026'!$C$3:$C$102),0),15)=1,$B5="Triều Xuống"),1,IF(AND(INDEX('Thang 05-2026'!$A$3:$Q$102,MATCH(1,($A5='Thang 05-2026'!$A$3:$A$102)*($G5='Thang 05-2026'!$C$3:$C$102),0),14)=1,$B5="Triều Lên",INDEX('Thang 05-2026'!$A$3:$Q$102,MATCH(1,($A5='Thang 05-2026'!$A$3:$A$102)*($G5='Thang 05-2026'!$C$3:$C$102),0),15)=0),1,0))</f>
        <v>0</v>
      </c>
      <c r="F5" s="14">
        <f t="shared" si="0"/>
        <v>0</v>
      </c>
      <c r="G5" s="14">
        <f>INDEX('Thang 05-2026'!$A$3:$C$102,MATCH(A5,'Thang 05-2026'!$A$3:$A$102,0),3)</f>
        <v>25</v>
      </c>
      <c r="H5" t="str">
        <f t="array" ref="H5">INDEX('TONG HOP DIA DIEM'!$A$2:$K$181,MATCH(1,($A5='TONG HOP DIA DIEM'!$A$2:$A$181)*($B5='TONG HOP DIA DIEM'!$B$2:$B$181),0),6)</f>
        <v>Đồng Tranh 1 - HCM_NM_ĐT1 - Triều Lên</v>
      </c>
      <c r="I5" t="str">
        <f t="array" ref="I5">INDEX('TONG HOP DIA DIEM'!$A$2:$K$181,MATCH(1,($A5='TONG HOP DIA DIEM'!$A$2:$A$181)*($B5='TONG HOP DIA DIEM'!$B$2:$B$181),0),7)</f>
        <v>Đồng Tranh 1 - Triều Lên</v>
      </c>
      <c r="J5">
        <f t="shared" si="2"/>
        <v>1</v>
      </c>
      <c r="K5">
        <f t="shared" si="3"/>
        <v>0</v>
      </c>
      <c r="L5">
        <f t="shared" si="4"/>
        <v>0</v>
      </c>
      <c r="M5">
        <f t="shared" si="5"/>
        <v>0</v>
      </c>
      <c r="N5">
        <f t="shared" si="6"/>
        <v>25</v>
      </c>
      <c r="O5" t="str">
        <f t="shared" si="7"/>
        <v/>
      </c>
      <c r="P5" t="str">
        <f t="shared" si="8"/>
        <v/>
      </c>
      <c r="Q5" t="str">
        <f t="shared" si="9"/>
        <v/>
      </c>
    </row>
    <row r="6" spans="1:17" x14ac:dyDescent="0.2">
      <c r="A6" s="14" t="s">
        <v>88</v>
      </c>
      <c r="B6" s="15" t="s">
        <v>121</v>
      </c>
      <c r="C6" s="14">
        <v>1</v>
      </c>
      <c r="D6" s="14">
        <f t="array" ref="D6">IF(AND(INDEX('Thang 05-2026'!$A$3:$Q$102,MATCH(1,($A6='Thang 05-2026'!$A$3:$A$102)*($G6='Thang 05-2026'!$C$3:$C$102),0),11)=1,$B6="Triều Xuống"),1,IF(AND(INDEX('Thang 05-2026'!$A$3:$Q$102,MATCH(1,($A6='Thang 05-2026'!$A$3:$A$102)*($G6='Thang 05-2026'!$C$3:$C$102),0),10)=1,$B6="Triều Lên",INDEX('Thang 05-2026'!$A$3:$Q$102,MATCH(1,($A6='Thang 05-2026'!$A$3:$A$102)*($G6='Thang 05-2026'!$C$3:$C$102),0),11)=0),1,0))</f>
        <v>0</v>
      </c>
      <c r="E6" s="14">
        <f t="array" ref="E6">IF(AND(INDEX('Thang 05-2026'!$A$3:$Q$102,MATCH(1,($A6='Thang 05-2026'!$A$3:$A$102)*($G6='Thang 05-2026'!$C$3:$C$102),0),15)=1,$B6="Triều Xuống"),1,IF(AND(INDEX('Thang 05-2026'!$A$3:$Q$102,MATCH(1,($A6='Thang 05-2026'!$A$3:$A$102)*($G6='Thang 05-2026'!$C$3:$C$102),0),14)=1,$B6="Triều Lên",INDEX('Thang 05-2026'!$A$3:$Q$102,MATCH(1,($A6='Thang 05-2026'!$A$3:$A$102)*($G6='Thang 05-2026'!$C$3:$C$102),0),15)=0),1,0))</f>
        <v>0</v>
      </c>
      <c r="F6" s="14">
        <f t="shared" si="0"/>
        <v>0</v>
      </c>
      <c r="G6" s="14">
        <f>INDEX('Thang 05-2026'!$A$3:$C$102,MATCH(A6,'Thang 05-2026'!$A$3:$A$102,0),3)</f>
        <v>25</v>
      </c>
      <c r="H6" t="str">
        <f t="array" ref="H6">INDEX('TONG HOP DIA DIEM'!$A$2:$K$181,MATCH(1,($A6='TONG HOP DIA DIEM'!$A$2:$A$181)*($B6='TONG HOP DIA DIEM'!$B$2:$B$181),0),6)</f>
        <v>Lòng Tàu 1 - HCM_NM_LT1 - Triều Xuống</v>
      </c>
      <c r="I6" t="str">
        <f t="array" ref="I6">INDEX('TONG HOP DIA DIEM'!$A$2:$K$181,MATCH(1,($A6='TONG HOP DIA DIEM'!$A$2:$A$181)*($B6='TONG HOP DIA DIEM'!$B$2:$B$181),0),7)</f>
        <v>Lòng Tàu 1 - Triều Xuống</v>
      </c>
      <c r="J6">
        <f t="shared" si="2"/>
        <v>1</v>
      </c>
      <c r="K6">
        <f t="shared" si="3"/>
        <v>0</v>
      </c>
      <c r="L6">
        <f t="shared" si="4"/>
        <v>0</v>
      </c>
      <c r="M6">
        <f t="shared" si="5"/>
        <v>0</v>
      </c>
      <c r="N6">
        <f t="shared" si="6"/>
        <v>25</v>
      </c>
      <c r="O6" t="str">
        <f t="shared" si="7"/>
        <v/>
      </c>
      <c r="P6" t="str">
        <f t="shared" si="8"/>
        <v/>
      </c>
      <c r="Q6" t="str">
        <f t="shared" si="9"/>
        <v/>
      </c>
    </row>
    <row r="7" spans="1:17" x14ac:dyDescent="0.2">
      <c r="A7" s="14" t="s">
        <v>91</v>
      </c>
      <c r="B7" s="15" t="s">
        <v>121</v>
      </c>
      <c r="C7" s="14">
        <v>1</v>
      </c>
      <c r="D7" s="14">
        <f t="array" ref="D7">IF(AND(INDEX('Thang 05-2026'!$A$3:$Q$102,MATCH(1,($A7='Thang 05-2026'!$A$3:$A$102)*($G7='Thang 05-2026'!$C$3:$C$102),0),11)=1,$B7="Triều Xuống"),1,IF(AND(INDEX('Thang 05-2026'!$A$3:$Q$102,MATCH(1,($A7='Thang 05-2026'!$A$3:$A$102)*($G7='Thang 05-2026'!$C$3:$C$102),0),10)=1,$B7="Triều Lên",INDEX('Thang 05-2026'!$A$3:$Q$102,MATCH(1,($A7='Thang 05-2026'!$A$3:$A$102)*($G7='Thang 05-2026'!$C$3:$C$102),0),11)=0),1,0))</f>
        <v>0</v>
      </c>
      <c r="E7" s="14">
        <f t="array" ref="E7">IF(AND(INDEX('Thang 05-2026'!$A$3:$Q$102,MATCH(1,($A7='Thang 05-2026'!$A$3:$A$102)*($G7='Thang 05-2026'!$C$3:$C$102),0),15)=1,$B7="Triều Xuống"),1,IF(AND(INDEX('Thang 05-2026'!$A$3:$Q$102,MATCH(1,($A7='Thang 05-2026'!$A$3:$A$102)*($G7='Thang 05-2026'!$C$3:$C$102),0),14)=1,$B7="Triều Lên",INDEX('Thang 05-2026'!$A$3:$Q$102,MATCH(1,($A7='Thang 05-2026'!$A$3:$A$102)*($G7='Thang 05-2026'!$C$3:$C$102),0),15)=0),1,0))</f>
        <v>0</v>
      </c>
      <c r="F7" s="14">
        <f t="shared" si="0"/>
        <v>0</v>
      </c>
      <c r="G7" s="14">
        <f>INDEX('Thang 05-2026'!$A$3:$C$102,MATCH(A7,'Thang 05-2026'!$A$3:$A$102,0),3)</f>
        <v>25</v>
      </c>
      <c r="H7" t="str">
        <f t="array" ref="H7">INDEX('TONG HOP DIA DIEM'!$A$2:$K$181,MATCH(1,($A7='TONG HOP DIA DIEM'!$A$2:$A$181)*($B7='TONG HOP DIA DIEM'!$B$2:$B$181),0),6)</f>
        <v>Lòng Tàu - HCM_NM_LT - Triều Xuống</v>
      </c>
      <c r="I7" t="str">
        <f t="array" ref="I7">INDEX('TONG HOP DIA DIEM'!$A$2:$K$181,MATCH(1,($A7='TONG HOP DIA DIEM'!$A$2:$A$181)*($B7='TONG HOP DIA DIEM'!$B$2:$B$181),0),7)</f>
        <v>Lòng Tàu - Triều Xuống</v>
      </c>
      <c r="J7">
        <f t="shared" si="2"/>
        <v>1</v>
      </c>
      <c r="K7">
        <f t="shared" si="3"/>
        <v>0</v>
      </c>
      <c r="L7">
        <f t="shared" si="4"/>
        <v>0</v>
      </c>
      <c r="M7">
        <f t="shared" si="5"/>
        <v>0</v>
      </c>
      <c r="N7">
        <f t="shared" si="6"/>
        <v>25</v>
      </c>
      <c r="O7" t="str">
        <f t="shared" si="7"/>
        <v/>
      </c>
      <c r="P7" t="str">
        <f t="shared" si="8"/>
        <v/>
      </c>
      <c r="Q7" t="str">
        <f t="shared" si="9"/>
        <v/>
      </c>
    </row>
    <row r="8" spans="1:17" x14ac:dyDescent="0.2">
      <c r="A8" s="14" t="s">
        <v>92</v>
      </c>
      <c r="B8" s="15" t="s">
        <v>121</v>
      </c>
      <c r="C8" s="14">
        <v>1</v>
      </c>
      <c r="D8" s="14">
        <f t="array" ref="D8">IF(AND(INDEX('Thang 05-2026'!$A$3:$Q$102,MATCH(1,($A8='Thang 05-2026'!$A$3:$A$102)*($G8='Thang 05-2026'!$C$3:$C$102),0),11)=1,$B8="Triều Xuống"),1,IF(AND(INDEX('Thang 05-2026'!$A$3:$Q$102,MATCH(1,($A8='Thang 05-2026'!$A$3:$A$102)*($G8='Thang 05-2026'!$C$3:$C$102),0),10)=1,$B8="Triều Lên",INDEX('Thang 05-2026'!$A$3:$Q$102,MATCH(1,($A8='Thang 05-2026'!$A$3:$A$102)*($G8='Thang 05-2026'!$C$3:$C$102),0),11)=0),1,0))</f>
        <v>0</v>
      </c>
      <c r="E8" s="14">
        <f t="array" ref="E8">IF(AND(INDEX('Thang 05-2026'!$A$3:$Q$102,MATCH(1,($A8='Thang 05-2026'!$A$3:$A$102)*($G8='Thang 05-2026'!$C$3:$C$102),0),15)=1,$B8="Triều Xuống"),1,IF(AND(INDEX('Thang 05-2026'!$A$3:$Q$102,MATCH(1,($A8='Thang 05-2026'!$A$3:$A$102)*($G8='Thang 05-2026'!$C$3:$C$102),0),14)=1,$B8="Triều Lên",INDEX('Thang 05-2026'!$A$3:$Q$102,MATCH(1,($A8='Thang 05-2026'!$A$3:$A$102)*($G8='Thang 05-2026'!$C$3:$C$102),0),15)=0),1,0))</f>
        <v>0</v>
      </c>
      <c r="F8" s="14">
        <f t="shared" si="0"/>
        <v>0</v>
      </c>
      <c r="G8" s="14">
        <f>INDEX('Thang 05-2026'!$A$3:$C$102,MATCH(A8,'Thang 05-2026'!$A$3:$A$102,0),3)</f>
        <v>25</v>
      </c>
      <c r="H8" t="str">
        <f t="array" ref="H8">INDEX('TONG HOP DIA DIEM'!$A$2:$K$181,MATCH(1,($A8='TONG HOP DIA DIEM'!$A$2:$A$181)*($B8='TONG HOP DIA DIEM'!$B$2:$B$181),0),6)</f>
        <v>Tam Thôn Hiệp - HCM_NM_TTH - Triều Xuống</v>
      </c>
      <c r="I8" t="str">
        <f t="array" ref="I8">INDEX('TONG HOP DIA DIEM'!$A$2:$K$181,MATCH(1,($A8='TONG HOP DIA DIEM'!$A$2:$A$181)*($B8='TONG HOP DIA DIEM'!$B$2:$B$181),0),7)</f>
        <v>Tam Thôn Hiệp - Triều Xuống</v>
      </c>
      <c r="J8">
        <f t="shared" si="2"/>
        <v>1</v>
      </c>
      <c r="K8">
        <f t="shared" si="3"/>
        <v>0</v>
      </c>
      <c r="L8">
        <f t="shared" si="4"/>
        <v>0</v>
      </c>
      <c r="M8">
        <f t="shared" si="5"/>
        <v>0</v>
      </c>
      <c r="N8">
        <f t="shared" si="6"/>
        <v>25</v>
      </c>
      <c r="O8" t="str">
        <f t="shared" si="7"/>
        <v/>
      </c>
      <c r="P8" t="str">
        <f t="shared" si="8"/>
        <v/>
      </c>
      <c r="Q8" t="str">
        <f t="shared" si="9"/>
        <v/>
      </c>
    </row>
    <row r="9" spans="1:17" x14ac:dyDescent="0.2">
      <c r="A9" s="14" t="s">
        <v>93</v>
      </c>
      <c r="B9" s="15" t="s">
        <v>121</v>
      </c>
      <c r="C9" s="14">
        <v>1</v>
      </c>
      <c r="D9" s="14">
        <f t="array" ref="D9">IF(AND(INDEX('Thang 05-2026'!$A$3:$Q$102,MATCH(1,($A9='Thang 05-2026'!$A$3:$A$102)*($G9='Thang 05-2026'!$C$3:$C$102),0),11)=1,$B9="Triều Xuống"),1,IF(AND(INDEX('Thang 05-2026'!$A$3:$Q$102,MATCH(1,($A9='Thang 05-2026'!$A$3:$A$102)*($G9='Thang 05-2026'!$C$3:$C$102),0),10)=1,$B9="Triều Lên",INDEX('Thang 05-2026'!$A$3:$Q$102,MATCH(1,($A9='Thang 05-2026'!$A$3:$A$102)*($G9='Thang 05-2026'!$C$3:$C$102),0),11)=0),1,0))</f>
        <v>0</v>
      </c>
      <c r="E9" s="14">
        <f t="array" ref="E9">IF(AND(INDEX('Thang 05-2026'!$A$3:$Q$102,MATCH(1,($A9='Thang 05-2026'!$A$3:$A$102)*($G9='Thang 05-2026'!$C$3:$C$102),0),15)=1,$B9="Triều Xuống"),1,IF(AND(INDEX('Thang 05-2026'!$A$3:$Q$102,MATCH(1,($A9='Thang 05-2026'!$A$3:$A$102)*($G9='Thang 05-2026'!$C$3:$C$102),0),14)=1,$B9="Triều Lên",INDEX('Thang 05-2026'!$A$3:$Q$102,MATCH(1,($A9='Thang 05-2026'!$A$3:$A$102)*($G9='Thang 05-2026'!$C$3:$C$102),0),15)=0),1,0))</f>
        <v>0</v>
      </c>
      <c r="F9" s="14">
        <f t="shared" si="0"/>
        <v>0</v>
      </c>
      <c r="G9" s="14">
        <f>INDEX('Thang 05-2026'!$A$3:$C$102,MATCH(A9,'Thang 05-2026'!$A$3:$A$102,0),3)</f>
        <v>25</v>
      </c>
      <c r="H9" t="str">
        <f t="array" ref="H9">INDEX('TONG HOP DIA DIEM'!$A$2:$K$181,MATCH(1,($A9='TONG HOP DIA DIEM'!$A$2:$A$181)*($B9='TONG HOP DIA DIEM'!$B$2:$B$181),0),6)</f>
        <v>Đồng Tranh 1 - HCM_NM_ĐT1 - Triều Xuống</v>
      </c>
      <c r="I9" t="str">
        <f t="array" ref="I9">INDEX('TONG HOP DIA DIEM'!$A$2:$K$181,MATCH(1,($A9='TONG HOP DIA DIEM'!$A$2:$A$181)*($B9='TONG HOP DIA DIEM'!$B$2:$B$181),0),7)</f>
        <v>Đồng Tranh 1 - Triều Xuống</v>
      </c>
      <c r="J9">
        <f t="shared" si="2"/>
        <v>1</v>
      </c>
      <c r="K9">
        <f t="shared" si="3"/>
        <v>0</v>
      </c>
      <c r="L9">
        <f t="shared" si="4"/>
        <v>0</v>
      </c>
      <c r="M9">
        <f t="shared" si="5"/>
        <v>0</v>
      </c>
      <c r="N9">
        <f t="shared" si="6"/>
        <v>25</v>
      </c>
      <c r="O9" t="str">
        <f t="shared" si="7"/>
        <v/>
      </c>
      <c r="P9" t="str">
        <f t="shared" si="8"/>
        <v/>
      </c>
      <c r="Q9" t="str">
        <f t="shared" si="9"/>
        <v/>
      </c>
    </row>
    <row r="10" spans="1:17" x14ac:dyDescent="0.2">
      <c r="A10" s="14" t="s">
        <v>94</v>
      </c>
      <c r="B10" s="14" t="s">
        <v>118</v>
      </c>
      <c r="C10" s="14">
        <v>1</v>
      </c>
      <c r="D10" s="14">
        <f t="array" ref="D10">IF(AND(INDEX('Thang 05-2026'!$A$3:$Q$102,MATCH(1,($A10='Thang 05-2026'!$A$3:$A$102)*($G10='Thang 05-2026'!$C$3:$C$102),0),11)=1,$B10="Triều Xuống"),1,IF(AND(INDEX('Thang 05-2026'!$A$3:$Q$102,MATCH(1,($A10='Thang 05-2026'!$A$3:$A$102)*($G10='Thang 05-2026'!$C$3:$C$102),0),10)=1,$B10="Triều Lên",INDEX('Thang 05-2026'!$A$3:$Q$102,MATCH(1,($A10='Thang 05-2026'!$A$3:$A$102)*($G10='Thang 05-2026'!$C$3:$C$102),0),11)=0),1,0))</f>
        <v>0</v>
      </c>
      <c r="E10" s="14">
        <f t="array" ref="E10">IF(AND(INDEX('Thang 05-2026'!$A$3:$Q$102,MATCH(1,($A10='Thang 05-2026'!$A$3:$A$102)*($G10='Thang 05-2026'!$C$3:$C$102),0),15)=1,$B10="Triều Xuống"),1,IF(AND(INDEX('Thang 05-2026'!$A$3:$Q$102,MATCH(1,($A10='Thang 05-2026'!$A$3:$A$102)*($G10='Thang 05-2026'!$C$3:$C$102),0),14)=1,$B10="Triều Lên",INDEX('Thang 05-2026'!$A$3:$Q$102,MATCH(1,($A10='Thang 05-2026'!$A$3:$A$102)*($G10='Thang 05-2026'!$C$3:$C$102),0),15)=0),1,0))</f>
        <v>0</v>
      </c>
      <c r="F10" s="14">
        <f t="shared" si="0"/>
        <v>0</v>
      </c>
      <c r="G10" s="14">
        <f>INDEX('Thang 05-2026'!$A$3:$C$102,MATCH(A10,'Thang 05-2026'!$A$3:$A$102,0),3)</f>
        <v>25</v>
      </c>
      <c r="H10" t="str">
        <f t="array" ref="H10">INDEX('TONG HOP DIA DIEM'!$A$2:$K$181,MATCH(1,($A10='TONG HOP DIA DIEM'!$A$2:$A$181)*($B10='TONG HOP DIA DIEM'!$B$2:$B$181),0),6)</f>
        <v>Bình Lợi - HCM_NM_BL - Triều Lên</v>
      </c>
      <c r="I10" t="str">
        <f t="array" ref="I10">INDEX('TONG HOP DIA DIEM'!$A$2:$K$181,MATCH(1,($A10='TONG HOP DIA DIEM'!$A$2:$A$181)*($B10='TONG HOP DIA DIEM'!$B$2:$B$181),0),7)</f>
        <v>Bình Lợi - Triều Lên</v>
      </c>
      <c r="J10">
        <f t="shared" si="2"/>
        <v>1</v>
      </c>
      <c r="K10">
        <f t="shared" si="3"/>
        <v>0</v>
      </c>
      <c r="L10">
        <f t="shared" si="4"/>
        <v>0</v>
      </c>
      <c r="M10">
        <f t="shared" si="5"/>
        <v>0</v>
      </c>
      <c r="N10">
        <f t="shared" si="6"/>
        <v>25</v>
      </c>
      <c r="O10" t="str">
        <f t="shared" si="7"/>
        <v/>
      </c>
      <c r="P10" t="str">
        <f t="shared" si="8"/>
        <v/>
      </c>
      <c r="Q10" t="str">
        <f t="shared" si="9"/>
        <v/>
      </c>
    </row>
    <row r="11" spans="1:17" x14ac:dyDescent="0.2">
      <c r="A11" s="14" t="s">
        <v>95</v>
      </c>
      <c r="B11" s="14" t="s">
        <v>118</v>
      </c>
      <c r="C11" s="14">
        <v>1</v>
      </c>
      <c r="D11" s="14">
        <f t="array" ref="D11">IF(AND(INDEX('Thang 05-2026'!$A$3:$Q$102,MATCH(1,($A11='Thang 05-2026'!$A$3:$A$102)*($G11='Thang 05-2026'!$C$3:$C$102),0),11)=1,$B11="Triều Xuống"),1,IF(AND(INDEX('Thang 05-2026'!$A$3:$Q$102,MATCH(1,($A11='Thang 05-2026'!$A$3:$A$102)*($G11='Thang 05-2026'!$C$3:$C$102),0),10)=1,$B11="Triều Lên",INDEX('Thang 05-2026'!$A$3:$Q$102,MATCH(1,($A11='Thang 05-2026'!$A$3:$A$102)*($G11='Thang 05-2026'!$C$3:$C$102),0),11)=0),1,0))</f>
        <v>0</v>
      </c>
      <c r="E11" s="14">
        <f t="array" ref="E11">IF(AND(INDEX('Thang 05-2026'!$A$3:$Q$102,MATCH(1,($A11='Thang 05-2026'!$A$3:$A$102)*($G11='Thang 05-2026'!$C$3:$C$102),0),15)=1,$B11="Triều Xuống"),1,IF(AND(INDEX('Thang 05-2026'!$A$3:$Q$102,MATCH(1,($A11='Thang 05-2026'!$A$3:$A$102)*($G11='Thang 05-2026'!$C$3:$C$102),0),14)=1,$B11="Triều Lên",INDEX('Thang 05-2026'!$A$3:$Q$102,MATCH(1,($A11='Thang 05-2026'!$A$3:$A$102)*($G11='Thang 05-2026'!$C$3:$C$102),0),15)=0),1,0))</f>
        <v>0</v>
      </c>
      <c r="F11" s="14">
        <f t="shared" si="0"/>
        <v>0</v>
      </c>
      <c r="G11" s="14">
        <f>INDEX('Thang 05-2026'!$A$3:$C$102,MATCH(A11,'Thang 05-2026'!$A$3:$A$102,0),3)</f>
        <v>25</v>
      </c>
      <c r="H11" t="str">
        <f t="array" ref="H11">INDEX('TONG HOP DIA DIEM'!$A$2:$K$181,MATCH(1,($A11='TONG HOP DIA DIEM'!$A$2:$A$181)*($B11='TONG HOP DIA DIEM'!$B$2:$B$181),0),6)</f>
        <v>Sài Gòn - HCM_NM_SG - Triều Lên</v>
      </c>
      <c r="I11" t="str">
        <f t="array" ref="I11">INDEX('TONG HOP DIA DIEM'!$A$2:$K$181,MATCH(1,($A11='TONG HOP DIA DIEM'!$A$2:$A$181)*($B11='TONG HOP DIA DIEM'!$B$2:$B$181),0),7)</f>
        <v>Sài Gòn - Triều Lên</v>
      </c>
      <c r="J11">
        <f t="shared" si="2"/>
        <v>1</v>
      </c>
      <c r="K11">
        <f t="shared" si="3"/>
        <v>0</v>
      </c>
      <c r="L11">
        <f t="shared" si="4"/>
        <v>0</v>
      </c>
      <c r="M11">
        <f t="shared" si="5"/>
        <v>0</v>
      </c>
      <c r="N11">
        <f t="shared" si="6"/>
        <v>25</v>
      </c>
      <c r="O11" t="str">
        <f t="shared" si="7"/>
        <v/>
      </c>
      <c r="P11" t="str">
        <f t="shared" si="8"/>
        <v/>
      </c>
      <c r="Q11" t="str">
        <f t="shared" si="9"/>
        <v/>
      </c>
    </row>
    <row r="12" spans="1:17" x14ac:dyDescent="0.2">
      <c r="A12" s="14" t="s">
        <v>94</v>
      </c>
      <c r="B12" s="14" t="s">
        <v>121</v>
      </c>
      <c r="C12" s="14">
        <v>1</v>
      </c>
      <c r="D12" s="14">
        <f t="array" ref="D12">IF(AND(INDEX('Thang 05-2026'!$A$3:$Q$102,MATCH(1,($A12='Thang 05-2026'!$A$3:$A$102)*($G12='Thang 05-2026'!$C$3:$C$102),0),11)=1,$B12="Triều Xuống"),1,IF(AND(INDEX('Thang 05-2026'!$A$3:$Q$102,MATCH(1,($A12='Thang 05-2026'!$A$3:$A$102)*($G12='Thang 05-2026'!$C$3:$C$102),0),10)=1,$B12="Triều Lên",INDEX('Thang 05-2026'!$A$3:$Q$102,MATCH(1,($A12='Thang 05-2026'!$A$3:$A$102)*($G12='Thang 05-2026'!$C$3:$C$102),0),11)=0),1,0))</f>
        <v>0</v>
      </c>
      <c r="E12" s="14">
        <f t="array" ref="E12">IF(AND(INDEX('Thang 05-2026'!$A$3:$Q$102,MATCH(1,($A12='Thang 05-2026'!$A$3:$A$102)*($G12='Thang 05-2026'!$C$3:$C$102),0),15)=1,$B12="Triều Xuống"),1,IF(AND(INDEX('Thang 05-2026'!$A$3:$Q$102,MATCH(1,($A12='Thang 05-2026'!$A$3:$A$102)*($G12='Thang 05-2026'!$C$3:$C$102),0),14)=1,$B12="Triều Lên",INDEX('Thang 05-2026'!$A$3:$Q$102,MATCH(1,($A12='Thang 05-2026'!$A$3:$A$102)*($G12='Thang 05-2026'!$C$3:$C$102),0),15)=0),1,0))</f>
        <v>0</v>
      </c>
      <c r="F12" s="14">
        <f t="shared" si="0"/>
        <v>0</v>
      </c>
      <c r="G12" s="14">
        <f>INDEX('Thang 05-2026'!$A$3:$C$102,MATCH(A12,'Thang 05-2026'!$A$3:$A$102,0),3)</f>
        <v>25</v>
      </c>
      <c r="H12" t="str">
        <f t="array" ref="H12">INDEX('TONG HOP DIA DIEM'!$A$2:$K$181,MATCH(1,($A12='TONG HOP DIA DIEM'!$A$2:$A$181)*($B12='TONG HOP DIA DIEM'!$B$2:$B$181),0),6)</f>
        <v>Bình Lợi - HCM_NM_BL - Triều Xuống</v>
      </c>
      <c r="I12" t="str">
        <f t="array" ref="I12">INDEX('TONG HOP DIA DIEM'!$A$2:$K$181,MATCH(1,($A12='TONG HOP DIA DIEM'!$A$2:$A$181)*($B12='TONG HOP DIA DIEM'!$B$2:$B$181),0),7)</f>
        <v>Bình Lợi - Triều Xuống</v>
      </c>
      <c r="J12">
        <f t="shared" si="2"/>
        <v>1</v>
      </c>
      <c r="K12">
        <f t="shared" si="3"/>
        <v>0</v>
      </c>
      <c r="L12">
        <f t="shared" si="4"/>
        <v>0</v>
      </c>
      <c r="M12">
        <f t="shared" si="5"/>
        <v>0</v>
      </c>
      <c r="N12">
        <f t="shared" si="6"/>
        <v>25</v>
      </c>
      <c r="O12" t="str">
        <f t="shared" si="7"/>
        <v/>
      </c>
      <c r="P12" t="str">
        <f t="shared" si="8"/>
        <v/>
      </c>
      <c r="Q12" t="str">
        <f t="shared" si="9"/>
        <v/>
      </c>
    </row>
    <row r="13" spans="1:17" x14ac:dyDescent="0.2">
      <c r="A13" s="14" t="s">
        <v>95</v>
      </c>
      <c r="B13" s="14" t="s">
        <v>121</v>
      </c>
      <c r="C13" s="14">
        <v>1</v>
      </c>
      <c r="D13" s="14">
        <f t="array" ref="D13">IF(AND(INDEX('Thang 05-2026'!$A$3:$Q$102,MATCH(1,($A13='Thang 05-2026'!$A$3:$A$102)*($G13='Thang 05-2026'!$C$3:$C$102),0),11)=1,$B13="Triều Xuống"),1,IF(AND(INDEX('Thang 05-2026'!$A$3:$Q$102,MATCH(1,($A13='Thang 05-2026'!$A$3:$A$102)*($G13='Thang 05-2026'!$C$3:$C$102),0),10)=1,$B13="Triều Lên",INDEX('Thang 05-2026'!$A$3:$Q$102,MATCH(1,($A13='Thang 05-2026'!$A$3:$A$102)*($G13='Thang 05-2026'!$C$3:$C$102),0),11)=0),1,0))</f>
        <v>0</v>
      </c>
      <c r="E13" s="14">
        <f t="array" ref="E13">IF(AND(INDEX('Thang 05-2026'!$A$3:$Q$102,MATCH(1,($A13='Thang 05-2026'!$A$3:$A$102)*($G13='Thang 05-2026'!$C$3:$C$102),0),15)=1,$B13="Triều Xuống"),1,IF(AND(INDEX('Thang 05-2026'!$A$3:$Q$102,MATCH(1,($A13='Thang 05-2026'!$A$3:$A$102)*($G13='Thang 05-2026'!$C$3:$C$102),0),14)=1,$B13="Triều Lên",INDEX('Thang 05-2026'!$A$3:$Q$102,MATCH(1,($A13='Thang 05-2026'!$A$3:$A$102)*($G13='Thang 05-2026'!$C$3:$C$102),0),15)=0),1,0))</f>
        <v>1</v>
      </c>
      <c r="F13" s="14">
        <f t="shared" si="0"/>
        <v>2</v>
      </c>
      <c r="G13" s="14">
        <f>INDEX('Thang 05-2026'!$A$3:$C$102,MATCH(A13,'Thang 05-2026'!$A$3:$A$102,0),3)</f>
        <v>25</v>
      </c>
      <c r="H13" t="str">
        <f t="array" ref="H13">INDEX('TONG HOP DIA DIEM'!$A$2:$K$181,MATCH(1,($A13='TONG HOP DIA DIEM'!$A$2:$A$181)*($B13='TONG HOP DIA DIEM'!$B$2:$B$181),0),6)</f>
        <v>Sài Gòn - HCM_NM_SG - Triều Xuống</v>
      </c>
      <c r="I13" t="str">
        <f t="array" ref="I13">INDEX('TONG HOP DIA DIEM'!$A$2:$K$181,MATCH(1,($A13='TONG HOP DIA DIEM'!$A$2:$A$181)*($B13='TONG HOP DIA DIEM'!$B$2:$B$181),0),7)</f>
        <v>Sài Gòn - Triều Xuống</v>
      </c>
      <c r="J13">
        <f t="shared" si="2"/>
        <v>1</v>
      </c>
      <c r="K13">
        <f t="shared" si="3"/>
        <v>0</v>
      </c>
      <c r="L13">
        <f t="shared" si="4"/>
        <v>1</v>
      </c>
      <c r="M13">
        <f t="shared" si="5"/>
        <v>2</v>
      </c>
      <c r="N13">
        <f t="shared" si="6"/>
        <v>25</v>
      </c>
      <c r="O13" t="str">
        <f t="shared" si="7"/>
        <v/>
      </c>
      <c r="P13" t="str">
        <f t="shared" si="8"/>
        <v>Sài Gòn - Triều Xuống (QC - Mẫu trắng)</v>
      </c>
      <c r="Q13" t="str">
        <f t="shared" si="9"/>
        <v>Sài Gòn - Triều Xuống (QC - Mẫu lặp)</v>
      </c>
    </row>
    <row r="14" spans="1:17" x14ac:dyDescent="0.2">
      <c r="A14" s="14" t="s">
        <v>96</v>
      </c>
      <c r="B14" s="14" t="s">
        <v>118</v>
      </c>
      <c r="C14" s="14">
        <v>1</v>
      </c>
      <c r="D14" s="14">
        <f t="array" ref="D14">IF(AND(INDEX('Thang 05-2026'!$A$3:$Q$102,MATCH(1,($A14='Thang 05-2026'!$A$3:$A$102)*($G14='Thang 05-2026'!$C$3:$C$102),0),11)=1,$B14="Triều Xuống"),1,IF(AND(INDEX('Thang 05-2026'!$A$3:$Q$102,MATCH(1,($A14='Thang 05-2026'!$A$3:$A$102)*($G14='Thang 05-2026'!$C$3:$C$102),0),10)=1,$B14="Triều Lên",INDEX('Thang 05-2026'!$A$3:$Q$102,MATCH(1,($A14='Thang 05-2026'!$A$3:$A$102)*($G14='Thang 05-2026'!$C$3:$C$102),0),11)=0),1,0))</f>
        <v>0</v>
      </c>
      <c r="E14" s="14">
        <f t="array" ref="E14">IF(AND(INDEX('Thang 05-2026'!$A$3:$Q$102,MATCH(1,($A14='Thang 05-2026'!$A$3:$A$102)*($G14='Thang 05-2026'!$C$3:$C$102),0),15)=1,$B14="Triều Xuống"),1,IF(AND(INDEX('Thang 05-2026'!$A$3:$Q$102,MATCH(1,($A14='Thang 05-2026'!$A$3:$A$102)*($G14='Thang 05-2026'!$C$3:$C$102),0),14)=1,$B14="Triều Lên",INDEX('Thang 05-2026'!$A$3:$Q$102,MATCH(1,($A14='Thang 05-2026'!$A$3:$A$102)*($G14='Thang 05-2026'!$C$3:$C$102),0),15)=0),1,0))</f>
        <v>0</v>
      </c>
      <c r="F14" s="14">
        <f t="shared" si="0"/>
        <v>0</v>
      </c>
      <c r="G14" s="14">
        <f>INDEX('Thang 05-2026'!$A$3:$C$102,MATCH(A14,'Thang 05-2026'!$A$3:$A$102,0),3)</f>
        <v>26</v>
      </c>
      <c r="H14" t="str">
        <f t="array" ref="H14">INDEX('TONG HOP DIA DIEM'!$A$2:$K$181,MATCH(1,($A14='TONG HOP DIA DIEM'!$A$2:$A$181)*($B14='TONG HOP DIA DIEM'!$B$2:$B$181),0),6)</f>
        <v>Ngã Bảy - HCM_NM_N7 - Triều Lên</v>
      </c>
      <c r="I14" t="str">
        <f t="array" ref="I14">INDEX('TONG HOP DIA DIEM'!$A$2:$K$181,MATCH(1,($A14='TONG HOP DIA DIEM'!$A$2:$A$181)*($B14='TONG HOP DIA DIEM'!$B$2:$B$181),0),7)</f>
        <v>Ngã Bảy - Triều Lên</v>
      </c>
      <c r="J14">
        <f t="shared" si="2"/>
        <v>1</v>
      </c>
      <c r="K14">
        <f t="shared" si="3"/>
        <v>0</v>
      </c>
      <c r="L14">
        <f t="shared" si="4"/>
        <v>0</v>
      </c>
      <c r="M14">
        <f t="shared" si="5"/>
        <v>0</v>
      </c>
      <c r="N14">
        <f t="shared" si="6"/>
        <v>26</v>
      </c>
      <c r="O14" t="str">
        <f t="shared" si="7"/>
        <v/>
      </c>
      <c r="P14" t="str">
        <f t="shared" si="8"/>
        <v/>
      </c>
      <c r="Q14" t="str">
        <f t="shared" si="9"/>
        <v/>
      </c>
    </row>
    <row r="15" spans="1:17" x14ac:dyDescent="0.2">
      <c r="A15" s="14" t="s">
        <v>98</v>
      </c>
      <c r="B15" s="14" t="s">
        <v>118</v>
      </c>
      <c r="C15" s="14">
        <v>1</v>
      </c>
      <c r="D15" s="14">
        <f t="array" ref="D15">IF(AND(INDEX('Thang 05-2026'!$A$3:$Q$102,MATCH(1,($A15='Thang 05-2026'!$A$3:$A$102)*($G15='Thang 05-2026'!$C$3:$C$102),0),11)=1,$B15="Triều Xuống"),1,IF(AND(INDEX('Thang 05-2026'!$A$3:$Q$102,MATCH(1,($A15='Thang 05-2026'!$A$3:$A$102)*($G15='Thang 05-2026'!$C$3:$C$102),0),10)=1,$B15="Triều Lên",INDEX('Thang 05-2026'!$A$3:$Q$102,MATCH(1,($A15='Thang 05-2026'!$A$3:$A$102)*($G15='Thang 05-2026'!$C$3:$C$102),0),11)=0),1,0))</f>
        <v>0</v>
      </c>
      <c r="E15" s="14">
        <f t="array" ref="E15">IF(AND(INDEX('Thang 05-2026'!$A$3:$Q$102,MATCH(1,($A15='Thang 05-2026'!$A$3:$A$102)*($G15='Thang 05-2026'!$C$3:$C$102),0),15)=1,$B15="Triều Xuống"),1,IF(AND(INDEX('Thang 05-2026'!$A$3:$Q$102,MATCH(1,($A15='Thang 05-2026'!$A$3:$A$102)*($G15='Thang 05-2026'!$C$3:$C$102),0),14)=1,$B15="Triều Lên",INDEX('Thang 05-2026'!$A$3:$Q$102,MATCH(1,($A15='Thang 05-2026'!$A$3:$A$102)*($G15='Thang 05-2026'!$C$3:$C$102),0),15)=0),1,0))</f>
        <v>0</v>
      </c>
      <c r="F15" s="14">
        <f t="shared" si="0"/>
        <v>0</v>
      </c>
      <c r="G15" s="14">
        <f>INDEX('Thang 05-2026'!$A$3:$C$102,MATCH(A15,'Thang 05-2026'!$A$3:$A$102,0),3)</f>
        <v>26</v>
      </c>
      <c r="H15" t="str">
        <f t="array" ref="H15">INDEX('TONG HOP DIA DIEM'!$A$2:$K$181,MATCH(1,($A15='TONG HOP DIA DIEM'!$A$2:$A$181)*($B15='TONG HOP DIA DIEM'!$B$2:$B$181),0),6)</f>
        <v>Vàm Sát - HCM_NM_VS - Triều Lên</v>
      </c>
      <c r="I15" t="str">
        <f t="array" ref="I15">INDEX('TONG HOP DIA DIEM'!$A$2:$K$181,MATCH(1,($A15='TONG HOP DIA DIEM'!$A$2:$A$181)*($B15='TONG HOP DIA DIEM'!$B$2:$B$181),0),7)</f>
        <v>Vàm Sát - Triều Lên</v>
      </c>
      <c r="J15">
        <f t="shared" si="2"/>
        <v>1</v>
      </c>
      <c r="K15">
        <f t="shared" si="3"/>
        <v>0</v>
      </c>
      <c r="L15">
        <f t="shared" si="4"/>
        <v>0</v>
      </c>
      <c r="M15">
        <f t="shared" si="5"/>
        <v>0</v>
      </c>
      <c r="N15">
        <f t="shared" si="6"/>
        <v>26</v>
      </c>
      <c r="O15" t="str">
        <f t="shared" si="7"/>
        <v/>
      </c>
      <c r="P15" t="str">
        <f t="shared" si="8"/>
        <v/>
      </c>
      <c r="Q15" t="str">
        <f t="shared" si="9"/>
        <v/>
      </c>
    </row>
    <row r="16" spans="1:17" x14ac:dyDescent="0.2">
      <c r="A16" s="14" t="s">
        <v>99</v>
      </c>
      <c r="B16" s="14" t="s">
        <v>118</v>
      </c>
      <c r="C16" s="14">
        <v>1</v>
      </c>
      <c r="D16" s="14">
        <f t="array" ref="D16">IF(AND(INDEX('Thang 05-2026'!$A$3:$Q$102,MATCH(1,($A16='Thang 05-2026'!$A$3:$A$102)*($G16='Thang 05-2026'!$C$3:$C$102),0),11)=1,$B16="Triều Xuống"),1,IF(AND(INDEX('Thang 05-2026'!$A$3:$Q$102,MATCH(1,($A16='Thang 05-2026'!$A$3:$A$102)*($G16='Thang 05-2026'!$C$3:$C$102),0),10)=1,$B16="Triều Lên",INDEX('Thang 05-2026'!$A$3:$Q$102,MATCH(1,($A16='Thang 05-2026'!$A$3:$A$102)*($G16='Thang 05-2026'!$C$3:$C$102),0),11)=0),1,0))</f>
        <v>0</v>
      </c>
      <c r="E16" s="14">
        <f t="array" ref="E16">IF(AND(INDEX('Thang 05-2026'!$A$3:$Q$102,MATCH(1,($A16='Thang 05-2026'!$A$3:$A$102)*($G16='Thang 05-2026'!$C$3:$C$102),0),15)=1,$B16="Triều Xuống"),1,IF(AND(INDEX('Thang 05-2026'!$A$3:$Q$102,MATCH(1,($A16='Thang 05-2026'!$A$3:$A$102)*($G16='Thang 05-2026'!$C$3:$C$102),0),14)=1,$B16="Triều Lên",INDEX('Thang 05-2026'!$A$3:$Q$102,MATCH(1,($A16='Thang 05-2026'!$A$3:$A$102)*($G16='Thang 05-2026'!$C$3:$C$102),0),15)=0),1,0))</f>
        <v>0</v>
      </c>
      <c r="F16" s="14">
        <f t="shared" si="0"/>
        <v>0</v>
      </c>
      <c r="G16" s="14">
        <f>INDEX('Thang 05-2026'!$A$3:$C$102,MATCH(A16,'Thang 05-2026'!$A$3:$A$102,0),3)</f>
        <v>26</v>
      </c>
      <c r="H16" t="str">
        <f t="array" ref="H16">INDEX('TONG HOP DIA DIEM'!$A$2:$K$181,MATCH(1,($A16='TONG HOP DIA DIEM'!$A$2:$A$181)*($B16='TONG HOP DIA DIEM'!$B$2:$B$181),0),6)</f>
        <v>Đồng Tranh - HCM_NM_ĐT - Triều Lên</v>
      </c>
      <c r="I16" t="str">
        <f t="array" ref="I16">INDEX('TONG HOP DIA DIEM'!$A$2:$K$181,MATCH(1,($A16='TONG HOP DIA DIEM'!$A$2:$A$181)*($B16='TONG HOP DIA DIEM'!$B$2:$B$181),0),7)</f>
        <v>Đồng Tranh - Triều Lên</v>
      </c>
      <c r="J16">
        <f t="shared" si="2"/>
        <v>1</v>
      </c>
      <c r="K16">
        <f t="shared" si="3"/>
        <v>0</v>
      </c>
      <c r="L16">
        <f t="shared" si="4"/>
        <v>0</v>
      </c>
      <c r="M16">
        <f t="shared" si="5"/>
        <v>0</v>
      </c>
      <c r="N16">
        <f t="shared" si="6"/>
        <v>26</v>
      </c>
      <c r="O16" t="str">
        <f t="shared" si="7"/>
        <v/>
      </c>
      <c r="P16" t="str">
        <f t="shared" si="8"/>
        <v/>
      </c>
      <c r="Q16" t="str">
        <f t="shared" si="9"/>
        <v/>
      </c>
    </row>
    <row r="17" spans="1:17" x14ac:dyDescent="0.2">
      <c r="A17" s="14" t="s">
        <v>96</v>
      </c>
      <c r="B17" s="14" t="s">
        <v>121</v>
      </c>
      <c r="C17" s="14">
        <v>1</v>
      </c>
      <c r="D17" s="14">
        <f t="array" ref="D17">IF(AND(INDEX('Thang 05-2026'!$A$3:$Q$102,MATCH(1,($A17='Thang 05-2026'!$A$3:$A$102)*($G17='Thang 05-2026'!$C$3:$C$102),0),11)=1,$B17="Triều Xuống"),1,IF(AND(INDEX('Thang 05-2026'!$A$3:$Q$102,MATCH(1,($A17='Thang 05-2026'!$A$3:$A$102)*($G17='Thang 05-2026'!$C$3:$C$102),0),10)=1,$B17="Triều Lên",INDEX('Thang 05-2026'!$A$3:$Q$102,MATCH(1,($A17='Thang 05-2026'!$A$3:$A$102)*($G17='Thang 05-2026'!$C$3:$C$102),0),11)=0),1,0))</f>
        <v>0</v>
      </c>
      <c r="E17" s="14">
        <f t="array" ref="E17">IF(AND(INDEX('Thang 05-2026'!$A$3:$Q$102,MATCH(1,($A17='Thang 05-2026'!$A$3:$A$102)*($G17='Thang 05-2026'!$C$3:$C$102),0),15)=1,$B17="Triều Xuống"),1,IF(AND(INDEX('Thang 05-2026'!$A$3:$Q$102,MATCH(1,($A17='Thang 05-2026'!$A$3:$A$102)*($G17='Thang 05-2026'!$C$3:$C$102),0),14)=1,$B17="Triều Lên",INDEX('Thang 05-2026'!$A$3:$Q$102,MATCH(1,($A17='Thang 05-2026'!$A$3:$A$102)*($G17='Thang 05-2026'!$C$3:$C$102),0),15)=0),1,0))</f>
        <v>0</v>
      </c>
      <c r="F17" s="14">
        <f t="shared" si="0"/>
        <v>0</v>
      </c>
      <c r="G17" s="14">
        <f>INDEX('Thang 05-2026'!$A$3:$C$102,MATCH(A17,'Thang 05-2026'!$A$3:$A$102,0),3)</f>
        <v>26</v>
      </c>
      <c r="H17" t="str">
        <f t="array" ref="H17">INDEX('TONG HOP DIA DIEM'!$A$2:$K$181,MATCH(1,($A17='TONG HOP DIA DIEM'!$A$2:$A$181)*($B17='TONG HOP DIA DIEM'!$B$2:$B$181),0),6)</f>
        <v>Ngã Bảy - HCM_NM_N7 - Triều Xuống</v>
      </c>
      <c r="I17" t="str">
        <f t="array" ref="I17">INDEX('TONG HOP DIA DIEM'!$A$2:$K$181,MATCH(1,($A17='TONG HOP DIA DIEM'!$A$2:$A$181)*($B17='TONG HOP DIA DIEM'!$B$2:$B$181),0),7)</f>
        <v>Ngã Bảy - Triều Xuống</v>
      </c>
      <c r="J17">
        <f t="shared" si="2"/>
        <v>1</v>
      </c>
      <c r="K17">
        <f t="shared" si="3"/>
        <v>0</v>
      </c>
      <c r="L17">
        <f t="shared" si="4"/>
        <v>0</v>
      </c>
      <c r="M17">
        <f t="shared" si="5"/>
        <v>0</v>
      </c>
      <c r="N17">
        <f t="shared" si="6"/>
        <v>26</v>
      </c>
      <c r="O17" t="str">
        <f t="shared" si="7"/>
        <v/>
      </c>
      <c r="P17" t="str">
        <f t="shared" si="8"/>
        <v/>
      </c>
      <c r="Q17" t="str">
        <f t="shared" si="9"/>
        <v/>
      </c>
    </row>
    <row r="18" spans="1:17" x14ac:dyDescent="0.2">
      <c r="A18" s="14" t="s">
        <v>98</v>
      </c>
      <c r="B18" s="14" t="s">
        <v>121</v>
      </c>
      <c r="C18" s="14">
        <v>1</v>
      </c>
      <c r="D18" s="14">
        <f t="array" ref="D18">IF(AND(INDEX('Thang 05-2026'!$A$3:$Q$102,MATCH(1,($A18='Thang 05-2026'!$A$3:$A$102)*($G18='Thang 05-2026'!$C$3:$C$102),0),11)=1,$B18="Triều Xuống"),1,IF(AND(INDEX('Thang 05-2026'!$A$3:$Q$102,MATCH(1,($A18='Thang 05-2026'!$A$3:$A$102)*($G18='Thang 05-2026'!$C$3:$C$102),0),10)=1,$B18="Triều Lên",INDEX('Thang 05-2026'!$A$3:$Q$102,MATCH(1,($A18='Thang 05-2026'!$A$3:$A$102)*($G18='Thang 05-2026'!$C$3:$C$102),0),11)=0),1,0))</f>
        <v>0</v>
      </c>
      <c r="E18" s="14">
        <f t="array" ref="E18">IF(AND(INDEX('Thang 05-2026'!$A$3:$Q$102,MATCH(1,($A18='Thang 05-2026'!$A$3:$A$102)*($G18='Thang 05-2026'!$C$3:$C$102),0),15)=1,$B18="Triều Xuống"),1,IF(AND(INDEX('Thang 05-2026'!$A$3:$Q$102,MATCH(1,($A18='Thang 05-2026'!$A$3:$A$102)*($G18='Thang 05-2026'!$C$3:$C$102),0),14)=1,$B18="Triều Lên",INDEX('Thang 05-2026'!$A$3:$Q$102,MATCH(1,($A18='Thang 05-2026'!$A$3:$A$102)*($G18='Thang 05-2026'!$C$3:$C$102),0),15)=0),1,0))</f>
        <v>0</v>
      </c>
      <c r="F18" s="14">
        <f t="shared" si="0"/>
        <v>0</v>
      </c>
      <c r="G18" s="14">
        <f>INDEX('Thang 05-2026'!$A$3:$C$102,MATCH(A18,'Thang 05-2026'!$A$3:$A$102,0),3)</f>
        <v>26</v>
      </c>
      <c r="H18" t="str">
        <f t="array" ref="H18">INDEX('TONG HOP DIA DIEM'!$A$2:$K$181,MATCH(1,($A18='TONG HOP DIA DIEM'!$A$2:$A$181)*($B18='TONG HOP DIA DIEM'!$B$2:$B$181),0),6)</f>
        <v>Vàm Sát - HCM_NM_VS - Triều Xuống</v>
      </c>
      <c r="I18" t="str">
        <f t="array" ref="I18">INDEX('TONG HOP DIA DIEM'!$A$2:$K$181,MATCH(1,($A18='TONG HOP DIA DIEM'!$A$2:$A$181)*($B18='TONG HOP DIA DIEM'!$B$2:$B$181),0),7)</f>
        <v>Vàm Sát - Triều Xuống</v>
      </c>
      <c r="J18">
        <f t="shared" si="2"/>
        <v>1</v>
      </c>
      <c r="K18">
        <f t="shared" si="3"/>
        <v>0</v>
      </c>
      <c r="L18">
        <f t="shared" si="4"/>
        <v>0</v>
      </c>
      <c r="M18">
        <f t="shared" si="5"/>
        <v>0</v>
      </c>
      <c r="N18">
        <f t="shared" si="6"/>
        <v>26</v>
      </c>
      <c r="O18" t="str">
        <f t="shared" si="7"/>
        <v/>
      </c>
      <c r="P18" t="str">
        <f t="shared" si="8"/>
        <v/>
      </c>
      <c r="Q18" t="str">
        <f t="shared" si="9"/>
        <v/>
      </c>
    </row>
    <row r="19" spans="1:17" x14ac:dyDescent="0.2">
      <c r="A19" s="14" t="s">
        <v>99</v>
      </c>
      <c r="B19" s="14" t="s">
        <v>121</v>
      </c>
      <c r="C19" s="14">
        <v>1</v>
      </c>
      <c r="D19" s="14">
        <f t="array" ref="D19">IF(AND(INDEX('Thang 05-2026'!$A$3:$Q$102,MATCH(1,($A19='Thang 05-2026'!$A$3:$A$102)*($G19='Thang 05-2026'!$C$3:$C$102),0),11)=1,$B19="Triều Xuống"),1,IF(AND(INDEX('Thang 05-2026'!$A$3:$Q$102,MATCH(1,($A19='Thang 05-2026'!$A$3:$A$102)*($G19='Thang 05-2026'!$C$3:$C$102),0),10)=1,$B19="Triều Lên",INDEX('Thang 05-2026'!$A$3:$Q$102,MATCH(1,($A19='Thang 05-2026'!$A$3:$A$102)*($G19='Thang 05-2026'!$C$3:$C$102),0),11)=0),1,0))</f>
        <v>0</v>
      </c>
      <c r="E19" s="14">
        <f t="array" ref="E19">IF(AND(INDEX('Thang 05-2026'!$A$3:$Q$102,MATCH(1,($A19='Thang 05-2026'!$A$3:$A$102)*($G19='Thang 05-2026'!$C$3:$C$102),0),15)=1,$B19="Triều Xuống"),1,IF(AND(INDEX('Thang 05-2026'!$A$3:$Q$102,MATCH(1,($A19='Thang 05-2026'!$A$3:$A$102)*($G19='Thang 05-2026'!$C$3:$C$102),0),14)=1,$B19="Triều Lên",INDEX('Thang 05-2026'!$A$3:$Q$102,MATCH(1,($A19='Thang 05-2026'!$A$3:$A$102)*($G19='Thang 05-2026'!$C$3:$C$102),0),15)=0),1,0))</f>
        <v>0</v>
      </c>
      <c r="F19" s="14">
        <f t="shared" si="0"/>
        <v>0</v>
      </c>
      <c r="G19" s="14">
        <f>INDEX('Thang 05-2026'!$A$3:$C$102,MATCH(A19,'Thang 05-2026'!$A$3:$A$102,0),3)</f>
        <v>26</v>
      </c>
      <c r="H19" t="str">
        <f t="array" ref="H19">INDEX('TONG HOP DIA DIEM'!$A$2:$K$181,MATCH(1,($A19='TONG HOP DIA DIEM'!$A$2:$A$181)*($B19='TONG HOP DIA DIEM'!$B$2:$B$181),0),6)</f>
        <v>Đồng Tranh - HCM_NM_ĐT - Triều Xuống</v>
      </c>
      <c r="I19" t="str">
        <f t="array" ref="I19">INDEX('TONG HOP DIA DIEM'!$A$2:$K$181,MATCH(1,($A19='TONG HOP DIA DIEM'!$A$2:$A$181)*($B19='TONG HOP DIA DIEM'!$B$2:$B$181),0),7)</f>
        <v>Đồng Tranh - Triều Xuống</v>
      </c>
      <c r="J19">
        <f t="shared" si="2"/>
        <v>1</v>
      </c>
      <c r="K19">
        <f t="shared" si="3"/>
        <v>0</v>
      </c>
      <c r="L19">
        <f t="shared" si="4"/>
        <v>0</v>
      </c>
      <c r="M19">
        <f t="shared" si="5"/>
        <v>0</v>
      </c>
      <c r="N19">
        <f t="shared" si="6"/>
        <v>26</v>
      </c>
      <c r="O19" t="str">
        <f t="shared" si="7"/>
        <v/>
      </c>
      <c r="P19" t="str">
        <f t="shared" si="8"/>
        <v/>
      </c>
      <c r="Q19" t="str">
        <f t="shared" si="9"/>
        <v/>
      </c>
    </row>
    <row r="20" spans="1:17" x14ac:dyDescent="0.2">
      <c r="A20" s="14" t="s">
        <v>100</v>
      </c>
      <c r="B20" s="14" t="s">
        <v>118</v>
      </c>
      <c r="C20" s="14">
        <v>1</v>
      </c>
      <c r="D20" s="14">
        <f t="array" ref="D20">IF(AND(INDEX('Thang 05-2026'!$A$3:$Q$102,MATCH(1,($A20='Thang 05-2026'!$A$3:$A$102)*($G20='Thang 05-2026'!$C$3:$C$102),0),11)=1,$B20="Triều Xuống"),1,IF(AND(INDEX('Thang 05-2026'!$A$3:$Q$102,MATCH(1,($A20='Thang 05-2026'!$A$3:$A$102)*($G20='Thang 05-2026'!$C$3:$C$102),0),10)=1,$B20="Triều Lên",INDEX('Thang 05-2026'!$A$3:$Q$102,MATCH(1,($A20='Thang 05-2026'!$A$3:$A$102)*($G20='Thang 05-2026'!$C$3:$C$102),0),11)=0),1,0))</f>
        <v>0</v>
      </c>
      <c r="E20" s="14">
        <f t="array" ref="E20">IF(AND(INDEX('Thang 05-2026'!$A$3:$Q$102,MATCH(1,($A20='Thang 05-2026'!$A$3:$A$102)*($G20='Thang 05-2026'!$C$3:$C$102),0),15)=1,$B20="Triều Xuống"),1,IF(AND(INDEX('Thang 05-2026'!$A$3:$Q$102,MATCH(1,($A20='Thang 05-2026'!$A$3:$A$102)*($G20='Thang 05-2026'!$C$3:$C$102),0),14)=1,$B20="Triều Lên",INDEX('Thang 05-2026'!$A$3:$Q$102,MATCH(1,($A20='Thang 05-2026'!$A$3:$A$102)*($G20='Thang 05-2026'!$C$3:$C$102),0),15)=0),1,0))</f>
        <v>0</v>
      </c>
      <c r="F20" s="14">
        <f t="shared" si="0"/>
        <v>0</v>
      </c>
      <c r="G20" s="14">
        <f>INDEX('Thang 05-2026'!$A$3:$C$102,MATCH(A20,'Thang 05-2026'!$A$3:$A$102,0),3)</f>
        <v>26</v>
      </c>
      <c r="H20" t="str">
        <f t="array" ref="H20">INDEX('TONG HOP DIA DIEM'!$A$2:$K$181,MATCH(1,($A20='TONG HOP DIA DIEM'!$A$2:$A$181)*($B20='TONG HOP DIA DIEM'!$B$2:$B$181),0),6)</f>
        <v>Long Phước - HCM_NM_LP - Triều Lên</v>
      </c>
      <c r="I20" t="str">
        <f t="array" ref="I20">INDEX('TONG HOP DIA DIEM'!$A$2:$K$181,MATCH(1,($A20='TONG HOP DIA DIEM'!$A$2:$A$181)*($B20='TONG HOP DIA DIEM'!$B$2:$B$181),0),7)</f>
        <v>Long Phước - Triều Lên</v>
      </c>
      <c r="J20">
        <f t="shared" si="2"/>
        <v>1</v>
      </c>
      <c r="K20">
        <f t="shared" si="3"/>
        <v>0</v>
      </c>
      <c r="L20">
        <f t="shared" si="4"/>
        <v>0</v>
      </c>
      <c r="M20">
        <f t="shared" si="5"/>
        <v>0</v>
      </c>
      <c r="N20">
        <f t="shared" si="6"/>
        <v>26</v>
      </c>
      <c r="O20" t="str">
        <f t="shared" si="7"/>
        <v/>
      </c>
      <c r="P20" t="str">
        <f t="shared" si="8"/>
        <v/>
      </c>
      <c r="Q20" t="str">
        <f t="shared" si="9"/>
        <v/>
      </c>
    </row>
    <row r="21" spans="1:17" x14ac:dyDescent="0.2">
      <c r="A21" s="14" t="s">
        <v>101</v>
      </c>
      <c r="B21" s="14" t="s">
        <v>118</v>
      </c>
      <c r="C21" s="14">
        <v>1</v>
      </c>
      <c r="D21" s="14">
        <f t="array" ref="D21">IF(AND(INDEX('Thang 05-2026'!$A$3:$Q$102,MATCH(1,($A21='Thang 05-2026'!$A$3:$A$102)*($G21='Thang 05-2026'!$C$3:$C$102),0),11)=1,$B21="Triều Xuống"),1,IF(AND(INDEX('Thang 05-2026'!$A$3:$Q$102,MATCH(1,($A21='Thang 05-2026'!$A$3:$A$102)*($G21='Thang 05-2026'!$C$3:$C$102),0),10)=1,$B21="Triều Lên",INDEX('Thang 05-2026'!$A$3:$Q$102,MATCH(1,($A21='Thang 05-2026'!$A$3:$A$102)*($G21='Thang 05-2026'!$C$3:$C$102),0),11)=0),1,0))</f>
        <v>0</v>
      </c>
      <c r="E21" s="14">
        <f t="array" ref="E21">IF(AND(INDEX('Thang 05-2026'!$A$3:$Q$102,MATCH(1,($A21='Thang 05-2026'!$A$3:$A$102)*($G21='Thang 05-2026'!$C$3:$C$102),0),15)=1,$B21="Triều Xuống"),1,IF(AND(INDEX('Thang 05-2026'!$A$3:$Q$102,MATCH(1,($A21='Thang 05-2026'!$A$3:$A$102)*($G21='Thang 05-2026'!$C$3:$C$102),0),14)=1,$B21="Triều Lên",INDEX('Thang 05-2026'!$A$3:$Q$102,MATCH(1,($A21='Thang 05-2026'!$A$3:$A$102)*($G21='Thang 05-2026'!$C$3:$C$102),0),15)=0),1,0))</f>
        <v>0</v>
      </c>
      <c r="F21" s="14">
        <f t="shared" si="0"/>
        <v>0</v>
      </c>
      <c r="G21" s="14">
        <f>INDEX('Thang 05-2026'!$A$3:$C$102,MATCH(A21,'Thang 05-2026'!$A$3:$A$102,0),3)</f>
        <v>26</v>
      </c>
      <c r="H21" t="str">
        <f t="array" ref="H21">INDEX('TONG HOP DIA DIEM'!$A$2:$K$181,MATCH(1,($A21='TONG HOP DIA DIEM'!$A$2:$A$181)*($B21='TONG HOP DIA DIEM'!$B$2:$B$181),0),6)</f>
        <v>Cát Lái - HCM_NM_CL - Triều Lên</v>
      </c>
      <c r="I21" t="str">
        <f t="array" ref="I21">INDEX('TONG HOP DIA DIEM'!$A$2:$K$181,MATCH(1,($A21='TONG HOP DIA DIEM'!$A$2:$A$181)*($B21='TONG HOP DIA DIEM'!$B$2:$B$181),0),7)</f>
        <v>Cát Lái - Triều Lên</v>
      </c>
      <c r="J21">
        <f t="shared" si="2"/>
        <v>1</v>
      </c>
      <c r="K21">
        <f t="shared" si="3"/>
        <v>0</v>
      </c>
      <c r="L21">
        <f t="shared" si="4"/>
        <v>0</v>
      </c>
      <c r="M21">
        <f t="shared" si="5"/>
        <v>0</v>
      </c>
      <c r="N21">
        <f t="shared" si="6"/>
        <v>26</v>
      </c>
      <c r="O21" t="str">
        <f t="shared" si="7"/>
        <v/>
      </c>
      <c r="P21" t="str">
        <f t="shared" si="8"/>
        <v/>
      </c>
      <c r="Q21" t="str">
        <f t="shared" si="9"/>
        <v/>
      </c>
    </row>
    <row r="22" spans="1:17" x14ac:dyDescent="0.2">
      <c r="A22" s="14" t="s">
        <v>100</v>
      </c>
      <c r="B22" s="14" t="s">
        <v>121</v>
      </c>
      <c r="C22" s="14">
        <v>1</v>
      </c>
      <c r="D22" s="14">
        <f t="array" ref="D22">IF(AND(INDEX('Thang 05-2026'!$A$3:$Q$102,MATCH(1,($A22='Thang 05-2026'!$A$3:$A$102)*($G22='Thang 05-2026'!$C$3:$C$102),0),11)=1,$B22="Triều Xuống"),1,IF(AND(INDEX('Thang 05-2026'!$A$3:$Q$102,MATCH(1,($A22='Thang 05-2026'!$A$3:$A$102)*($G22='Thang 05-2026'!$C$3:$C$102),0),10)=1,$B22="Triều Lên",INDEX('Thang 05-2026'!$A$3:$Q$102,MATCH(1,($A22='Thang 05-2026'!$A$3:$A$102)*($G22='Thang 05-2026'!$C$3:$C$102),0),11)=0),1,0))</f>
        <v>0</v>
      </c>
      <c r="E22" s="14">
        <f t="array" ref="E22">IF(AND(INDEX('Thang 05-2026'!$A$3:$Q$102,MATCH(1,($A22='Thang 05-2026'!$A$3:$A$102)*($G22='Thang 05-2026'!$C$3:$C$102),0),15)=1,$B22="Triều Xuống"),1,IF(AND(INDEX('Thang 05-2026'!$A$3:$Q$102,MATCH(1,($A22='Thang 05-2026'!$A$3:$A$102)*($G22='Thang 05-2026'!$C$3:$C$102),0),14)=1,$B22="Triều Lên",INDEX('Thang 05-2026'!$A$3:$Q$102,MATCH(1,($A22='Thang 05-2026'!$A$3:$A$102)*($G22='Thang 05-2026'!$C$3:$C$102),0),15)=0),1,0))</f>
        <v>0</v>
      </c>
      <c r="F22" s="14">
        <f t="shared" si="0"/>
        <v>0</v>
      </c>
      <c r="G22" s="14">
        <f>INDEX('Thang 05-2026'!$A$3:$C$102,MATCH(A22,'Thang 05-2026'!$A$3:$A$102,0),3)</f>
        <v>26</v>
      </c>
      <c r="H22" t="str">
        <f t="array" ref="H22">INDEX('TONG HOP DIA DIEM'!$A$2:$K$181,MATCH(1,($A22='TONG HOP DIA DIEM'!$A$2:$A$181)*($B22='TONG HOP DIA DIEM'!$B$2:$B$181),0),6)</f>
        <v>Long Phước - HCM_NM_LP - Triều Xuống</v>
      </c>
      <c r="I22" t="str">
        <f t="array" ref="I22">INDEX('TONG HOP DIA DIEM'!$A$2:$K$181,MATCH(1,($A22='TONG HOP DIA DIEM'!$A$2:$A$181)*($B22='TONG HOP DIA DIEM'!$B$2:$B$181),0),7)</f>
        <v>Long Phước - Triều Xuống</v>
      </c>
      <c r="J22">
        <f t="shared" si="2"/>
        <v>1</v>
      </c>
      <c r="K22">
        <f t="shared" si="3"/>
        <v>0</v>
      </c>
      <c r="L22">
        <f t="shared" si="4"/>
        <v>0</v>
      </c>
      <c r="M22">
        <f t="shared" si="5"/>
        <v>0</v>
      </c>
      <c r="N22">
        <f t="shared" si="6"/>
        <v>26</v>
      </c>
      <c r="O22" t="str">
        <f t="shared" si="7"/>
        <v/>
      </c>
      <c r="P22" t="str">
        <f t="shared" si="8"/>
        <v/>
      </c>
      <c r="Q22" t="str">
        <f t="shared" si="9"/>
        <v/>
      </c>
    </row>
    <row r="23" spans="1:17" x14ac:dyDescent="0.2">
      <c r="A23" s="14" t="s">
        <v>101</v>
      </c>
      <c r="B23" s="14" t="s">
        <v>121</v>
      </c>
      <c r="C23" s="14">
        <v>1</v>
      </c>
      <c r="D23" s="14">
        <f t="array" ref="D23">IF(AND(INDEX('Thang 05-2026'!$A$3:$Q$102,MATCH(1,($A23='Thang 05-2026'!$A$3:$A$102)*($G23='Thang 05-2026'!$C$3:$C$102),0),11)=1,$B23="Triều Xuống"),1,IF(AND(INDEX('Thang 05-2026'!$A$3:$Q$102,MATCH(1,($A23='Thang 05-2026'!$A$3:$A$102)*($G23='Thang 05-2026'!$C$3:$C$102),0),10)=1,$B23="Triều Lên",INDEX('Thang 05-2026'!$A$3:$Q$102,MATCH(1,($A23='Thang 05-2026'!$A$3:$A$102)*($G23='Thang 05-2026'!$C$3:$C$102),0),11)=0),1,0))</f>
        <v>0</v>
      </c>
      <c r="E23" s="14">
        <f t="array" ref="E23">IF(AND(INDEX('Thang 05-2026'!$A$3:$Q$102,MATCH(1,($A23='Thang 05-2026'!$A$3:$A$102)*($G23='Thang 05-2026'!$C$3:$C$102),0),15)=1,$B23="Triều Xuống"),1,IF(AND(INDEX('Thang 05-2026'!$A$3:$Q$102,MATCH(1,($A23='Thang 05-2026'!$A$3:$A$102)*($G23='Thang 05-2026'!$C$3:$C$102),0),14)=1,$B23="Triều Lên",INDEX('Thang 05-2026'!$A$3:$Q$102,MATCH(1,($A23='Thang 05-2026'!$A$3:$A$102)*($G23='Thang 05-2026'!$C$3:$C$102),0),15)=0),1,0))</f>
        <v>0</v>
      </c>
      <c r="F23" s="14">
        <f t="shared" si="0"/>
        <v>0</v>
      </c>
      <c r="G23" s="14">
        <f>INDEX('Thang 05-2026'!$A$3:$C$102,MATCH(A23,'Thang 05-2026'!$A$3:$A$102,0),3)</f>
        <v>26</v>
      </c>
      <c r="H23" t="str">
        <f t="array" ref="H23">INDEX('TONG HOP DIA DIEM'!$A$2:$K$181,MATCH(1,($A23='TONG HOP DIA DIEM'!$A$2:$A$181)*($B23='TONG HOP DIA DIEM'!$B$2:$B$181),0),6)</f>
        <v>Cát Lái - HCM_NM_CL - Triều Xuống</v>
      </c>
      <c r="I23" t="str">
        <f t="array" ref="I23">INDEX('TONG HOP DIA DIEM'!$A$2:$K$181,MATCH(1,($A23='TONG HOP DIA DIEM'!$A$2:$A$181)*($B23='TONG HOP DIA DIEM'!$B$2:$B$181),0),7)</f>
        <v>Cát Lái - Triều Xuống</v>
      </c>
      <c r="J23">
        <f t="shared" si="2"/>
        <v>1</v>
      </c>
      <c r="K23">
        <f t="shared" si="3"/>
        <v>0</v>
      </c>
      <c r="L23">
        <f t="shared" si="4"/>
        <v>0</v>
      </c>
      <c r="M23">
        <f t="shared" si="5"/>
        <v>0</v>
      </c>
      <c r="N23">
        <f t="shared" si="6"/>
        <v>26</v>
      </c>
      <c r="O23" s="47" t="str">
        <f t="shared" si="7"/>
        <v/>
      </c>
      <c r="P23" s="47" t="str">
        <f t="shared" si="8"/>
        <v/>
      </c>
      <c r="Q23" s="47" t="str">
        <f t="shared" si="9"/>
        <v/>
      </c>
    </row>
    <row r="24" spans="1:17" x14ac:dyDescent="0.2">
      <c r="A24" s="14" t="s">
        <v>107</v>
      </c>
      <c r="B24" s="14" t="s">
        <v>118</v>
      </c>
      <c r="C24" s="14">
        <v>1</v>
      </c>
      <c r="D24" s="14">
        <f t="array" ref="D24">IF(AND(INDEX('Thang 05-2026'!$A$3:$Q$102,MATCH(1,($A24='Thang 05-2026'!$A$3:$A$102)*($G24='Thang 05-2026'!$C$3:$C$102),0),11)=1,$B24="Triều Xuống"),1,IF(AND(INDEX('Thang 05-2026'!$A$3:$Q$102,MATCH(1,($A24='Thang 05-2026'!$A$3:$A$102)*($G24='Thang 05-2026'!$C$3:$C$102),0),10)=1,$B24="Triều Lên",INDEX('Thang 05-2026'!$A$3:$Q$102,MATCH(1,($A24='Thang 05-2026'!$A$3:$A$102)*($G24='Thang 05-2026'!$C$3:$C$102),0),11)=0),1,0))</f>
        <v>0</v>
      </c>
      <c r="E24" s="14">
        <f t="array" ref="E24">IF(AND(INDEX('Thang 05-2026'!$A$3:$Q$102,MATCH(1,($A24='Thang 05-2026'!$A$3:$A$102)*($G24='Thang 05-2026'!$C$3:$C$102),0),15)=1,$B24="Triều Xuống"),1,IF(AND(INDEX('Thang 05-2026'!$A$3:$Q$102,MATCH(1,($A24='Thang 05-2026'!$A$3:$A$102)*($G24='Thang 05-2026'!$C$3:$C$102),0),14)=1,$B24="Triều Lên",INDEX('Thang 05-2026'!$A$3:$Q$102,MATCH(1,($A24='Thang 05-2026'!$A$3:$A$102)*($G24='Thang 05-2026'!$C$3:$C$102),0),15)=0),1,0))</f>
        <v>0</v>
      </c>
      <c r="F24" s="14">
        <f t="shared" si="0"/>
        <v>0</v>
      </c>
      <c r="G24" s="14">
        <f>INDEX('Thang 05-2026'!$A$3:$C$102,MATCH(A24,'Thang 05-2026'!$A$3:$A$102,0),3)</f>
        <v>27</v>
      </c>
      <c r="H24" t="str">
        <f t="array" ref="H24">INDEX('TONG HOP DIA DIEM'!$A$2:$K$181,MATCH(1,($A24='TONG HOP DIA DIEM'!$A$2:$A$181)*($B24='TONG HOP DIA DIEM'!$B$2:$B$181),0),6)</f>
        <v>Mũi Đèn Đỏ - HCM_NM_MĐĐ - Triều Lên</v>
      </c>
      <c r="I24" t="str">
        <f t="array" ref="I24">INDEX('TONG HOP DIA DIEM'!$A$2:$K$181,MATCH(1,($A24='TONG HOP DIA DIEM'!$A$2:$A$181)*($B24='TONG HOP DIA DIEM'!$B$2:$B$181),0),7)</f>
        <v>Mũi Đèn Đỏ - Triều Lên</v>
      </c>
      <c r="J24">
        <f t="shared" si="2"/>
        <v>1</v>
      </c>
      <c r="K24">
        <f t="shared" si="3"/>
        <v>0</v>
      </c>
      <c r="L24">
        <f t="shared" si="4"/>
        <v>0</v>
      </c>
      <c r="M24">
        <f t="shared" si="5"/>
        <v>0</v>
      </c>
      <c r="N24">
        <f t="shared" si="6"/>
        <v>27</v>
      </c>
      <c r="O24" t="str">
        <f t="shared" si="7"/>
        <v/>
      </c>
      <c r="P24" t="str">
        <f t="shared" si="8"/>
        <v/>
      </c>
      <c r="Q24" t="str">
        <f t="shared" si="9"/>
        <v/>
      </c>
    </row>
    <row r="25" spans="1:17" x14ac:dyDescent="0.2">
      <c r="A25" s="14" t="s">
        <v>108</v>
      </c>
      <c r="B25" s="14" t="s">
        <v>118</v>
      </c>
      <c r="C25" s="14">
        <v>1</v>
      </c>
      <c r="D25" s="14">
        <f t="array" ref="D25">IF(AND(INDEX('Thang 05-2026'!$A$3:$Q$102,MATCH(1,($A25='Thang 05-2026'!$A$3:$A$102)*($G25='Thang 05-2026'!$C$3:$C$102),0),11)=1,$B25="Triều Xuống"),1,IF(AND(INDEX('Thang 05-2026'!$A$3:$Q$102,MATCH(1,($A25='Thang 05-2026'!$A$3:$A$102)*($G25='Thang 05-2026'!$C$3:$C$102),0),10)=1,$B25="Triều Lên",INDEX('Thang 05-2026'!$A$3:$Q$102,MATCH(1,($A25='Thang 05-2026'!$A$3:$A$102)*($G25='Thang 05-2026'!$C$3:$C$102),0),11)=0),1,0))</f>
        <v>0</v>
      </c>
      <c r="E25" s="14">
        <f t="array" ref="E25">IF(AND(INDEX('Thang 05-2026'!$A$3:$Q$102,MATCH(1,($A25='Thang 05-2026'!$A$3:$A$102)*($G25='Thang 05-2026'!$C$3:$C$102),0),15)=1,$B25="Triều Xuống"),1,IF(AND(INDEX('Thang 05-2026'!$A$3:$Q$102,MATCH(1,($A25='Thang 05-2026'!$A$3:$A$102)*($G25='Thang 05-2026'!$C$3:$C$102),0),14)=1,$B25="Triều Lên",INDEX('Thang 05-2026'!$A$3:$Q$102,MATCH(1,($A25='Thang 05-2026'!$A$3:$A$102)*($G25='Thang 05-2026'!$C$3:$C$102),0),15)=0),1,0))</f>
        <v>0</v>
      </c>
      <c r="F25" s="14">
        <f t="shared" si="0"/>
        <v>0</v>
      </c>
      <c r="G25" s="14">
        <f>INDEX('Thang 05-2026'!$A$3:$C$102,MATCH(A25,'Thang 05-2026'!$A$3:$A$102,0),3)</f>
        <v>27</v>
      </c>
      <c r="H25" t="str">
        <f t="array" ref="H25">INDEX('TONG HOP DIA DIEM'!$A$2:$K$181,MATCH(1,($A25='TONG HOP DIA DIEM'!$A$2:$A$181)*($B25='TONG HOP DIA DIEM'!$B$2:$B$181),0),6)</f>
        <v>Nhà Bè - HCM_NM_NB - Triều Lên</v>
      </c>
      <c r="I25" t="str">
        <f t="array" ref="I25">INDEX('TONG HOP DIA DIEM'!$A$2:$K$181,MATCH(1,($A25='TONG HOP DIA DIEM'!$A$2:$A$181)*($B25='TONG HOP DIA DIEM'!$B$2:$B$181),0),7)</f>
        <v>Nhà Bè - Triều Lên</v>
      </c>
      <c r="J25">
        <f t="shared" si="2"/>
        <v>1</v>
      </c>
      <c r="K25">
        <f t="shared" si="3"/>
        <v>0</v>
      </c>
      <c r="L25">
        <f t="shared" si="4"/>
        <v>0</v>
      </c>
      <c r="M25">
        <f t="shared" si="5"/>
        <v>0</v>
      </c>
      <c r="N25">
        <f t="shared" si="6"/>
        <v>27</v>
      </c>
      <c r="O25" t="str">
        <f t="shared" si="7"/>
        <v/>
      </c>
      <c r="P25" t="str">
        <f t="shared" si="8"/>
        <v/>
      </c>
      <c r="Q25" t="str">
        <f t="shared" si="9"/>
        <v/>
      </c>
    </row>
    <row r="26" spans="1:17" x14ac:dyDescent="0.2">
      <c r="A26" s="14" t="s">
        <v>109</v>
      </c>
      <c r="B26" s="14" t="s">
        <v>118</v>
      </c>
      <c r="C26" s="14">
        <v>1</v>
      </c>
      <c r="D26" s="14">
        <f t="array" ref="D26">IF(AND(INDEX('Thang 05-2026'!$A$3:$Q$102,MATCH(1,($A26='Thang 05-2026'!$A$3:$A$102)*($G26='Thang 05-2026'!$C$3:$C$102),0),11)=1,$B26="Triều Xuống"),1,IF(AND(INDEX('Thang 05-2026'!$A$3:$Q$102,MATCH(1,($A26='Thang 05-2026'!$A$3:$A$102)*($G26='Thang 05-2026'!$C$3:$C$102),0),10)=1,$B26="Triều Lên",INDEX('Thang 05-2026'!$A$3:$Q$102,MATCH(1,($A26='Thang 05-2026'!$A$3:$A$102)*($G26='Thang 05-2026'!$C$3:$C$102),0),11)=0),1,0))</f>
        <v>0</v>
      </c>
      <c r="E26" s="14">
        <f t="array" ref="E26">IF(AND(INDEX('Thang 05-2026'!$A$3:$Q$102,MATCH(1,($A26='Thang 05-2026'!$A$3:$A$102)*($G26='Thang 05-2026'!$C$3:$C$102),0),15)=1,$B26="Triều Xuống"),1,IF(AND(INDEX('Thang 05-2026'!$A$3:$Q$102,MATCH(1,($A26='Thang 05-2026'!$A$3:$A$102)*($G26='Thang 05-2026'!$C$3:$C$102),0),14)=1,$B26="Triều Lên",INDEX('Thang 05-2026'!$A$3:$Q$102,MATCH(1,($A26='Thang 05-2026'!$A$3:$A$102)*($G26='Thang 05-2026'!$C$3:$C$102),0),15)=0),1,0))</f>
        <v>0</v>
      </c>
      <c r="F26" s="14">
        <f t="shared" si="0"/>
        <v>0</v>
      </c>
      <c r="G26" s="14">
        <f>INDEX('Thang 05-2026'!$A$3:$C$102,MATCH(A26,'Thang 05-2026'!$A$3:$A$102,0),3)</f>
        <v>27</v>
      </c>
      <c r="H26" t="str">
        <f t="array" ref="H26">INDEX('TONG HOP DIA DIEM'!$A$2:$K$181,MATCH(1,($A26='TONG HOP DIA DIEM'!$A$2:$A$181)*($B26='TONG HOP DIA DIEM'!$B$2:$B$181),0),6)</f>
        <v>Phú Mỹ - HCM_NM_PM - Triều Lên</v>
      </c>
      <c r="I26" t="str">
        <f t="array" ref="I26">INDEX('TONG HOP DIA DIEM'!$A$2:$K$181,MATCH(1,($A26='TONG HOP DIA DIEM'!$A$2:$A$181)*($B26='TONG HOP DIA DIEM'!$B$2:$B$181),0),7)</f>
        <v>Phú Mỹ - Triều Lên</v>
      </c>
      <c r="J26">
        <f t="shared" si="2"/>
        <v>1</v>
      </c>
      <c r="K26">
        <f t="shared" si="3"/>
        <v>0</v>
      </c>
      <c r="L26">
        <f t="shared" si="4"/>
        <v>0</v>
      </c>
      <c r="M26">
        <f t="shared" si="5"/>
        <v>0</v>
      </c>
      <c r="N26">
        <f t="shared" si="6"/>
        <v>27</v>
      </c>
      <c r="O26" t="str">
        <f t="shared" si="7"/>
        <v/>
      </c>
      <c r="P26" t="str">
        <f t="shared" si="8"/>
        <v/>
      </c>
      <c r="Q26" t="str">
        <f t="shared" si="9"/>
        <v/>
      </c>
    </row>
    <row r="27" spans="1:17" x14ac:dyDescent="0.2">
      <c r="A27" s="14" t="s">
        <v>107</v>
      </c>
      <c r="B27" s="14" t="s">
        <v>121</v>
      </c>
      <c r="C27" s="14">
        <v>1</v>
      </c>
      <c r="D27" s="14">
        <f t="array" ref="D27">IF(AND(INDEX('Thang 05-2026'!$A$3:$Q$102,MATCH(1,($A27='Thang 05-2026'!$A$3:$A$102)*($G27='Thang 05-2026'!$C$3:$C$102),0),11)=1,$B27="Triều Xuống"),1,IF(AND(INDEX('Thang 05-2026'!$A$3:$Q$102,MATCH(1,($A27='Thang 05-2026'!$A$3:$A$102)*($G27='Thang 05-2026'!$C$3:$C$102),0),10)=1,$B27="Triều Lên",INDEX('Thang 05-2026'!$A$3:$Q$102,MATCH(1,($A27='Thang 05-2026'!$A$3:$A$102)*($G27='Thang 05-2026'!$C$3:$C$102),0),11)=0),1,0))</f>
        <v>0</v>
      </c>
      <c r="E27" s="14">
        <f t="array" ref="E27">IF(AND(INDEX('Thang 05-2026'!$A$3:$Q$102,MATCH(1,($A27='Thang 05-2026'!$A$3:$A$102)*($G27='Thang 05-2026'!$C$3:$C$102),0),15)=1,$B27="Triều Xuống"),1,IF(AND(INDEX('Thang 05-2026'!$A$3:$Q$102,MATCH(1,($A27='Thang 05-2026'!$A$3:$A$102)*($G27='Thang 05-2026'!$C$3:$C$102),0),14)=1,$B27="Triều Lên",INDEX('Thang 05-2026'!$A$3:$Q$102,MATCH(1,($A27='Thang 05-2026'!$A$3:$A$102)*($G27='Thang 05-2026'!$C$3:$C$102),0),15)=0),1,0))</f>
        <v>0</v>
      </c>
      <c r="F27" s="14">
        <f t="shared" si="0"/>
        <v>0</v>
      </c>
      <c r="G27" s="14">
        <f>INDEX('Thang 05-2026'!$A$3:$C$102,MATCH(A27,'Thang 05-2026'!$A$3:$A$102,0),3)</f>
        <v>27</v>
      </c>
      <c r="H27" t="str">
        <f t="array" ref="H27">INDEX('TONG HOP DIA DIEM'!$A$2:$K$181,MATCH(1,($A27='TONG HOP DIA DIEM'!$A$2:$A$181)*($B27='TONG HOP DIA DIEM'!$B$2:$B$181),0),6)</f>
        <v>Mũi Đèn Đỏ - HCM_NM_MĐĐ - Triều Xuống</v>
      </c>
      <c r="I27" t="str">
        <f t="array" ref="I27">INDEX('TONG HOP DIA DIEM'!$A$2:$K$181,MATCH(1,($A27='TONG HOP DIA DIEM'!$A$2:$A$181)*($B27='TONG HOP DIA DIEM'!$B$2:$B$181),0),7)</f>
        <v>Mũi Đèn Đỏ - Triều Xuống</v>
      </c>
      <c r="J27">
        <f t="shared" si="2"/>
        <v>1</v>
      </c>
      <c r="K27">
        <f t="shared" si="3"/>
        <v>0</v>
      </c>
      <c r="L27">
        <f t="shared" si="4"/>
        <v>0</v>
      </c>
      <c r="M27">
        <f t="shared" si="5"/>
        <v>0</v>
      </c>
      <c r="N27">
        <f t="shared" si="6"/>
        <v>27</v>
      </c>
      <c r="O27" t="str">
        <f t="shared" si="7"/>
        <v/>
      </c>
      <c r="P27" t="str">
        <f t="shared" si="8"/>
        <v/>
      </c>
      <c r="Q27" t="str">
        <f t="shared" si="9"/>
        <v/>
      </c>
    </row>
    <row r="28" spans="1:17" x14ac:dyDescent="0.2">
      <c r="A28" s="14" t="s">
        <v>108</v>
      </c>
      <c r="B28" s="14" t="s">
        <v>121</v>
      </c>
      <c r="C28" s="14">
        <v>1</v>
      </c>
      <c r="D28" s="14">
        <f t="array" ref="D28">IF(AND(INDEX('Thang 05-2026'!$A$3:$Q$102,MATCH(1,($A28='Thang 05-2026'!$A$3:$A$102)*($G28='Thang 05-2026'!$C$3:$C$102),0),11)=1,$B28="Triều Xuống"),1,IF(AND(INDEX('Thang 05-2026'!$A$3:$Q$102,MATCH(1,($A28='Thang 05-2026'!$A$3:$A$102)*($G28='Thang 05-2026'!$C$3:$C$102),0),10)=1,$B28="Triều Lên",INDEX('Thang 05-2026'!$A$3:$Q$102,MATCH(1,($A28='Thang 05-2026'!$A$3:$A$102)*($G28='Thang 05-2026'!$C$3:$C$102),0),11)=0),1,0))</f>
        <v>0</v>
      </c>
      <c r="E28" s="14">
        <f t="array" ref="E28">IF(AND(INDEX('Thang 05-2026'!$A$3:$Q$102,MATCH(1,($A28='Thang 05-2026'!$A$3:$A$102)*($G28='Thang 05-2026'!$C$3:$C$102),0),15)=1,$B28="Triều Xuống"),1,IF(AND(INDEX('Thang 05-2026'!$A$3:$Q$102,MATCH(1,($A28='Thang 05-2026'!$A$3:$A$102)*($G28='Thang 05-2026'!$C$3:$C$102),0),14)=1,$B28="Triều Lên",INDEX('Thang 05-2026'!$A$3:$Q$102,MATCH(1,($A28='Thang 05-2026'!$A$3:$A$102)*($G28='Thang 05-2026'!$C$3:$C$102),0),15)=0),1,0))</f>
        <v>0</v>
      </c>
      <c r="F28" s="14">
        <f t="shared" si="0"/>
        <v>0</v>
      </c>
      <c r="G28" s="14">
        <f>INDEX('Thang 05-2026'!$A$3:$C$102,MATCH(A28,'Thang 05-2026'!$A$3:$A$102,0),3)</f>
        <v>27</v>
      </c>
      <c r="H28" t="str">
        <f t="array" ref="H28">INDEX('TONG HOP DIA DIEM'!$A$2:$K$181,MATCH(1,($A28='TONG HOP DIA DIEM'!$A$2:$A$181)*($B28='TONG HOP DIA DIEM'!$B$2:$B$181),0),6)</f>
        <v>Nhà Bè - HCM_NM_NB - Triều Xuống</v>
      </c>
      <c r="I28" t="str">
        <f t="array" ref="I28">INDEX('TONG HOP DIA DIEM'!$A$2:$K$181,MATCH(1,($A28='TONG HOP DIA DIEM'!$A$2:$A$181)*($B28='TONG HOP DIA DIEM'!$B$2:$B$181),0),7)</f>
        <v>Nhà Bè - Triều Xuống</v>
      </c>
      <c r="J28">
        <f t="shared" si="2"/>
        <v>1</v>
      </c>
      <c r="K28">
        <f t="shared" si="3"/>
        <v>0</v>
      </c>
      <c r="L28">
        <f t="shared" si="4"/>
        <v>0</v>
      </c>
      <c r="M28">
        <f t="shared" si="5"/>
        <v>0</v>
      </c>
      <c r="N28">
        <f t="shared" si="6"/>
        <v>27</v>
      </c>
      <c r="O28" t="str">
        <f t="shared" si="7"/>
        <v/>
      </c>
      <c r="P28" t="str">
        <f t="shared" si="8"/>
        <v/>
      </c>
      <c r="Q28" t="str">
        <f t="shared" si="9"/>
        <v/>
      </c>
    </row>
    <row r="29" spans="1:17" x14ac:dyDescent="0.2">
      <c r="A29" s="14" t="s">
        <v>109</v>
      </c>
      <c r="B29" s="14" t="s">
        <v>121</v>
      </c>
      <c r="C29" s="14">
        <v>1</v>
      </c>
      <c r="D29" s="14">
        <f t="array" ref="D29">IF(AND(INDEX('Thang 05-2026'!$A$3:$Q$102,MATCH(1,($A29='Thang 05-2026'!$A$3:$A$102)*($G29='Thang 05-2026'!$C$3:$C$102),0),11)=1,$B29="Triều Xuống"),1,IF(AND(INDEX('Thang 05-2026'!$A$3:$Q$102,MATCH(1,($A29='Thang 05-2026'!$A$3:$A$102)*($G29='Thang 05-2026'!$C$3:$C$102),0),10)=1,$B29="Triều Lên",INDEX('Thang 05-2026'!$A$3:$Q$102,MATCH(1,($A29='Thang 05-2026'!$A$3:$A$102)*($G29='Thang 05-2026'!$C$3:$C$102),0),11)=0),1,0))</f>
        <v>0</v>
      </c>
      <c r="E29" s="14">
        <f t="array" ref="E29">IF(AND(INDEX('Thang 05-2026'!$A$3:$Q$102,MATCH(1,($A29='Thang 05-2026'!$A$3:$A$102)*($G29='Thang 05-2026'!$C$3:$C$102),0),15)=1,$B29="Triều Xuống"),1,IF(AND(INDEX('Thang 05-2026'!$A$3:$Q$102,MATCH(1,($A29='Thang 05-2026'!$A$3:$A$102)*($G29='Thang 05-2026'!$C$3:$C$102),0),14)=1,$B29="Triều Lên",INDEX('Thang 05-2026'!$A$3:$Q$102,MATCH(1,($A29='Thang 05-2026'!$A$3:$A$102)*($G29='Thang 05-2026'!$C$3:$C$102),0),15)=0),1,0))</f>
        <v>0</v>
      </c>
      <c r="F29" s="14">
        <f t="shared" si="0"/>
        <v>0</v>
      </c>
      <c r="G29" s="14">
        <f>INDEX('Thang 05-2026'!$A$3:$C$102,MATCH(A29,'Thang 05-2026'!$A$3:$A$102,0),3)</f>
        <v>27</v>
      </c>
      <c r="H29" t="str">
        <f t="array" ref="H29">INDEX('TONG HOP DIA DIEM'!$A$2:$K$181,MATCH(1,($A29='TONG HOP DIA DIEM'!$A$2:$A$181)*($B29='TONG HOP DIA DIEM'!$B$2:$B$181),0),6)</f>
        <v>Phú Mỹ - HCM_NM_PM - Triều Xuống</v>
      </c>
      <c r="I29" t="str">
        <f t="array" ref="I29">INDEX('TONG HOP DIA DIEM'!$A$2:$K$181,MATCH(1,($A29='TONG HOP DIA DIEM'!$A$2:$A$181)*($B29='TONG HOP DIA DIEM'!$B$2:$B$181),0),7)</f>
        <v>Phú Mỹ - Triều Xuống</v>
      </c>
      <c r="J29">
        <f t="shared" si="2"/>
        <v>1</v>
      </c>
      <c r="K29">
        <f t="shared" si="3"/>
        <v>0</v>
      </c>
      <c r="L29">
        <f t="shared" si="4"/>
        <v>0</v>
      </c>
      <c r="M29">
        <f t="shared" si="5"/>
        <v>0</v>
      </c>
      <c r="N29">
        <f t="shared" si="6"/>
        <v>27</v>
      </c>
      <c r="O29" t="str">
        <f t="shared" si="7"/>
        <v/>
      </c>
      <c r="P29" t="str">
        <f t="shared" si="8"/>
        <v/>
      </c>
      <c r="Q29" t="str">
        <f t="shared" si="9"/>
        <v/>
      </c>
    </row>
    <row r="30" spans="1:17" x14ac:dyDescent="0.2">
      <c r="O30" t="str">
        <f t="shared" si="7"/>
        <v/>
      </c>
      <c r="P30" t="str">
        <f t="shared" si="8"/>
        <v/>
      </c>
      <c r="Q30" t="str">
        <f t="shared" si="9"/>
        <v/>
      </c>
    </row>
    <row r="31" spans="1:17" x14ac:dyDescent="0.2">
      <c r="O31" t="str">
        <f t="shared" si="7"/>
        <v/>
      </c>
      <c r="P31" t="str">
        <f t="shared" si="8"/>
        <v/>
      </c>
      <c r="Q31" t="str">
        <f t="shared" si="9"/>
        <v/>
      </c>
    </row>
    <row r="32" spans="1:17" x14ac:dyDescent="0.2">
      <c r="O32" t="str">
        <f t="shared" si="7"/>
        <v/>
      </c>
      <c r="P32" t="str">
        <f t="shared" si="8"/>
        <v/>
      </c>
      <c r="Q32" t="str">
        <f t="shared" si="9"/>
        <v/>
      </c>
    </row>
    <row r="33" spans="15:17" x14ac:dyDescent="0.2">
      <c r="O33" t="str">
        <f t="shared" si="7"/>
        <v/>
      </c>
      <c r="P33" t="str">
        <f t="shared" si="8"/>
        <v/>
      </c>
      <c r="Q33" t="str">
        <f t="shared" si="9"/>
        <v/>
      </c>
    </row>
    <row r="34" spans="15:17" x14ac:dyDescent="0.2">
      <c r="O34" t="str">
        <f t="shared" si="7"/>
        <v/>
      </c>
      <c r="P34" t="str">
        <f t="shared" si="8"/>
        <v/>
      </c>
      <c r="Q34" t="str">
        <f t="shared" si="9"/>
        <v/>
      </c>
    </row>
    <row r="35" spans="15:17" x14ac:dyDescent="0.2">
      <c r="O35" t="str">
        <f t="shared" si="7"/>
        <v/>
      </c>
      <c r="P35" t="str">
        <f t="shared" si="8"/>
        <v/>
      </c>
      <c r="Q35" t="str">
        <f t="shared" si="9"/>
        <v/>
      </c>
    </row>
    <row r="36" spans="15:17" x14ac:dyDescent="0.2">
      <c r="O36" t="str">
        <f t="shared" si="7"/>
        <v/>
      </c>
      <c r="P36" t="str">
        <f t="shared" si="8"/>
        <v/>
      </c>
      <c r="Q36" t="str">
        <f t="shared" si="9"/>
        <v/>
      </c>
    </row>
    <row r="37" spans="15:17" x14ac:dyDescent="0.2">
      <c r="O37" t="str">
        <f t="shared" si="7"/>
        <v/>
      </c>
      <c r="P37" t="str">
        <f t="shared" si="8"/>
        <v/>
      </c>
      <c r="Q37" t="str">
        <f t="shared" si="9"/>
        <v/>
      </c>
    </row>
    <row r="38" spans="15:17" x14ac:dyDescent="0.2">
      <c r="O38" t="str">
        <f t="shared" si="7"/>
        <v/>
      </c>
      <c r="P38" t="str">
        <f t="shared" si="8"/>
        <v/>
      </c>
      <c r="Q38" t="str">
        <f t="shared" si="9"/>
        <v/>
      </c>
    </row>
    <row r="39" spans="15:17" x14ac:dyDescent="0.2">
      <c r="O39" t="str">
        <f t="shared" si="7"/>
        <v/>
      </c>
      <c r="P39" t="str">
        <f t="shared" si="8"/>
        <v/>
      </c>
      <c r="Q39" t="str">
        <f t="shared" si="9"/>
        <v/>
      </c>
    </row>
    <row r="40" spans="15:17" x14ac:dyDescent="0.2">
      <c r="O40" t="str">
        <f t="shared" si="7"/>
        <v/>
      </c>
      <c r="P40" t="str">
        <f t="shared" si="8"/>
        <v/>
      </c>
      <c r="Q40" t="str">
        <f t="shared" si="9"/>
        <v/>
      </c>
    </row>
    <row r="41" spans="15:17" x14ac:dyDescent="0.2">
      <c r="O41" t="str">
        <f t="shared" si="7"/>
        <v/>
      </c>
      <c r="P41" t="str">
        <f t="shared" si="8"/>
        <v/>
      </c>
      <c r="Q41" t="str">
        <f t="shared" si="9"/>
        <v/>
      </c>
    </row>
    <row r="42" spans="15:17" x14ac:dyDescent="0.2">
      <c r="O42" t="str">
        <f t="shared" si="7"/>
        <v/>
      </c>
      <c r="P42" t="str">
        <f t="shared" si="8"/>
        <v/>
      </c>
      <c r="Q42" t="str">
        <f t="shared" si="9"/>
        <v/>
      </c>
    </row>
    <row r="43" spans="15:17" x14ac:dyDescent="0.2">
      <c r="O43" t="str">
        <f t="shared" si="7"/>
        <v/>
      </c>
      <c r="P43" t="str">
        <f t="shared" si="8"/>
        <v/>
      </c>
      <c r="Q43" t="str">
        <f t="shared" si="9"/>
        <v/>
      </c>
    </row>
    <row r="44" spans="15:17" x14ac:dyDescent="0.2">
      <c r="O44" t="str">
        <f t="shared" si="7"/>
        <v/>
      </c>
      <c r="P44" t="str">
        <f t="shared" si="8"/>
        <v/>
      </c>
      <c r="Q44" t="str">
        <f t="shared" si="9"/>
        <v/>
      </c>
    </row>
    <row r="45" spans="15:17" x14ac:dyDescent="0.2">
      <c r="O45" t="str">
        <f t="shared" si="7"/>
        <v/>
      </c>
      <c r="P45" t="str">
        <f t="shared" si="8"/>
        <v/>
      </c>
      <c r="Q45" t="str">
        <f t="shared" si="9"/>
        <v/>
      </c>
    </row>
    <row r="46" spans="15:17" x14ac:dyDescent="0.2">
      <c r="O46" t="str">
        <f t="shared" si="7"/>
        <v/>
      </c>
      <c r="P46" t="str">
        <f t="shared" si="8"/>
        <v/>
      </c>
      <c r="Q46" t="str">
        <f t="shared" si="9"/>
        <v/>
      </c>
    </row>
    <row r="47" spans="15:17" x14ac:dyDescent="0.2">
      <c r="O47" t="str">
        <f t="shared" si="7"/>
        <v/>
      </c>
      <c r="P47" t="str">
        <f t="shared" si="8"/>
        <v/>
      </c>
      <c r="Q47" t="str">
        <f t="shared" si="9"/>
        <v/>
      </c>
    </row>
    <row r="48" spans="15:17" x14ac:dyDescent="0.2">
      <c r="O48" t="str">
        <f t="shared" si="7"/>
        <v/>
      </c>
      <c r="P48" t="str">
        <f t="shared" si="8"/>
        <v/>
      </c>
      <c r="Q48" t="str">
        <f t="shared" si="9"/>
        <v/>
      </c>
    </row>
    <row r="49" spans="2:17" x14ac:dyDescent="0.2">
      <c r="O49" t="str">
        <f t="shared" si="7"/>
        <v/>
      </c>
      <c r="P49" t="str">
        <f t="shared" si="8"/>
        <v/>
      </c>
      <c r="Q49" t="str">
        <f t="shared" si="9"/>
        <v/>
      </c>
    </row>
    <row r="50" spans="2:17" x14ac:dyDescent="0.2">
      <c r="O50" t="str">
        <f t="shared" si="7"/>
        <v/>
      </c>
      <c r="P50" t="str">
        <f t="shared" si="8"/>
        <v/>
      </c>
      <c r="Q50" t="str">
        <f t="shared" si="9"/>
        <v/>
      </c>
    </row>
    <row r="51" spans="2:17" x14ac:dyDescent="0.2">
      <c r="O51" t="str">
        <f t="shared" si="7"/>
        <v/>
      </c>
      <c r="P51" t="str">
        <f t="shared" si="8"/>
        <v/>
      </c>
      <c r="Q51" t="str">
        <f t="shared" si="9"/>
        <v/>
      </c>
    </row>
    <row r="52" spans="2:17" x14ac:dyDescent="0.2">
      <c r="O52" t="str">
        <f t="shared" si="7"/>
        <v/>
      </c>
      <c r="P52" t="str">
        <f t="shared" si="8"/>
        <v/>
      </c>
      <c r="Q52" t="str">
        <f t="shared" si="9"/>
        <v/>
      </c>
    </row>
    <row r="53" spans="2:17" x14ac:dyDescent="0.2">
      <c r="O53" t="str">
        <f t="shared" si="7"/>
        <v/>
      </c>
      <c r="P53" t="str">
        <f t="shared" si="8"/>
        <v/>
      </c>
      <c r="Q53" t="str">
        <f t="shared" si="9"/>
        <v/>
      </c>
    </row>
    <row r="54" spans="2:17" x14ac:dyDescent="0.2">
      <c r="O54" t="str">
        <f t="shared" si="7"/>
        <v/>
      </c>
      <c r="P54" t="str">
        <f t="shared" si="8"/>
        <v/>
      </c>
      <c r="Q54" t="str">
        <f t="shared" si="9"/>
        <v/>
      </c>
    </row>
    <row r="55" spans="2:17" x14ac:dyDescent="0.2">
      <c r="O55" t="str">
        <f t="shared" si="7"/>
        <v/>
      </c>
      <c r="P55" t="str">
        <f t="shared" si="8"/>
        <v/>
      </c>
      <c r="Q55" t="str">
        <f t="shared" si="9"/>
        <v/>
      </c>
    </row>
    <row r="56" spans="2:17" x14ac:dyDescent="0.2">
      <c r="O56" t="str">
        <f t="shared" si="7"/>
        <v/>
      </c>
      <c r="P56" t="str">
        <f t="shared" si="8"/>
        <v/>
      </c>
      <c r="Q56" t="str">
        <f t="shared" si="9"/>
        <v/>
      </c>
    </row>
    <row r="57" spans="2:17" x14ac:dyDescent="0.2">
      <c r="O57" t="str">
        <f t="shared" si="7"/>
        <v/>
      </c>
      <c r="P57" t="str">
        <f t="shared" si="8"/>
        <v/>
      </c>
      <c r="Q57" t="str">
        <f t="shared" si="9"/>
        <v/>
      </c>
    </row>
    <row r="58" spans="2:17" x14ac:dyDescent="0.2">
      <c r="O58" t="str">
        <f t="shared" si="7"/>
        <v/>
      </c>
      <c r="P58" t="str">
        <f t="shared" si="8"/>
        <v/>
      </c>
      <c r="Q58" t="str">
        <f t="shared" si="9"/>
        <v/>
      </c>
    </row>
    <row r="59" spans="2:17" x14ac:dyDescent="0.2">
      <c r="O59" t="str">
        <f t="shared" si="7"/>
        <v/>
      </c>
      <c r="P59" t="str">
        <f t="shared" si="8"/>
        <v/>
      </c>
      <c r="Q59" t="str">
        <f t="shared" si="9"/>
        <v/>
      </c>
    </row>
    <row r="60" spans="2:17" x14ac:dyDescent="0.2">
      <c r="O60" t="str">
        <f t="shared" si="7"/>
        <v/>
      </c>
      <c r="P60" t="str">
        <f t="shared" si="8"/>
        <v/>
      </c>
      <c r="Q60" t="str">
        <f t="shared" si="9"/>
        <v/>
      </c>
    </row>
    <row r="61" spans="2:17" x14ac:dyDescent="0.2">
      <c r="O61" t="str">
        <f t="shared" si="7"/>
        <v/>
      </c>
      <c r="P61" t="str">
        <f t="shared" si="8"/>
        <v/>
      </c>
      <c r="Q61" t="str">
        <f t="shared" si="9"/>
        <v/>
      </c>
    </row>
    <row r="62" spans="2:17" x14ac:dyDescent="0.2">
      <c r="O62" t="str">
        <f t="shared" si="7"/>
        <v/>
      </c>
      <c r="P62" t="str">
        <f t="shared" si="8"/>
        <v/>
      </c>
      <c r="Q62" t="str">
        <f t="shared" si="9"/>
        <v/>
      </c>
    </row>
    <row r="63" spans="2:17" x14ac:dyDescent="0.2">
      <c r="O63" t="str">
        <f t="shared" si="7"/>
        <v/>
      </c>
      <c r="P63" t="str">
        <f t="shared" si="8"/>
        <v/>
      </c>
      <c r="Q63" t="str">
        <f t="shared" si="9"/>
        <v/>
      </c>
    </row>
    <row r="64" spans="2:17" x14ac:dyDescent="0.2">
      <c r="B64" s="15"/>
      <c r="O64" t="str">
        <f t="shared" si="7"/>
        <v/>
      </c>
      <c r="P64" t="str">
        <f t="shared" si="8"/>
        <v/>
      </c>
      <c r="Q64" t="str">
        <f t="shared" si="9"/>
        <v/>
      </c>
    </row>
    <row r="65" spans="2:17" x14ac:dyDescent="0.2">
      <c r="B65" s="15"/>
      <c r="O65" t="str">
        <f t="shared" si="7"/>
        <v/>
      </c>
      <c r="P65" t="str">
        <f t="shared" si="8"/>
        <v/>
      </c>
      <c r="Q65" t="str">
        <f t="shared" si="9"/>
        <v/>
      </c>
    </row>
    <row r="66" spans="2:17" x14ac:dyDescent="0.2">
      <c r="O66" t="str">
        <f t="shared" si="7"/>
        <v/>
      </c>
      <c r="P66" t="str">
        <f t="shared" si="8"/>
        <v/>
      </c>
      <c r="Q66" t="str">
        <f t="shared" si="9"/>
        <v/>
      </c>
    </row>
    <row r="67" spans="2:17" x14ac:dyDescent="0.2">
      <c r="O67" t="str">
        <f t="shared" ref="O67:O119" si="10">IF(K67=1,I67&amp;" (QC - Mẫu lặp)","")</f>
        <v/>
      </c>
      <c r="P67" t="str">
        <f t="shared" ref="P67:P119" si="11">IF(L67=1,I67&amp;" (QC - Mẫu trắng)","")</f>
        <v/>
      </c>
      <c r="Q67" t="str">
        <f t="shared" ref="Q67:Q119" si="12">IF(L67=1,I67&amp;" (QC - Mẫu lặp)","")</f>
        <v/>
      </c>
    </row>
    <row r="68" spans="2:17" x14ac:dyDescent="0.2">
      <c r="O68" t="str">
        <f t="shared" si="10"/>
        <v/>
      </c>
      <c r="P68" t="str">
        <f t="shared" si="11"/>
        <v/>
      </c>
      <c r="Q68" t="str">
        <f t="shared" si="12"/>
        <v/>
      </c>
    </row>
    <row r="69" spans="2:17" x14ac:dyDescent="0.2">
      <c r="B69" s="15"/>
      <c r="O69" t="str">
        <f t="shared" si="10"/>
        <v/>
      </c>
      <c r="P69" t="str">
        <f t="shared" si="11"/>
        <v/>
      </c>
      <c r="Q69" t="str">
        <f t="shared" si="12"/>
        <v/>
      </c>
    </row>
    <row r="70" spans="2:17" x14ac:dyDescent="0.2">
      <c r="B70" s="15"/>
      <c r="O70" t="str">
        <f t="shared" si="10"/>
        <v/>
      </c>
      <c r="P70" t="str">
        <f t="shared" si="11"/>
        <v/>
      </c>
      <c r="Q70" t="str">
        <f t="shared" si="12"/>
        <v/>
      </c>
    </row>
    <row r="71" spans="2:17" x14ac:dyDescent="0.2">
      <c r="O71" t="str">
        <f t="shared" si="10"/>
        <v/>
      </c>
      <c r="P71" t="str">
        <f t="shared" si="11"/>
        <v/>
      </c>
      <c r="Q71" t="str">
        <f t="shared" si="12"/>
        <v/>
      </c>
    </row>
    <row r="72" spans="2:17" x14ac:dyDescent="0.2">
      <c r="O72" t="str">
        <f t="shared" si="10"/>
        <v/>
      </c>
      <c r="P72" t="str">
        <f t="shared" si="11"/>
        <v/>
      </c>
      <c r="Q72" t="str">
        <f t="shared" si="12"/>
        <v/>
      </c>
    </row>
    <row r="73" spans="2:17" x14ac:dyDescent="0.2">
      <c r="O73" t="str">
        <f t="shared" si="10"/>
        <v/>
      </c>
      <c r="P73" t="str">
        <f t="shared" si="11"/>
        <v/>
      </c>
      <c r="Q73" t="str">
        <f t="shared" si="12"/>
        <v/>
      </c>
    </row>
    <row r="74" spans="2:17" x14ac:dyDescent="0.2">
      <c r="O74" t="str">
        <f t="shared" si="10"/>
        <v/>
      </c>
      <c r="P74" t="str">
        <f t="shared" si="11"/>
        <v/>
      </c>
      <c r="Q74" t="str">
        <f t="shared" si="12"/>
        <v/>
      </c>
    </row>
    <row r="75" spans="2:17" x14ac:dyDescent="0.2">
      <c r="O75" t="str">
        <f t="shared" si="10"/>
        <v/>
      </c>
      <c r="P75" t="str">
        <f t="shared" si="11"/>
        <v/>
      </c>
      <c r="Q75" t="str">
        <f t="shared" si="12"/>
        <v/>
      </c>
    </row>
    <row r="76" spans="2:17" x14ac:dyDescent="0.2">
      <c r="O76" t="str">
        <f t="shared" si="10"/>
        <v/>
      </c>
      <c r="P76" t="str">
        <f t="shared" si="11"/>
        <v/>
      </c>
      <c r="Q76" t="str">
        <f t="shared" si="12"/>
        <v/>
      </c>
    </row>
    <row r="77" spans="2:17" x14ac:dyDescent="0.2">
      <c r="O77" t="str">
        <f t="shared" si="10"/>
        <v/>
      </c>
      <c r="P77" t="str">
        <f t="shared" si="11"/>
        <v/>
      </c>
      <c r="Q77" t="str">
        <f t="shared" si="12"/>
        <v/>
      </c>
    </row>
    <row r="78" spans="2:17" x14ac:dyDescent="0.2">
      <c r="O78" t="str">
        <f t="shared" si="10"/>
        <v/>
      </c>
      <c r="P78" t="str">
        <f t="shared" si="11"/>
        <v/>
      </c>
      <c r="Q78" t="str">
        <f t="shared" si="12"/>
        <v/>
      </c>
    </row>
    <row r="79" spans="2:17" x14ac:dyDescent="0.2">
      <c r="O79" t="str">
        <f t="shared" si="10"/>
        <v/>
      </c>
      <c r="P79" t="str">
        <f t="shared" si="11"/>
        <v/>
      </c>
      <c r="Q79" t="str">
        <f t="shared" si="12"/>
        <v/>
      </c>
    </row>
    <row r="80" spans="2:17" x14ac:dyDescent="0.2">
      <c r="O80" t="str">
        <f t="shared" si="10"/>
        <v/>
      </c>
      <c r="P80" t="str">
        <f t="shared" si="11"/>
        <v/>
      </c>
      <c r="Q80" t="str">
        <f t="shared" si="12"/>
        <v/>
      </c>
    </row>
    <row r="81" spans="2:17" x14ac:dyDescent="0.2">
      <c r="O81" t="str">
        <f t="shared" si="10"/>
        <v/>
      </c>
      <c r="P81" t="str">
        <f t="shared" si="11"/>
        <v/>
      </c>
      <c r="Q81" t="str">
        <f t="shared" si="12"/>
        <v/>
      </c>
    </row>
    <row r="82" spans="2:17" x14ac:dyDescent="0.2">
      <c r="O82" t="str">
        <f t="shared" si="10"/>
        <v/>
      </c>
      <c r="P82" t="str">
        <f t="shared" si="11"/>
        <v/>
      </c>
      <c r="Q82" t="str">
        <f t="shared" si="12"/>
        <v/>
      </c>
    </row>
    <row r="83" spans="2:17" x14ac:dyDescent="0.2">
      <c r="O83" t="str">
        <f t="shared" si="10"/>
        <v/>
      </c>
      <c r="P83" t="str">
        <f t="shared" si="11"/>
        <v/>
      </c>
      <c r="Q83" t="str">
        <f t="shared" si="12"/>
        <v/>
      </c>
    </row>
    <row r="84" spans="2:17" x14ac:dyDescent="0.2">
      <c r="O84" t="str">
        <f t="shared" si="10"/>
        <v/>
      </c>
      <c r="P84" t="str">
        <f t="shared" si="11"/>
        <v/>
      </c>
      <c r="Q84" t="str">
        <f t="shared" si="12"/>
        <v/>
      </c>
    </row>
    <row r="85" spans="2:17" x14ac:dyDescent="0.2">
      <c r="O85" t="str">
        <f t="shared" si="10"/>
        <v/>
      </c>
      <c r="P85" t="str">
        <f t="shared" si="11"/>
        <v/>
      </c>
      <c r="Q85" t="str">
        <f t="shared" si="12"/>
        <v/>
      </c>
    </row>
    <row r="86" spans="2:17" x14ac:dyDescent="0.2">
      <c r="O86" t="str">
        <f t="shared" si="10"/>
        <v/>
      </c>
      <c r="P86" t="str">
        <f t="shared" si="11"/>
        <v/>
      </c>
      <c r="Q86" t="str">
        <f t="shared" si="12"/>
        <v/>
      </c>
    </row>
    <row r="87" spans="2:17" x14ac:dyDescent="0.2">
      <c r="O87" t="str">
        <f t="shared" si="10"/>
        <v/>
      </c>
      <c r="P87" t="str">
        <f t="shared" si="11"/>
        <v/>
      </c>
      <c r="Q87" t="str">
        <f t="shared" si="12"/>
        <v/>
      </c>
    </row>
    <row r="88" spans="2:17" x14ac:dyDescent="0.2">
      <c r="O88" t="str">
        <f t="shared" si="10"/>
        <v/>
      </c>
      <c r="P88" t="str">
        <f t="shared" si="11"/>
        <v/>
      </c>
      <c r="Q88" t="str">
        <f t="shared" si="12"/>
        <v/>
      </c>
    </row>
    <row r="89" spans="2:17" x14ac:dyDescent="0.2">
      <c r="O89" t="str">
        <f t="shared" si="10"/>
        <v/>
      </c>
      <c r="P89" t="str">
        <f t="shared" si="11"/>
        <v/>
      </c>
      <c r="Q89" t="str">
        <f t="shared" si="12"/>
        <v/>
      </c>
    </row>
    <row r="90" spans="2:17" x14ac:dyDescent="0.2">
      <c r="O90" t="str">
        <f t="shared" si="10"/>
        <v/>
      </c>
      <c r="P90" t="str">
        <f t="shared" si="11"/>
        <v/>
      </c>
      <c r="Q90" t="str">
        <f t="shared" si="12"/>
        <v/>
      </c>
    </row>
    <row r="91" spans="2:17" x14ac:dyDescent="0.2">
      <c r="O91" t="str">
        <f t="shared" si="10"/>
        <v/>
      </c>
      <c r="P91" t="str">
        <f t="shared" si="11"/>
        <v/>
      </c>
      <c r="Q91" t="str">
        <f t="shared" si="12"/>
        <v/>
      </c>
    </row>
    <row r="92" spans="2:17" x14ac:dyDescent="0.2">
      <c r="B92" s="15"/>
      <c r="O92" t="str">
        <f t="shared" si="10"/>
        <v/>
      </c>
      <c r="P92" t="str">
        <f t="shared" si="11"/>
        <v/>
      </c>
      <c r="Q92" t="str">
        <f t="shared" si="12"/>
        <v/>
      </c>
    </row>
    <row r="93" spans="2:17" x14ac:dyDescent="0.2">
      <c r="B93" s="15"/>
      <c r="O93" t="str">
        <f t="shared" si="10"/>
        <v/>
      </c>
      <c r="P93" t="str">
        <f t="shared" si="11"/>
        <v/>
      </c>
      <c r="Q93" t="str">
        <f t="shared" si="12"/>
        <v/>
      </c>
    </row>
    <row r="94" spans="2:17" x14ac:dyDescent="0.2">
      <c r="B94" s="15"/>
      <c r="O94" t="str">
        <f t="shared" si="10"/>
        <v/>
      </c>
      <c r="P94" t="str">
        <f t="shared" si="11"/>
        <v/>
      </c>
      <c r="Q94" t="str">
        <f t="shared" si="12"/>
        <v/>
      </c>
    </row>
    <row r="95" spans="2:17" x14ac:dyDescent="0.2">
      <c r="B95" s="15"/>
      <c r="O95" t="str">
        <f t="shared" si="10"/>
        <v/>
      </c>
      <c r="P95" t="str">
        <f t="shared" si="11"/>
        <v/>
      </c>
      <c r="Q95" t="str">
        <f t="shared" si="12"/>
        <v/>
      </c>
    </row>
    <row r="96" spans="2:17" x14ac:dyDescent="0.2">
      <c r="B96" s="15"/>
      <c r="O96" t="str">
        <f t="shared" si="10"/>
        <v/>
      </c>
      <c r="P96" t="str">
        <f t="shared" si="11"/>
        <v/>
      </c>
      <c r="Q96" t="str">
        <f t="shared" si="12"/>
        <v/>
      </c>
    </row>
    <row r="97" spans="2:17" x14ac:dyDescent="0.2">
      <c r="B97" s="15"/>
      <c r="O97" t="str">
        <f t="shared" si="10"/>
        <v/>
      </c>
      <c r="P97" t="str">
        <f t="shared" si="11"/>
        <v/>
      </c>
      <c r="Q97" t="str">
        <f t="shared" si="12"/>
        <v/>
      </c>
    </row>
    <row r="98" spans="2:17" x14ac:dyDescent="0.2">
      <c r="B98" s="15"/>
      <c r="O98" t="str">
        <f t="shared" si="10"/>
        <v/>
      </c>
      <c r="P98" t="str">
        <f t="shared" si="11"/>
        <v/>
      </c>
      <c r="Q98" t="str">
        <f t="shared" si="12"/>
        <v/>
      </c>
    </row>
    <row r="99" spans="2:17" x14ac:dyDescent="0.2">
      <c r="B99" s="15"/>
      <c r="O99" t="str">
        <f t="shared" si="10"/>
        <v/>
      </c>
      <c r="P99" t="str">
        <f t="shared" si="11"/>
        <v/>
      </c>
      <c r="Q99" t="str">
        <f t="shared" si="12"/>
        <v/>
      </c>
    </row>
    <row r="100" spans="2:17" x14ac:dyDescent="0.2">
      <c r="O100" t="str">
        <f t="shared" si="10"/>
        <v/>
      </c>
      <c r="P100" t="str">
        <f t="shared" si="11"/>
        <v/>
      </c>
      <c r="Q100" t="str">
        <f t="shared" si="12"/>
        <v/>
      </c>
    </row>
    <row r="101" spans="2:17" x14ac:dyDescent="0.2">
      <c r="O101" t="str">
        <f t="shared" si="10"/>
        <v/>
      </c>
      <c r="P101" t="str">
        <f t="shared" si="11"/>
        <v/>
      </c>
      <c r="Q101" t="str">
        <f t="shared" si="12"/>
        <v/>
      </c>
    </row>
    <row r="102" spans="2:17" x14ac:dyDescent="0.2">
      <c r="O102" t="str">
        <f t="shared" si="10"/>
        <v/>
      </c>
      <c r="P102" t="str">
        <f t="shared" si="11"/>
        <v/>
      </c>
      <c r="Q102" t="str">
        <f t="shared" si="12"/>
        <v/>
      </c>
    </row>
    <row r="103" spans="2:17" x14ac:dyDescent="0.2">
      <c r="O103" t="str">
        <f t="shared" si="10"/>
        <v/>
      </c>
      <c r="P103" t="str">
        <f t="shared" si="11"/>
        <v/>
      </c>
      <c r="Q103" t="str">
        <f t="shared" si="12"/>
        <v/>
      </c>
    </row>
    <row r="104" spans="2:17" x14ac:dyDescent="0.2">
      <c r="O104" t="str">
        <f t="shared" si="10"/>
        <v/>
      </c>
      <c r="P104" t="str">
        <f t="shared" si="11"/>
        <v/>
      </c>
      <c r="Q104" t="str">
        <f t="shared" si="12"/>
        <v/>
      </c>
    </row>
    <row r="105" spans="2:17" x14ac:dyDescent="0.2">
      <c r="O105" t="str">
        <f t="shared" si="10"/>
        <v/>
      </c>
      <c r="P105" t="str">
        <f t="shared" si="11"/>
        <v/>
      </c>
      <c r="Q105" t="str">
        <f t="shared" si="12"/>
        <v/>
      </c>
    </row>
    <row r="106" spans="2:17" x14ac:dyDescent="0.2">
      <c r="O106" t="str">
        <f t="shared" si="10"/>
        <v/>
      </c>
      <c r="P106" t="str">
        <f t="shared" si="11"/>
        <v/>
      </c>
      <c r="Q106" t="str">
        <f t="shared" si="12"/>
        <v/>
      </c>
    </row>
    <row r="107" spans="2:17" x14ac:dyDescent="0.2">
      <c r="O107" t="str">
        <f t="shared" si="10"/>
        <v/>
      </c>
      <c r="P107" t="str">
        <f t="shared" si="11"/>
        <v/>
      </c>
      <c r="Q107" t="str">
        <f t="shared" si="12"/>
        <v/>
      </c>
    </row>
    <row r="108" spans="2:17" x14ac:dyDescent="0.2">
      <c r="B108" s="15"/>
      <c r="O108" t="str">
        <f t="shared" si="10"/>
        <v/>
      </c>
      <c r="P108" t="str">
        <f t="shared" si="11"/>
        <v/>
      </c>
      <c r="Q108" t="str">
        <f t="shared" si="12"/>
        <v/>
      </c>
    </row>
    <row r="109" spans="2:17" x14ac:dyDescent="0.2">
      <c r="B109" s="15"/>
      <c r="O109" t="str">
        <f t="shared" si="10"/>
        <v/>
      </c>
      <c r="P109" t="str">
        <f t="shared" si="11"/>
        <v/>
      </c>
      <c r="Q109" t="str">
        <f t="shared" si="12"/>
        <v/>
      </c>
    </row>
    <row r="110" spans="2:17" x14ac:dyDescent="0.2">
      <c r="B110" s="15"/>
      <c r="O110" t="str">
        <f t="shared" si="10"/>
        <v/>
      </c>
      <c r="P110" t="str">
        <f t="shared" si="11"/>
        <v/>
      </c>
      <c r="Q110" t="str">
        <f t="shared" si="12"/>
        <v/>
      </c>
    </row>
    <row r="111" spans="2:17" x14ac:dyDescent="0.2">
      <c r="B111" s="15"/>
      <c r="O111" t="str">
        <f t="shared" si="10"/>
        <v/>
      </c>
      <c r="P111" t="str">
        <f t="shared" si="11"/>
        <v/>
      </c>
      <c r="Q111" t="str">
        <f t="shared" si="12"/>
        <v/>
      </c>
    </row>
    <row r="112" spans="2:17" x14ac:dyDescent="0.2">
      <c r="B112" s="15"/>
      <c r="O112" t="str">
        <f t="shared" si="10"/>
        <v/>
      </c>
      <c r="P112" t="str">
        <f t="shared" si="11"/>
        <v/>
      </c>
      <c r="Q112" t="str">
        <f t="shared" si="12"/>
        <v/>
      </c>
    </row>
    <row r="113" spans="2:17" x14ac:dyDescent="0.2">
      <c r="B113" s="15"/>
      <c r="O113" t="str">
        <f t="shared" si="10"/>
        <v/>
      </c>
      <c r="P113" t="str">
        <f t="shared" si="11"/>
        <v/>
      </c>
      <c r="Q113" t="str">
        <f t="shared" si="12"/>
        <v/>
      </c>
    </row>
    <row r="114" spans="2:17" x14ac:dyDescent="0.2">
      <c r="B114" s="15"/>
      <c r="O114" t="str">
        <f t="shared" si="10"/>
        <v/>
      </c>
      <c r="P114" t="str">
        <f t="shared" si="11"/>
        <v/>
      </c>
      <c r="Q114" t="str">
        <f t="shared" si="12"/>
        <v/>
      </c>
    </row>
    <row r="115" spans="2:17" x14ac:dyDescent="0.2">
      <c r="B115" s="15"/>
      <c r="O115" t="str">
        <f t="shared" si="10"/>
        <v/>
      </c>
      <c r="P115" t="str">
        <f t="shared" si="11"/>
        <v/>
      </c>
      <c r="Q115" t="str">
        <f t="shared" si="12"/>
        <v/>
      </c>
    </row>
    <row r="116" spans="2:17" x14ac:dyDescent="0.2">
      <c r="B116" s="15"/>
      <c r="O116" t="str">
        <f t="shared" si="10"/>
        <v/>
      </c>
      <c r="P116" t="str">
        <f t="shared" si="11"/>
        <v/>
      </c>
      <c r="Q116" t="str">
        <f t="shared" si="12"/>
        <v/>
      </c>
    </row>
    <row r="117" spans="2:17" x14ac:dyDescent="0.2">
      <c r="B117" s="15"/>
      <c r="O117" t="str">
        <f t="shared" si="10"/>
        <v/>
      </c>
      <c r="P117" t="str">
        <f t="shared" si="11"/>
        <v/>
      </c>
      <c r="Q117" t="str">
        <f t="shared" si="12"/>
        <v/>
      </c>
    </row>
    <row r="118" spans="2:17" x14ac:dyDescent="0.2">
      <c r="B118" s="15"/>
      <c r="O118" t="str">
        <f t="shared" si="10"/>
        <v/>
      </c>
      <c r="P118" t="str">
        <f t="shared" si="11"/>
        <v/>
      </c>
      <c r="Q118" t="str">
        <f t="shared" si="12"/>
        <v/>
      </c>
    </row>
    <row r="119" spans="2:17" x14ac:dyDescent="0.2">
      <c r="B119" s="15"/>
      <c r="O119" t="str">
        <f t="shared" si="10"/>
        <v/>
      </c>
      <c r="P119" t="str">
        <f t="shared" si="11"/>
        <v/>
      </c>
      <c r="Q119" t="str">
        <f t="shared" si="12"/>
        <v/>
      </c>
    </row>
  </sheetData>
  <autoFilter ref="A1:G1" xr:uid="{1FF83CD1-6B66-488C-B2E6-0B1BF6DB2AA2}">
    <sortState xmlns:xlrd2="http://schemas.microsoft.com/office/spreadsheetml/2017/richdata2" ref="A2:G29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Thang 05-2026</vt:lpstr>
      <vt:lpstr>CS2_OLD</vt:lpstr>
      <vt:lpstr>CS3_OLD</vt:lpstr>
      <vt:lpstr>TONG HOP DIA DIEM</vt:lpstr>
      <vt:lpstr>CS2_NEW</vt:lpstr>
      <vt:lpstr>REMOVE_DUPLICATES</vt:lpstr>
      <vt:lpstr>CS3_NEW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Nguyễn Cao Phương</dc:creator>
  <cp:lastModifiedBy>Huỳnh Nguyễn Cao Phương</cp:lastModifiedBy>
  <dcterms:created xsi:type="dcterms:W3CDTF">2026-05-01T14:16:47Z</dcterms:created>
  <dcterms:modified xsi:type="dcterms:W3CDTF">2026-05-10T09:07:11Z</dcterms:modified>
</cp:coreProperties>
</file>